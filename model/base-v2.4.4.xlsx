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y Drive\Real Estate\Tech-native Multifamily PMC Roll-up\Model\"/>
    </mc:Choice>
  </mc:AlternateContent>
  <xr:revisionPtr revIDLastSave="0" documentId="8_{32936277-C987-41B3-9F3B-EB5DACD638B6}" xr6:coauthVersionLast="47" xr6:coauthVersionMax="47" xr10:uidLastSave="{00000000-0000-0000-0000-000000000000}"/>
  <bookViews>
    <workbookView xWindow="-120" yWindow="-120" windowWidth="29040" windowHeight="15720" tabRatio="500" xr2:uid="{00000000-000D-0000-FFFF-FFFF00000000}"/>
  </bookViews>
  <sheets>
    <sheet name="IC Summary" sheetId="1" r:id="rId1"/>
    <sheet name="Base Case Bridge" sheetId="2" r:id="rId2"/>
    <sheet name="Evidence &amp; Market" sheetId="3" r:id="rId3"/>
    <sheet name="Assumptions" sheetId="4" r:id="rId4"/>
    <sheet name="Acquisition Schedule" sheetId="5" r:id="rId5"/>
    <sheet name="Anchor QoE" sheetId="6" r:id="rId6"/>
    <sheet name="Revenue &amp; Durability" sheetId="7" r:id="rId7"/>
    <sheet name="Org &amp; Capacity" sheetId="8" r:id="rId8"/>
    <sheet name="Operating Case" sheetId="9" r:id="rId9"/>
    <sheet name="Transaction &amp; Liquidity" sheetId="10" r:id="rId10"/>
    <sheet name="Returns" sheetId="11" r:id="rId11"/>
    <sheet name="Controls" sheetId="12" r:id="rId12"/>
    <sheet name="Version Bridge" sheetId="13" r:id="rId13"/>
  </sheets>
  <definedNames>
    <definedName name="_xlnm.Print_Area" localSheetId="3">Assumptions!$A$1:$H$100</definedName>
    <definedName name="_xlnm.Print_Area" localSheetId="1">'Base Case Bridge'!$A$1:$N$30</definedName>
    <definedName name="_xlnm.Print_Area" localSheetId="11">Controls!$A$1:$H$77</definedName>
    <definedName name="_xlnm.Print_Area" localSheetId="0">'IC Summary'!$A$1:$X$60</definedName>
    <definedName name="_xlnm.Print_Area" localSheetId="10">Returns!$A$1:$H$60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67" i="12" l="1"/>
  <c r="C67" i="12" s="1"/>
  <c r="B64" i="12"/>
  <c r="C64" i="12" s="1"/>
  <c r="B52" i="12"/>
  <c r="C52" i="12" s="1"/>
  <c r="B35" i="12"/>
  <c r="C35" i="12" s="1"/>
  <c r="B27" i="12"/>
  <c r="C27" i="12" s="1"/>
  <c r="C19" i="12"/>
  <c r="N90" i="11"/>
  <c r="M90" i="11"/>
  <c r="L90" i="11"/>
  <c r="N89" i="11"/>
  <c r="M89" i="11"/>
  <c r="L89" i="11"/>
  <c r="N88" i="11"/>
  <c r="M88" i="11"/>
  <c r="L88" i="11"/>
  <c r="F78" i="11"/>
  <c r="E78" i="11"/>
  <c r="D78" i="11"/>
  <c r="F68" i="11"/>
  <c r="E68" i="11"/>
  <c r="D68" i="11"/>
  <c r="F41" i="11"/>
  <c r="E41" i="11"/>
  <c r="D41" i="11"/>
  <c r="F36" i="11"/>
  <c r="E36" i="11"/>
  <c r="D36" i="11"/>
  <c r="F6" i="11"/>
  <c r="E6" i="11"/>
  <c r="D6" i="11"/>
  <c r="O184" i="10"/>
  <c r="N184" i="10"/>
  <c r="L184" i="10"/>
  <c r="K184" i="10"/>
  <c r="J184" i="10"/>
  <c r="H184" i="10"/>
  <c r="G184" i="10"/>
  <c r="F184" i="10"/>
  <c r="D184" i="10"/>
  <c r="D176" i="10"/>
  <c r="D170" i="10"/>
  <c r="D164" i="10"/>
  <c r="D161" i="10"/>
  <c r="D160" i="10"/>
  <c r="M157" i="10"/>
  <c r="L157" i="10"/>
  <c r="K157" i="10"/>
  <c r="J157" i="10"/>
  <c r="I157" i="10"/>
  <c r="H157" i="10"/>
  <c r="G157" i="10"/>
  <c r="F157" i="10"/>
  <c r="E157" i="10"/>
  <c r="D157" i="10"/>
  <c r="L156" i="10"/>
  <c r="K156" i="10"/>
  <c r="J156" i="10"/>
  <c r="I156" i="10"/>
  <c r="H156" i="10"/>
  <c r="G156" i="10"/>
  <c r="F156" i="10"/>
  <c r="E156" i="10"/>
  <c r="D156" i="10"/>
  <c r="K155" i="10"/>
  <c r="J155" i="10"/>
  <c r="I155" i="10"/>
  <c r="H155" i="10"/>
  <c r="G155" i="10"/>
  <c r="F155" i="10"/>
  <c r="E155" i="10"/>
  <c r="D155" i="10"/>
  <c r="J154" i="10"/>
  <c r="I154" i="10"/>
  <c r="H154" i="10"/>
  <c r="G154" i="10"/>
  <c r="F154" i="10"/>
  <c r="E154" i="10"/>
  <c r="D154" i="10"/>
  <c r="I153" i="10"/>
  <c r="H153" i="10"/>
  <c r="G153" i="10"/>
  <c r="F153" i="10"/>
  <c r="E153" i="10"/>
  <c r="D153" i="10"/>
  <c r="N152" i="10"/>
  <c r="H152" i="10"/>
  <c r="G152" i="10"/>
  <c r="F152" i="10"/>
  <c r="E152" i="10"/>
  <c r="D152" i="10"/>
  <c r="N151" i="10"/>
  <c r="M151" i="10"/>
  <c r="G151" i="10"/>
  <c r="F151" i="10"/>
  <c r="E151" i="10"/>
  <c r="D151" i="10"/>
  <c r="N150" i="10"/>
  <c r="M150" i="10"/>
  <c r="L150" i="10"/>
  <c r="F150" i="10"/>
  <c r="E150" i="10"/>
  <c r="D150" i="10"/>
  <c r="N149" i="10"/>
  <c r="M149" i="10"/>
  <c r="L149" i="10"/>
  <c r="K149" i="10"/>
  <c r="E149" i="10"/>
  <c r="D149" i="10"/>
  <c r="N148" i="10"/>
  <c r="M148" i="10"/>
  <c r="L148" i="10"/>
  <c r="K148" i="10"/>
  <c r="J148" i="10"/>
  <c r="D148" i="10"/>
  <c r="N147" i="10"/>
  <c r="M147" i="10"/>
  <c r="L147" i="10"/>
  <c r="K147" i="10"/>
  <c r="J147" i="10"/>
  <c r="I147" i="10"/>
  <c r="D146" i="10"/>
  <c r="D145" i="10"/>
  <c r="M143" i="10"/>
  <c r="L143" i="10"/>
  <c r="K143" i="10"/>
  <c r="J143" i="10"/>
  <c r="I143" i="10"/>
  <c r="H143" i="10"/>
  <c r="G143" i="10"/>
  <c r="F143" i="10"/>
  <c r="E143" i="10"/>
  <c r="D143" i="10"/>
  <c r="L142" i="10"/>
  <c r="K142" i="10"/>
  <c r="J142" i="10"/>
  <c r="I142" i="10"/>
  <c r="H142" i="10"/>
  <c r="G142" i="10"/>
  <c r="F142" i="10"/>
  <c r="E142" i="10"/>
  <c r="D142" i="10"/>
  <c r="K141" i="10"/>
  <c r="J141" i="10"/>
  <c r="I141" i="10"/>
  <c r="H141" i="10"/>
  <c r="G141" i="10"/>
  <c r="F141" i="10"/>
  <c r="E141" i="10"/>
  <c r="D141" i="10"/>
  <c r="J140" i="10"/>
  <c r="I140" i="10"/>
  <c r="H140" i="10"/>
  <c r="G140" i="10"/>
  <c r="F140" i="10"/>
  <c r="E140" i="10"/>
  <c r="D140" i="10"/>
  <c r="I139" i="10"/>
  <c r="H139" i="10"/>
  <c r="G139" i="10"/>
  <c r="F139" i="10"/>
  <c r="E139" i="10"/>
  <c r="D139" i="10"/>
  <c r="H138" i="10"/>
  <c r="G138" i="10"/>
  <c r="F138" i="10"/>
  <c r="E138" i="10"/>
  <c r="D138" i="10"/>
  <c r="G137" i="10"/>
  <c r="F137" i="10"/>
  <c r="E137" i="10"/>
  <c r="D137" i="10"/>
  <c r="F136" i="10"/>
  <c r="E136" i="10"/>
  <c r="D136" i="10"/>
  <c r="E135" i="10"/>
  <c r="D135" i="10"/>
  <c r="D134" i="10"/>
  <c r="D129" i="10"/>
  <c r="D118" i="10"/>
  <c r="D112" i="10"/>
  <c r="D106" i="10"/>
  <c r="D103" i="10"/>
  <c r="D102" i="10"/>
  <c r="M99" i="10"/>
  <c r="L99" i="10"/>
  <c r="K99" i="10"/>
  <c r="J99" i="10"/>
  <c r="I99" i="10"/>
  <c r="H99" i="10"/>
  <c r="G99" i="10"/>
  <c r="F99" i="10"/>
  <c r="E99" i="10"/>
  <c r="D99" i="10"/>
  <c r="L98" i="10"/>
  <c r="K98" i="10"/>
  <c r="J98" i="10"/>
  <c r="I98" i="10"/>
  <c r="H98" i="10"/>
  <c r="G98" i="10"/>
  <c r="F98" i="10"/>
  <c r="E98" i="10"/>
  <c r="D98" i="10"/>
  <c r="K97" i="10"/>
  <c r="J97" i="10"/>
  <c r="I97" i="10"/>
  <c r="H97" i="10"/>
  <c r="G97" i="10"/>
  <c r="F97" i="10"/>
  <c r="E97" i="10"/>
  <c r="D97" i="10"/>
  <c r="J96" i="10"/>
  <c r="I96" i="10"/>
  <c r="H96" i="10"/>
  <c r="G96" i="10"/>
  <c r="F96" i="10"/>
  <c r="E96" i="10"/>
  <c r="D96" i="10"/>
  <c r="I95" i="10"/>
  <c r="H95" i="10"/>
  <c r="G95" i="10"/>
  <c r="F95" i="10"/>
  <c r="E95" i="10"/>
  <c r="D95" i="10"/>
  <c r="N94" i="10"/>
  <c r="H94" i="10"/>
  <c r="G94" i="10"/>
  <c r="F94" i="10"/>
  <c r="E94" i="10"/>
  <c r="D94" i="10"/>
  <c r="N93" i="10"/>
  <c r="M93" i="10"/>
  <c r="G93" i="10"/>
  <c r="F93" i="10"/>
  <c r="E93" i="10"/>
  <c r="D93" i="10"/>
  <c r="N92" i="10"/>
  <c r="M92" i="10"/>
  <c r="L92" i="10"/>
  <c r="F92" i="10"/>
  <c r="E92" i="10"/>
  <c r="D92" i="10"/>
  <c r="N91" i="10"/>
  <c r="M91" i="10"/>
  <c r="L91" i="10"/>
  <c r="K91" i="10"/>
  <c r="E91" i="10"/>
  <c r="D91" i="10"/>
  <c r="N90" i="10"/>
  <c r="M90" i="10"/>
  <c r="L90" i="10"/>
  <c r="K90" i="10"/>
  <c r="J90" i="10"/>
  <c r="D90" i="10"/>
  <c r="N89" i="10"/>
  <c r="M89" i="10"/>
  <c r="L89" i="10"/>
  <c r="K89" i="10"/>
  <c r="J89" i="10"/>
  <c r="I89" i="10"/>
  <c r="D88" i="10"/>
  <c r="D87" i="10"/>
  <c r="M85" i="10"/>
  <c r="L85" i="10"/>
  <c r="K85" i="10"/>
  <c r="J85" i="10"/>
  <c r="I85" i="10"/>
  <c r="H85" i="10"/>
  <c r="G85" i="10"/>
  <c r="F85" i="10"/>
  <c r="E85" i="10"/>
  <c r="D85" i="10"/>
  <c r="L84" i="10"/>
  <c r="K84" i="10"/>
  <c r="J84" i="10"/>
  <c r="I84" i="10"/>
  <c r="H84" i="10"/>
  <c r="G84" i="10"/>
  <c r="F84" i="10"/>
  <c r="E84" i="10"/>
  <c r="D84" i="10"/>
  <c r="K83" i="10"/>
  <c r="J83" i="10"/>
  <c r="I83" i="10"/>
  <c r="H83" i="10"/>
  <c r="G83" i="10"/>
  <c r="F83" i="10"/>
  <c r="E83" i="10"/>
  <c r="D83" i="10"/>
  <c r="J82" i="10"/>
  <c r="I82" i="10"/>
  <c r="H82" i="10"/>
  <c r="G82" i="10"/>
  <c r="F82" i="10"/>
  <c r="E82" i="10"/>
  <c r="D82" i="10"/>
  <c r="I81" i="10"/>
  <c r="H81" i="10"/>
  <c r="G81" i="10"/>
  <c r="F81" i="10"/>
  <c r="E81" i="10"/>
  <c r="D81" i="10"/>
  <c r="H80" i="10"/>
  <c r="G80" i="10"/>
  <c r="F80" i="10"/>
  <c r="E80" i="10"/>
  <c r="D80" i="10"/>
  <c r="G79" i="10"/>
  <c r="F79" i="10"/>
  <c r="E79" i="10"/>
  <c r="D79" i="10"/>
  <c r="F78" i="10"/>
  <c r="E78" i="10"/>
  <c r="D78" i="10"/>
  <c r="E77" i="10"/>
  <c r="D77" i="10"/>
  <c r="D76" i="10"/>
  <c r="D71" i="10"/>
  <c r="D60" i="10"/>
  <c r="D54" i="10"/>
  <c r="D48" i="10"/>
  <c r="D45" i="10"/>
  <c r="D44" i="10"/>
  <c r="M41" i="10"/>
  <c r="L41" i="10"/>
  <c r="K41" i="10"/>
  <c r="J41" i="10"/>
  <c r="I41" i="10"/>
  <c r="H41" i="10"/>
  <c r="G41" i="10"/>
  <c r="F41" i="10"/>
  <c r="E41" i="10"/>
  <c r="D41" i="10"/>
  <c r="L40" i="10"/>
  <c r="K40" i="10"/>
  <c r="J40" i="10"/>
  <c r="I40" i="10"/>
  <c r="H40" i="10"/>
  <c r="G40" i="10"/>
  <c r="F40" i="10"/>
  <c r="E40" i="10"/>
  <c r="D40" i="10"/>
  <c r="K39" i="10"/>
  <c r="J39" i="10"/>
  <c r="I39" i="10"/>
  <c r="H39" i="10"/>
  <c r="G39" i="10"/>
  <c r="F39" i="10"/>
  <c r="E39" i="10"/>
  <c r="D39" i="10"/>
  <c r="J38" i="10"/>
  <c r="I38" i="10"/>
  <c r="H38" i="10"/>
  <c r="G38" i="10"/>
  <c r="F38" i="10"/>
  <c r="E38" i="10"/>
  <c r="D38" i="10"/>
  <c r="I37" i="10"/>
  <c r="H37" i="10"/>
  <c r="G37" i="10"/>
  <c r="F37" i="10"/>
  <c r="E37" i="10"/>
  <c r="D37" i="10"/>
  <c r="N36" i="10"/>
  <c r="H36" i="10"/>
  <c r="G36" i="10"/>
  <c r="F36" i="10"/>
  <c r="E36" i="10"/>
  <c r="D36" i="10"/>
  <c r="N35" i="10"/>
  <c r="M35" i="10"/>
  <c r="G35" i="10"/>
  <c r="F35" i="10"/>
  <c r="E35" i="10"/>
  <c r="D35" i="10"/>
  <c r="N34" i="10"/>
  <c r="M34" i="10"/>
  <c r="L34" i="10"/>
  <c r="F34" i="10"/>
  <c r="E34" i="10"/>
  <c r="D34" i="10"/>
  <c r="N33" i="10"/>
  <c r="M33" i="10"/>
  <c r="L33" i="10"/>
  <c r="K33" i="10"/>
  <c r="E33" i="10"/>
  <c r="D33" i="10"/>
  <c r="N32" i="10"/>
  <c r="M32" i="10"/>
  <c r="L32" i="10"/>
  <c r="K32" i="10"/>
  <c r="J32" i="10"/>
  <c r="D32" i="10"/>
  <c r="N31" i="10"/>
  <c r="M31" i="10"/>
  <c r="L31" i="10"/>
  <c r="K31" i="10"/>
  <c r="J31" i="10"/>
  <c r="I31" i="10"/>
  <c r="D30" i="10"/>
  <c r="D29" i="10"/>
  <c r="M27" i="10"/>
  <c r="L27" i="10"/>
  <c r="K27" i="10"/>
  <c r="J27" i="10"/>
  <c r="I27" i="10"/>
  <c r="H27" i="10"/>
  <c r="G27" i="10"/>
  <c r="F27" i="10"/>
  <c r="E27" i="10"/>
  <c r="D27" i="10"/>
  <c r="L26" i="10"/>
  <c r="K26" i="10"/>
  <c r="J26" i="10"/>
  <c r="I26" i="10"/>
  <c r="H26" i="10"/>
  <c r="G26" i="10"/>
  <c r="F26" i="10"/>
  <c r="E26" i="10"/>
  <c r="D26" i="10"/>
  <c r="K25" i="10"/>
  <c r="J25" i="10"/>
  <c r="I25" i="10"/>
  <c r="H25" i="10"/>
  <c r="G25" i="10"/>
  <c r="F25" i="10"/>
  <c r="E25" i="10"/>
  <c r="D25" i="10"/>
  <c r="J24" i="10"/>
  <c r="I24" i="10"/>
  <c r="H24" i="10"/>
  <c r="G24" i="10"/>
  <c r="F24" i="10"/>
  <c r="E24" i="10"/>
  <c r="D24" i="10"/>
  <c r="I23" i="10"/>
  <c r="H23" i="10"/>
  <c r="G23" i="10"/>
  <c r="F23" i="10"/>
  <c r="E23" i="10"/>
  <c r="D23" i="10"/>
  <c r="H22" i="10"/>
  <c r="G22" i="10"/>
  <c r="F22" i="10"/>
  <c r="E22" i="10"/>
  <c r="D22" i="10"/>
  <c r="G21" i="10"/>
  <c r="F21" i="10"/>
  <c r="E21" i="10"/>
  <c r="D21" i="10"/>
  <c r="F20" i="10"/>
  <c r="E20" i="10"/>
  <c r="D20" i="10"/>
  <c r="E19" i="10"/>
  <c r="D19" i="10"/>
  <c r="D18" i="10"/>
  <c r="D13" i="10"/>
  <c r="G146" i="9"/>
  <c r="F146" i="9"/>
  <c r="E146" i="9"/>
  <c r="D116" i="9"/>
  <c r="D114" i="9"/>
  <c r="D115" i="9" s="1"/>
  <c r="D112" i="9"/>
  <c r="D110" i="9"/>
  <c r="D111" i="9" s="1"/>
  <c r="D109" i="9"/>
  <c r="D108" i="9"/>
  <c r="D73" i="9"/>
  <c r="D71" i="9"/>
  <c r="D72" i="9" s="1"/>
  <c r="D69" i="9"/>
  <c r="D67" i="9"/>
  <c r="D66" i="9"/>
  <c r="D65" i="9"/>
  <c r="D30" i="9"/>
  <c r="D28" i="9"/>
  <c r="D29" i="9" s="1"/>
  <c r="D26" i="9"/>
  <c r="D24" i="9"/>
  <c r="D23" i="9"/>
  <c r="D22" i="9"/>
  <c r="C305" i="8"/>
  <c r="C304" i="8"/>
  <c r="C303" i="8"/>
  <c r="C302" i="8"/>
  <c r="C301" i="8"/>
  <c r="C300" i="8"/>
  <c r="C299" i="8"/>
  <c r="C298" i="8"/>
  <c r="N235" i="8"/>
  <c r="N121" i="9" s="1"/>
  <c r="M235" i="8"/>
  <c r="M121" i="9" s="1"/>
  <c r="L235" i="8"/>
  <c r="L121" i="9" s="1"/>
  <c r="K235" i="8"/>
  <c r="K121" i="9" s="1"/>
  <c r="J235" i="8"/>
  <c r="J121" i="9" s="1"/>
  <c r="I235" i="8"/>
  <c r="I121" i="9" s="1"/>
  <c r="H235" i="8"/>
  <c r="H121" i="9" s="1"/>
  <c r="G235" i="8"/>
  <c r="G121" i="9" s="1"/>
  <c r="F235" i="8"/>
  <c r="F121" i="9" s="1"/>
  <c r="E235" i="8"/>
  <c r="E121" i="9" s="1"/>
  <c r="D235" i="8"/>
  <c r="D121" i="9" s="1"/>
  <c r="D230" i="8"/>
  <c r="D106" i="9" s="1"/>
  <c r="D229" i="8"/>
  <c r="D228" i="8"/>
  <c r="N197" i="8"/>
  <c r="N78" i="9" s="1"/>
  <c r="N93" i="2" s="1"/>
  <c r="M197" i="8"/>
  <c r="M78" i="9" s="1"/>
  <c r="L197" i="8"/>
  <c r="L78" i="9" s="1"/>
  <c r="L93" i="2" s="1"/>
  <c r="K197" i="8"/>
  <c r="K78" i="9" s="1"/>
  <c r="K93" i="2" s="1"/>
  <c r="J197" i="8"/>
  <c r="J78" i="9" s="1"/>
  <c r="I197" i="8"/>
  <c r="I78" i="9" s="1"/>
  <c r="H197" i="8"/>
  <c r="H78" i="9" s="1"/>
  <c r="H93" i="2" s="1"/>
  <c r="G197" i="8"/>
  <c r="G78" i="9" s="1"/>
  <c r="G93" i="2" s="1"/>
  <c r="F197" i="8"/>
  <c r="F78" i="9" s="1"/>
  <c r="F93" i="2" s="1"/>
  <c r="E197" i="8"/>
  <c r="E78" i="9" s="1"/>
  <c r="D197" i="8"/>
  <c r="D78" i="9" s="1"/>
  <c r="D93" i="2" s="1"/>
  <c r="D192" i="8"/>
  <c r="D63" i="9" s="1"/>
  <c r="D83" i="2" s="1"/>
  <c r="D191" i="8"/>
  <c r="D272" i="8" s="1"/>
  <c r="D190" i="8"/>
  <c r="N159" i="8"/>
  <c r="N35" i="9" s="1"/>
  <c r="M159" i="8"/>
  <c r="M35" i="9" s="1"/>
  <c r="L159" i="8"/>
  <c r="L35" i="9" s="1"/>
  <c r="K159" i="8"/>
  <c r="K35" i="9" s="1"/>
  <c r="J159" i="8"/>
  <c r="J35" i="9" s="1"/>
  <c r="I159" i="8"/>
  <c r="I35" i="9" s="1"/>
  <c r="H159" i="8"/>
  <c r="H35" i="9" s="1"/>
  <c r="G159" i="8"/>
  <c r="G35" i="9" s="1"/>
  <c r="F159" i="8"/>
  <c r="F35" i="9" s="1"/>
  <c r="E159" i="8"/>
  <c r="E35" i="9" s="1"/>
  <c r="D159" i="8"/>
  <c r="D35" i="9" s="1"/>
  <c r="D154" i="8"/>
  <c r="D20" i="9" s="1"/>
  <c r="D153" i="8"/>
  <c r="D152" i="8"/>
  <c r="C115" i="8"/>
  <c r="B115" i="8"/>
  <c r="A115" i="8"/>
  <c r="C114" i="8"/>
  <c r="B114" i="8"/>
  <c r="A114" i="8"/>
  <c r="C113" i="8"/>
  <c r="B113" i="8"/>
  <c r="A113" i="8"/>
  <c r="C112" i="8"/>
  <c r="B112" i="8"/>
  <c r="A112" i="8"/>
  <c r="C111" i="8"/>
  <c r="B111" i="8"/>
  <c r="A111" i="8"/>
  <c r="C110" i="8"/>
  <c r="B110" i="8"/>
  <c r="A110" i="8"/>
  <c r="C109" i="8"/>
  <c r="B109" i="8"/>
  <c r="A109" i="8"/>
  <c r="C108" i="8"/>
  <c r="B108" i="8"/>
  <c r="A108" i="8"/>
  <c r="C107" i="8"/>
  <c r="B107" i="8"/>
  <c r="A107" i="8"/>
  <c r="O99" i="8"/>
  <c r="H99" i="8"/>
  <c r="I99" i="8" s="1"/>
  <c r="O98" i="8"/>
  <c r="H98" i="8"/>
  <c r="I98" i="8" s="1"/>
  <c r="O97" i="8"/>
  <c r="H97" i="8"/>
  <c r="O96" i="8"/>
  <c r="H96" i="8"/>
  <c r="O95" i="8"/>
  <c r="H95" i="8"/>
  <c r="O94" i="8"/>
  <c r="H94" i="8"/>
  <c r="H89" i="8"/>
  <c r="H88" i="8"/>
  <c r="I88" i="8" s="1"/>
  <c r="H87" i="8"/>
  <c r="H82" i="8"/>
  <c r="H81" i="8"/>
  <c r="I80" i="8"/>
  <c r="H80" i="8"/>
  <c r="H79" i="8"/>
  <c r="H74" i="8"/>
  <c r="H73" i="8"/>
  <c r="I73" i="8" s="1"/>
  <c r="H72" i="8"/>
  <c r="I72" i="8" s="1"/>
  <c r="H71" i="8"/>
  <c r="H70" i="8"/>
  <c r="I70" i="8" s="1"/>
  <c r="H69" i="8"/>
  <c r="H68" i="8"/>
  <c r="H67" i="8"/>
  <c r="I67" i="8" s="1"/>
  <c r="H66" i="8"/>
  <c r="I66" i="8" s="1"/>
  <c r="S60" i="8"/>
  <c r="R60" i="8"/>
  <c r="Q60" i="8"/>
  <c r="P60" i="8"/>
  <c r="H60" i="8"/>
  <c r="D60" i="8"/>
  <c r="O60" i="8" s="1"/>
  <c r="S59" i="8"/>
  <c r="R59" i="8"/>
  <c r="Q59" i="8"/>
  <c r="P59" i="8"/>
  <c r="H59" i="8"/>
  <c r="E59" i="8"/>
  <c r="D59" i="8"/>
  <c r="O59" i="8" s="1"/>
  <c r="S58" i="8"/>
  <c r="R58" i="8"/>
  <c r="Q58" i="8"/>
  <c r="P58" i="8"/>
  <c r="H58" i="8"/>
  <c r="I58" i="8" s="1"/>
  <c r="E58" i="8"/>
  <c r="D58" i="8"/>
  <c r="O58" i="8" s="1"/>
  <c r="S57" i="8"/>
  <c r="R57" i="8"/>
  <c r="Q57" i="8"/>
  <c r="P57" i="8"/>
  <c r="H57" i="8"/>
  <c r="D57" i="8"/>
  <c r="O57" i="8" s="1"/>
  <c r="S56" i="8"/>
  <c r="R56" i="8"/>
  <c r="Q56" i="8"/>
  <c r="P56" i="8"/>
  <c r="H56" i="8"/>
  <c r="E56" i="8"/>
  <c r="D56" i="8"/>
  <c r="O56" i="8" s="1"/>
  <c r="S55" i="8"/>
  <c r="R55" i="8"/>
  <c r="Q55" i="8"/>
  <c r="P55" i="8"/>
  <c r="H55" i="8"/>
  <c r="I55" i="8" s="1"/>
  <c r="E55" i="8"/>
  <c r="D55" i="8"/>
  <c r="O55" i="8" s="1"/>
  <c r="S54" i="8"/>
  <c r="R54" i="8"/>
  <c r="Q54" i="8"/>
  <c r="P54" i="8"/>
  <c r="H54" i="8"/>
  <c r="I54" i="8" s="1"/>
  <c r="D54" i="8"/>
  <c r="O54" i="8" s="1"/>
  <c r="S53" i="8"/>
  <c r="R53" i="8"/>
  <c r="Q53" i="8"/>
  <c r="P53" i="8"/>
  <c r="H53" i="8"/>
  <c r="I53" i="8" s="1"/>
  <c r="B12" i="12" s="1"/>
  <c r="C12" i="12" s="1"/>
  <c r="D53" i="8"/>
  <c r="O53" i="8" s="1"/>
  <c r="S52" i="8"/>
  <c r="R52" i="8"/>
  <c r="Q52" i="8"/>
  <c r="P52" i="8"/>
  <c r="H52" i="8"/>
  <c r="I52" i="8" s="1"/>
  <c r="D52" i="8"/>
  <c r="O52" i="8" s="1"/>
  <c r="S51" i="8"/>
  <c r="R51" i="8"/>
  <c r="Q51" i="8"/>
  <c r="P51" i="8"/>
  <c r="O51" i="8"/>
  <c r="H51" i="8"/>
  <c r="I51" i="8" s="1"/>
  <c r="E51" i="8"/>
  <c r="D51" i="8"/>
  <c r="S50" i="8"/>
  <c r="R50" i="8"/>
  <c r="Q50" i="8"/>
  <c r="P50" i="8"/>
  <c r="O50" i="8"/>
  <c r="H50" i="8"/>
  <c r="S49" i="8"/>
  <c r="R49" i="8"/>
  <c r="Q49" i="8"/>
  <c r="P49" i="8"/>
  <c r="H49" i="8"/>
  <c r="I49" i="8" s="1"/>
  <c r="E49" i="8"/>
  <c r="D49" i="8"/>
  <c r="O49" i="8" s="1"/>
  <c r="S48" i="8"/>
  <c r="R48" i="8"/>
  <c r="Q48" i="8"/>
  <c r="P48" i="8"/>
  <c r="H48" i="8"/>
  <c r="D48" i="8"/>
  <c r="O48" i="8" s="1"/>
  <c r="S47" i="8"/>
  <c r="R47" i="8"/>
  <c r="Q47" i="8"/>
  <c r="P47" i="8"/>
  <c r="H47" i="8"/>
  <c r="D47" i="8"/>
  <c r="O47" i="8" s="1"/>
  <c r="D42" i="8"/>
  <c r="H25" i="8"/>
  <c r="D194" i="7"/>
  <c r="D176" i="7"/>
  <c r="K160" i="7"/>
  <c r="J160" i="7"/>
  <c r="I160" i="7"/>
  <c r="H160" i="7"/>
  <c r="G160" i="7"/>
  <c r="F160" i="7"/>
  <c r="E160" i="7"/>
  <c r="D160" i="7"/>
  <c r="J159" i="7"/>
  <c r="I159" i="7"/>
  <c r="H159" i="7"/>
  <c r="G159" i="7"/>
  <c r="F159" i="7"/>
  <c r="E159" i="7"/>
  <c r="D159" i="7"/>
  <c r="I158" i="7"/>
  <c r="H158" i="7"/>
  <c r="G158" i="7"/>
  <c r="F158" i="7"/>
  <c r="E158" i="7"/>
  <c r="D158" i="7"/>
  <c r="H157" i="7"/>
  <c r="G157" i="7"/>
  <c r="F157" i="7"/>
  <c r="E157" i="7"/>
  <c r="D157" i="7"/>
  <c r="G156" i="7"/>
  <c r="F156" i="7"/>
  <c r="E156" i="7"/>
  <c r="D156" i="7"/>
  <c r="F155" i="7"/>
  <c r="E155" i="7"/>
  <c r="D155" i="7"/>
  <c r="E154" i="7"/>
  <c r="D154" i="7"/>
  <c r="D153" i="7"/>
  <c r="J151" i="7"/>
  <c r="I151" i="7"/>
  <c r="H151" i="7"/>
  <c r="G151" i="7"/>
  <c r="F151" i="7"/>
  <c r="E151" i="7"/>
  <c r="D151" i="7"/>
  <c r="I150" i="7"/>
  <c r="H150" i="7"/>
  <c r="G150" i="7"/>
  <c r="F150" i="7"/>
  <c r="E150" i="7"/>
  <c r="D150" i="7"/>
  <c r="H149" i="7"/>
  <c r="G149" i="7"/>
  <c r="F149" i="7"/>
  <c r="E149" i="7"/>
  <c r="D149" i="7"/>
  <c r="G148" i="7"/>
  <c r="F148" i="7"/>
  <c r="E148" i="7"/>
  <c r="D148" i="7"/>
  <c r="F147" i="7"/>
  <c r="E147" i="7"/>
  <c r="D147" i="7"/>
  <c r="E146" i="7"/>
  <c r="D146" i="7"/>
  <c r="D145" i="7"/>
  <c r="D142" i="7"/>
  <c r="D137" i="7"/>
  <c r="D136" i="7"/>
  <c r="D131" i="7"/>
  <c r="D113" i="7"/>
  <c r="K97" i="7"/>
  <c r="J97" i="7"/>
  <c r="I97" i="7"/>
  <c r="H97" i="7"/>
  <c r="G97" i="7"/>
  <c r="F97" i="7"/>
  <c r="E97" i="7"/>
  <c r="D97" i="7"/>
  <c r="J96" i="7"/>
  <c r="I96" i="7"/>
  <c r="H96" i="7"/>
  <c r="G96" i="7"/>
  <c r="F96" i="7"/>
  <c r="E96" i="7"/>
  <c r="D96" i="7"/>
  <c r="I95" i="7"/>
  <c r="H95" i="7"/>
  <c r="G95" i="7"/>
  <c r="F95" i="7"/>
  <c r="E95" i="7"/>
  <c r="D95" i="7"/>
  <c r="H94" i="7"/>
  <c r="G94" i="7"/>
  <c r="F94" i="7"/>
  <c r="E94" i="7"/>
  <c r="D94" i="7"/>
  <c r="G93" i="7"/>
  <c r="F93" i="7"/>
  <c r="E93" i="7"/>
  <c r="D93" i="7"/>
  <c r="F92" i="7"/>
  <c r="E92" i="7"/>
  <c r="D92" i="7"/>
  <c r="E91" i="7"/>
  <c r="D91" i="7"/>
  <c r="D90" i="7"/>
  <c r="J88" i="7"/>
  <c r="I88" i="7"/>
  <c r="I56" i="2" s="1"/>
  <c r="H88" i="7"/>
  <c r="G88" i="7"/>
  <c r="F88" i="7"/>
  <c r="F56" i="2" s="1"/>
  <c r="E88" i="7"/>
  <c r="E56" i="2" s="1"/>
  <c r="D88" i="7"/>
  <c r="D56" i="2" s="1"/>
  <c r="I87" i="7"/>
  <c r="H87" i="7"/>
  <c r="G87" i="7"/>
  <c r="G55" i="2" s="1"/>
  <c r="F87" i="7"/>
  <c r="E87" i="7"/>
  <c r="D87" i="7"/>
  <c r="H86" i="7"/>
  <c r="H54" i="2" s="1"/>
  <c r="G86" i="7"/>
  <c r="G54" i="2" s="1"/>
  <c r="F86" i="7"/>
  <c r="E86" i="7"/>
  <c r="D86" i="7"/>
  <c r="G85" i="7"/>
  <c r="F85" i="7"/>
  <c r="E85" i="7"/>
  <c r="E53" i="2" s="1"/>
  <c r="D85" i="7"/>
  <c r="D53" i="2" s="1"/>
  <c r="F84" i="7"/>
  <c r="F52" i="2" s="1"/>
  <c r="E84" i="7"/>
  <c r="D84" i="7"/>
  <c r="E83" i="7"/>
  <c r="D83" i="7"/>
  <c r="D82" i="7"/>
  <c r="D79" i="7"/>
  <c r="D74" i="7"/>
  <c r="D73" i="7"/>
  <c r="D68" i="7"/>
  <c r="D50" i="7"/>
  <c r="D147" i="8" s="1"/>
  <c r="K34" i="7"/>
  <c r="J34" i="7"/>
  <c r="I34" i="7"/>
  <c r="H34" i="7"/>
  <c r="G34" i="7"/>
  <c r="F34" i="7"/>
  <c r="E34" i="7"/>
  <c r="D34" i="7"/>
  <c r="J33" i="7"/>
  <c r="I33" i="7"/>
  <c r="H33" i="7"/>
  <c r="G33" i="7"/>
  <c r="F33" i="7"/>
  <c r="E33" i="7"/>
  <c r="D33" i="7"/>
  <c r="I32" i="7"/>
  <c r="H32" i="7"/>
  <c r="G32" i="7"/>
  <c r="F32" i="7"/>
  <c r="E32" i="7"/>
  <c r="D32" i="7"/>
  <c r="H31" i="7"/>
  <c r="G31" i="7"/>
  <c r="F31" i="7"/>
  <c r="E31" i="7"/>
  <c r="D31" i="7"/>
  <c r="G30" i="7"/>
  <c r="F30" i="7"/>
  <c r="E30" i="7"/>
  <c r="D30" i="7"/>
  <c r="F29" i="7"/>
  <c r="E29" i="7"/>
  <c r="D29" i="7"/>
  <c r="E28" i="7"/>
  <c r="D28" i="7"/>
  <c r="D27" i="7"/>
  <c r="J25" i="7"/>
  <c r="I25" i="7"/>
  <c r="H25" i="7"/>
  <c r="G25" i="7"/>
  <c r="F25" i="7"/>
  <c r="E25" i="7"/>
  <c r="D25" i="7"/>
  <c r="I24" i="7"/>
  <c r="H24" i="7"/>
  <c r="G24" i="7"/>
  <c r="F24" i="7"/>
  <c r="E24" i="7"/>
  <c r="D24" i="7"/>
  <c r="H23" i="7"/>
  <c r="G23" i="7"/>
  <c r="F23" i="7"/>
  <c r="E23" i="7"/>
  <c r="D23" i="7"/>
  <c r="G22" i="7"/>
  <c r="F22" i="7"/>
  <c r="E22" i="7"/>
  <c r="D22" i="7"/>
  <c r="F21" i="7"/>
  <c r="E21" i="7"/>
  <c r="D21" i="7"/>
  <c r="E20" i="7"/>
  <c r="D20" i="7"/>
  <c r="D19" i="7"/>
  <c r="D16" i="7"/>
  <c r="D11" i="7"/>
  <c r="D10" i="7"/>
  <c r="G14" i="6"/>
  <c r="F14" i="6"/>
  <c r="E14" i="6"/>
  <c r="K10" i="6"/>
  <c r="J10" i="6"/>
  <c r="I10" i="6"/>
  <c r="G10" i="6"/>
  <c r="F10" i="6"/>
  <c r="E10" i="6"/>
  <c r="K9" i="6"/>
  <c r="J9" i="6"/>
  <c r="I9" i="6"/>
  <c r="G9" i="6"/>
  <c r="F9" i="6"/>
  <c r="E9" i="6"/>
  <c r="K8" i="6"/>
  <c r="J8" i="6"/>
  <c r="I8" i="6"/>
  <c r="G8" i="6"/>
  <c r="F8" i="6"/>
  <c r="E8" i="6"/>
  <c r="F48" i="5"/>
  <c r="F45" i="5"/>
  <c r="F44" i="5"/>
  <c r="F46" i="5" s="1"/>
  <c r="N35" i="5"/>
  <c r="P33" i="5"/>
  <c r="O33" i="5"/>
  <c r="N33" i="5"/>
  <c r="P32" i="5"/>
  <c r="O32" i="5"/>
  <c r="N32" i="5"/>
  <c r="M32" i="5"/>
  <c r="L32" i="5"/>
  <c r="K32" i="5"/>
  <c r="J32" i="5"/>
  <c r="I32" i="5"/>
  <c r="H32" i="5"/>
  <c r="G32" i="5"/>
  <c r="F32" i="5"/>
  <c r="P31" i="5"/>
  <c r="O31" i="5"/>
  <c r="N31" i="5"/>
  <c r="M31" i="5"/>
  <c r="L31" i="5"/>
  <c r="K31" i="5"/>
  <c r="J31" i="5"/>
  <c r="I31" i="5"/>
  <c r="H31" i="5"/>
  <c r="G31" i="5"/>
  <c r="F31" i="5"/>
  <c r="P30" i="5"/>
  <c r="O30" i="5"/>
  <c r="N30" i="5"/>
  <c r="P29" i="5"/>
  <c r="O29" i="5"/>
  <c r="N29" i="5"/>
  <c r="P28" i="5"/>
  <c r="O28" i="5"/>
  <c r="N28" i="5"/>
  <c r="P27" i="5"/>
  <c r="O27" i="5"/>
  <c r="N27" i="5"/>
  <c r="P26" i="5"/>
  <c r="O26" i="5"/>
  <c r="N26" i="5"/>
  <c r="P25" i="5"/>
  <c r="O25" i="5"/>
  <c r="N25" i="5"/>
  <c r="P24" i="5"/>
  <c r="O24" i="5"/>
  <c r="N24" i="5"/>
  <c r="G24" i="5"/>
  <c r="P23" i="5"/>
  <c r="O23" i="5"/>
  <c r="N23" i="5"/>
  <c r="P22" i="5"/>
  <c r="N177" i="7" s="1"/>
  <c r="O22" i="5"/>
  <c r="N22" i="5"/>
  <c r="L177" i="7" s="1"/>
  <c r="P21" i="5"/>
  <c r="O21" i="5"/>
  <c r="N21" i="5"/>
  <c r="P20" i="5"/>
  <c r="O20" i="5"/>
  <c r="N20" i="5"/>
  <c r="P19" i="5"/>
  <c r="P38" i="5" s="1"/>
  <c r="O19" i="5"/>
  <c r="O39" i="5" s="1"/>
  <c r="N19" i="5"/>
  <c r="M19" i="5"/>
  <c r="M38" i="5" s="1"/>
  <c r="L19" i="5"/>
  <c r="K19" i="5"/>
  <c r="J19" i="5"/>
  <c r="I19" i="5"/>
  <c r="I34" i="5" s="1"/>
  <c r="H19" i="5"/>
  <c r="G19" i="5"/>
  <c r="G34" i="5" s="1"/>
  <c r="F19" i="5"/>
  <c r="T15" i="5"/>
  <c r="S15" i="5"/>
  <c r="V14" i="5"/>
  <c r="F115" i="8" s="1"/>
  <c r="U14" i="5"/>
  <c r="M33" i="5" s="1"/>
  <c r="Q14" i="5"/>
  <c r="M29" i="5" s="1"/>
  <c r="M14" i="5"/>
  <c r="K14" i="5"/>
  <c r="M24" i="5" s="1"/>
  <c r="F14" i="5"/>
  <c r="I14" i="5" s="1"/>
  <c r="W14" i="5" s="1"/>
  <c r="V13" i="5"/>
  <c r="F114" i="8" s="1"/>
  <c r="U13" i="5"/>
  <c r="L33" i="5" s="1"/>
  <c r="Q13" i="5"/>
  <c r="L29" i="5" s="1"/>
  <c r="K13" i="5"/>
  <c r="L24" i="5" s="1"/>
  <c r="F13" i="5"/>
  <c r="L20" i="5" s="1"/>
  <c r="V12" i="5"/>
  <c r="F113" i="8" s="1"/>
  <c r="U12" i="5"/>
  <c r="K33" i="5" s="1"/>
  <c r="Q12" i="5"/>
  <c r="K29" i="5" s="1"/>
  <c r="K12" i="5"/>
  <c r="K24" i="5" s="1"/>
  <c r="F12" i="5"/>
  <c r="I12" i="5" s="1"/>
  <c r="V11" i="5"/>
  <c r="F112" i="8" s="1"/>
  <c r="U11" i="5"/>
  <c r="J33" i="5" s="1"/>
  <c r="Q11" i="5"/>
  <c r="J29" i="5" s="1"/>
  <c r="K11" i="5"/>
  <c r="J24" i="5" s="1"/>
  <c r="F11" i="5"/>
  <c r="M11" i="5" s="1"/>
  <c r="V10" i="5"/>
  <c r="F111" i="8" s="1"/>
  <c r="U10" i="5"/>
  <c r="Q10" i="5"/>
  <c r="K10" i="5"/>
  <c r="L10" i="5" s="1"/>
  <c r="F10" i="5"/>
  <c r="I10" i="5" s="1"/>
  <c r="V9" i="5"/>
  <c r="F110" i="8" s="1"/>
  <c r="U9" i="5"/>
  <c r="Q9" i="5"/>
  <c r="K9" i="5"/>
  <c r="F9" i="5"/>
  <c r="I9" i="5" s="1"/>
  <c r="V8" i="5"/>
  <c r="F109" i="8" s="1"/>
  <c r="U8" i="5"/>
  <c r="H33" i="5" s="1"/>
  <c r="Q8" i="5"/>
  <c r="H29" i="5" s="1"/>
  <c r="M8" i="5"/>
  <c r="L8" i="5"/>
  <c r="H25" i="5" s="1"/>
  <c r="K8" i="5"/>
  <c r="H24" i="5" s="1"/>
  <c r="F8" i="5"/>
  <c r="I8" i="5" s="1"/>
  <c r="V7" i="5"/>
  <c r="F108" i="8" s="1"/>
  <c r="U7" i="5"/>
  <c r="G33" i="5" s="1"/>
  <c r="Q7" i="5"/>
  <c r="G29" i="5" s="1"/>
  <c r="K7" i="5"/>
  <c r="L7" i="5" s="1"/>
  <c r="G25" i="5" s="1"/>
  <c r="F7" i="5"/>
  <c r="G20" i="5" s="1"/>
  <c r="V6" i="5"/>
  <c r="F107" i="8" s="1"/>
  <c r="U6" i="5"/>
  <c r="Q6" i="5"/>
  <c r="F29" i="5" s="1"/>
  <c r="M6" i="5"/>
  <c r="D23" i="6" s="1"/>
  <c r="C72" i="1" s="1"/>
  <c r="K6" i="5"/>
  <c r="L6" i="5" s="1"/>
  <c r="F25" i="5" s="1"/>
  <c r="F6" i="5"/>
  <c r="C5" i="1" s="1"/>
  <c r="F32" i="4"/>
  <c r="D32" i="4"/>
  <c r="F31" i="4"/>
  <c r="D31" i="4"/>
  <c r="E30" i="4"/>
  <c r="F18" i="4"/>
  <c r="E18" i="4"/>
  <c r="D18" i="4"/>
  <c r="E8" i="4"/>
  <c r="A29" i="2" s="1"/>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C28" i="3"/>
  <c r="F79" i="4" s="1"/>
  <c r="C24" i="3"/>
  <c r="B70" i="12" s="1"/>
  <c r="C70" i="12" s="1"/>
  <c r="F17" i="3"/>
  <c r="E17" i="3"/>
  <c r="C9" i="3"/>
  <c r="E27" i="3" s="1"/>
  <c r="F27" i="3" s="1"/>
  <c r="C27" i="3" s="1"/>
  <c r="D144" i="2"/>
  <c r="D118" i="2"/>
  <c r="N105" i="2"/>
  <c r="M105" i="2"/>
  <c r="L105" i="2"/>
  <c r="J105" i="2"/>
  <c r="I105" i="2"/>
  <c r="H105" i="2"/>
  <c r="G105" i="2"/>
  <c r="F105" i="2"/>
  <c r="E105" i="2"/>
  <c r="D105" i="2"/>
  <c r="M93" i="2"/>
  <c r="J93" i="2"/>
  <c r="I93" i="2"/>
  <c r="E93" i="2"/>
  <c r="D90" i="2"/>
  <c r="D89" i="2"/>
  <c r="D85" i="2"/>
  <c r="J56" i="2"/>
  <c r="H56" i="2"/>
  <c r="G56" i="2"/>
  <c r="I55" i="2"/>
  <c r="H55" i="2"/>
  <c r="F55" i="2"/>
  <c r="E55" i="2"/>
  <c r="D55" i="2"/>
  <c r="F54" i="2"/>
  <c r="E54" i="2"/>
  <c r="D54" i="2"/>
  <c r="G53" i="2"/>
  <c r="F53" i="2"/>
  <c r="E52" i="2"/>
  <c r="D52" i="2"/>
  <c r="E51" i="2"/>
  <c r="D51" i="2"/>
  <c r="D50" i="2"/>
  <c r="C18" i="2"/>
  <c r="C147" i="1"/>
  <c r="C146" i="1"/>
  <c r="C141" i="1"/>
  <c r="C119" i="1"/>
  <c r="D98" i="1"/>
  <c r="D97" i="1"/>
  <c r="D96" i="1"/>
  <c r="D95" i="1"/>
  <c r="C74" i="1"/>
  <c r="C63" i="1"/>
  <c r="C7" i="1"/>
  <c r="C6" i="1"/>
  <c r="D62" i="10" l="1"/>
  <c r="A60" i="1"/>
  <c r="I24" i="5"/>
  <c r="I20" i="5"/>
  <c r="I95" i="8"/>
  <c r="I96" i="8"/>
  <c r="F30" i="4"/>
  <c r="L9" i="5"/>
  <c r="I25" i="5" s="1"/>
  <c r="M10" i="5"/>
  <c r="M20" i="5"/>
  <c r="I56" i="8"/>
  <c r="I87" i="8"/>
  <c r="O34" i="5"/>
  <c r="M9" i="5"/>
  <c r="I29" i="5"/>
  <c r="M7" i="5"/>
  <c r="N7" i="5" s="1"/>
  <c r="I33" i="5"/>
  <c r="I68" i="8"/>
  <c r="G11" i="6"/>
  <c r="G12" i="6" s="1"/>
  <c r="E18" i="3"/>
  <c r="F18" i="3" s="1"/>
  <c r="C23" i="3" s="1"/>
  <c r="F29" i="4" s="1"/>
  <c r="I13" i="5"/>
  <c r="D68" i="9"/>
  <c r="D87" i="2" s="1"/>
  <c r="E13" i="3"/>
  <c r="F13" i="3" s="1"/>
  <c r="I11" i="5"/>
  <c r="D38" i="7"/>
  <c r="I60" i="8"/>
  <c r="I74" i="8"/>
  <c r="I97" i="8"/>
  <c r="E12" i="3"/>
  <c r="F12" i="3" s="1"/>
  <c r="C21" i="3" s="1"/>
  <c r="D27" i="4" s="1"/>
  <c r="N8" i="5"/>
  <c r="P8" i="5" s="1"/>
  <c r="H28" i="5" s="1"/>
  <c r="F149" i="10" s="1"/>
  <c r="D30" i="4"/>
  <c r="I6" i="5"/>
  <c r="W6" i="5" s="1"/>
  <c r="I7" i="5"/>
  <c r="G22" i="5" s="1"/>
  <c r="L12" i="5"/>
  <c r="K25" i="5" s="1"/>
  <c r="M13" i="5"/>
  <c r="I79" i="8"/>
  <c r="I89" i="8"/>
  <c r="E11" i="6"/>
  <c r="E12" i="6" s="1"/>
  <c r="E14" i="3"/>
  <c r="F14" i="3" s="1"/>
  <c r="M12" i="5"/>
  <c r="N12" i="5" s="1"/>
  <c r="H20" i="5"/>
  <c r="N114" i="7"/>
  <c r="I57" i="8"/>
  <c r="I59" i="8"/>
  <c r="I69" i="8"/>
  <c r="I94" i="8"/>
  <c r="E15" i="3"/>
  <c r="F15" i="3" s="1"/>
  <c r="D130" i="2"/>
  <c r="E16" i="3"/>
  <c r="F16" i="3" s="1"/>
  <c r="K20" i="5"/>
  <c r="I71" i="8"/>
  <c r="I81" i="8"/>
  <c r="D178" i="10"/>
  <c r="D164" i="7"/>
  <c r="N14" i="5"/>
  <c r="M26" i="5" s="1"/>
  <c r="D101" i="7"/>
  <c r="D102" i="7" s="1"/>
  <c r="D108" i="7" s="1"/>
  <c r="I82" i="8"/>
  <c r="E29" i="4"/>
  <c r="D29" i="4"/>
  <c r="I149" i="10"/>
  <c r="G91" i="10"/>
  <c r="E177" i="7"/>
  <c r="E51" i="7"/>
  <c r="E114" i="7"/>
  <c r="F74" i="4"/>
  <c r="D74" i="4"/>
  <c r="D27" i="9" s="1"/>
  <c r="E74" i="4"/>
  <c r="E27" i="4"/>
  <c r="F33" i="5"/>
  <c r="U15" i="5"/>
  <c r="D109" i="8"/>
  <c r="H22" i="5"/>
  <c r="J8" i="5"/>
  <c r="W8" i="5"/>
  <c r="D134" i="7"/>
  <c r="N151" i="7" s="1"/>
  <c r="N213" i="8" s="1"/>
  <c r="G13" i="6"/>
  <c r="F27" i="4"/>
  <c r="B18" i="12"/>
  <c r="C18" i="12" s="1"/>
  <c r="N9" i="5"/>
  <c r="L13" i="5"/>
  <c r="L25" i="5" s="1"/>
  <c r="F34" i="5"/>
  <c r="F38" i="5"/>
  <c r="N34" i="5"/>
  <c r="N39" i="5"/>
  <c r="N38" i="5"/>
  <c r="N40" i="5" s="1"/>
  <c r="I175" i="8"/>
  <c r="G137" i="8"/>
  <c r="J213" i="8"/>
  <c r="H175" i="8"/>
  <c r="F137" i="8"/>
  <c r="I213" i="8"/>
  <c r="G175" i="8"/>
  <c r="E137" i="8"/>
  <c r="H213" i="8"/>
  <c r="F175" i="8"/>
  <c r="D137" i="8"/>
  <c r="G213" i="8"/>
  <c r="E175" i="8"/>
  <c r="E213" i="8"/>
  <c r="I137" i="8"/>
  <c r="J175" i="8"/>
  <c r="F213" i="8"/>
  <c r="D175" i="8"/>
  <c r="J137" i="8"/>
  <c r="K151" i="7"/>
  <c r="F19" i="11" s="1"/>
  <c r="K25" i="7"/>
  <c r="D19" i="11" s="1"/>
  <c r="K88" i="7"/>
  <c r="K175" i="8" s="1"/>
  <c r="H137" i="8"/>
  <c r="D213" i="8"/>
  <c r="M177" i="7"/>
  <c r="M114" i="7"/>
  <c r="O35" i="5"/>
  <c r="M51" i="7"/>
  <c r="L126" i="10"/>
  <c r="L68" i="10"/>
  <c r="L10" i="10"/>
  <c r="N157" i="10"/>
  <c r="N159" i="10"/>
  <c r="N99" i="10"/>
  <c r="N101" i="10"/>
  <c r="N41" i="10"/>
  <c r="N43" i="10"/>
  <c r="G234" i="8"/>
  <c r="G107" i="9" s="1"/>
  <c r="G158" i="8"/>
  <c r="G21" i="9" s="1"/>
  <c r="G196" i="8"/>
  <c r="G64" i="9" s="1"/>
  <c r="G84" i="2" s="1"/>
  <c r="D79" i="4"/>
  <c r="D110" i="8"/>
  <c r="I22" i="5"/>
  <c r="J9" i="5"/>
  <c r="W9" i="5"/>
  <c r="L11" i="5"/>
  <c r="J25" i="5" s="1"/>
  <c r="H34" i="5"/>
  <c r="P39" i="5"/>
  <c r="P34" i="5"/>
  <c r="L125" i="10"/>
  <c r="L67" i="10"/>
  <c r="L9" i="10"/>
  <c r="N37" i="5"/>
  <c r="D39" i="7"/>
  <c r="E79" i="4"/>
  <c r="N10" i="5"/>
  <c r="D113" i="8"/>
  <c r="J12" i="5"/>
  <c r="W12" i="5"/>
  <c r="L14" i="5"/>
  <c r="M25" i="5" s="1"/>
  <c r="M67" i="10"/>
  <c r="M125" i="10"/>
  <c r="M9" i="10"/>
  <c r="O37" i="5"/>
  <c r="O40" i="5" s="1"/>
  <c r="D22" i="6"/>
  <c r="F24" i="5"/>
  <c r="K15" i="5"/>
  <c r="D108" i="8"/>
  <c r="J7" i="5"/>
  <c r="W7" i="5"/>
  <c r="G35" i="5" s="1"/>
  <c r="N13" i="5"/>
  <c r="E132" i="8"/>
  <c r="D132" i="8"/>
  <c r="E170" i="8"/>
  <c r="D170" i="8"/>
  <c r="D208" i="8"/>
  <c r="E208" i="8"/>
  <c r="L146" i="7"/>
  <c r="L208" i="8" s="1"/>
  <c r="F20" i="7"/>
  <c r="F132" i="8" s="1"/>
  <c r="F83" i="7"/>
  <c r="F170" i="8" s="1"/>
  <c r="F146" i="7"/>
  <c r="F208" i="8" s="1"/>
  <c r="D111" i="8"/>
  <c r="J10" i="5"/>
  <c r="E111" i="8" s="1"/>
  <c r="W10" i="5"/>
  <c r="K38" i="5"/>
  <c r="K34" i="5"/>
  <c r="E171" i="8"/>
  <c r="F209" i="8"/>
  <c r="D171" i="8"/>
  <c r="E209" i="8"/>
  <c r="D209" i="8"/>
  <c r="E133" i="8"/>
  <c r="F133" i="8"/>
  <c r="D133" i="8"/>
  <c r="H147" i="7"/>
  <c r="H209" i="8" s="1"/>
  <c r="G21" i="7"/>
  <c r="G133" i="8" s="1"/>
  <c r="G147" i="7"/>
  <c r="G209" i="8" s="1"/>
  <c r="G84" i="7"/>
  <c r="G171" i="8" s="1"/>
  <c r="F171" i="8"/>
  <c r="K22" i="5"/>
  <c r="D115" i="8"/>
  <c r="J14" i="5"/>
  <c r="Q15" i="5"/>
  <c r="N11" i="5"/>
  <c r="D114" i="8"/>
  <c r="L22" i="5"/>
  <c r="J13" i="5"/>
  <c r="W13" i="5"/>
  <c r="L38" i="5"/>
  <c r="L34" i="5"/>
  <c r="G173" i="8"/>
  <c r="E135" i="8"/>
  <c r="H211" i="8"/>
  <c r="F173" i="8"/>
  <c r="D135" i="8"/>
  <c r="G211" i="8"/>
  <c r="E173" i="8"/>
  <c r="F211" i="8"/>
  <c r="D173" i="8"/>
  <c r="E211" i="8"/>
  <c r="I135" i="8"/>
  <c r="G135" i="8"/>
  <c r="H173" i="8"/>
  <c r="D211" i="8"/>
  <c r="H135" i="8"/>
  <c r="F135" i="8"/>
  <c r="J149" i="7"/>
  <c r="J211" i="8" s="1"/>
  <c r="I23" i="7"/>
  <c r="I149" i="7"/>
  <c r="I211" i="8" s="1"/>
  <c r="I86" i="7"/>
  <c r="I173" i="8" s="1"/>
  <c r="M22" i="5"/>
  <c r="H38" i="5"/>
  <c r="E234" i="8"/>
  <c r="E107" i="9" s="1"/>
  <c r="E196" i="8"/>
  <c r="E64" i="9" s="1"/>
  <c r="E84" i="2" s="1"/>
  <c r="E158" i="8"/>
  <c r="E21" i="9" s="1"/>
  <c r="M234" i="8"/>
  <c r="M107" i="9" s="1"/>
  <c r="M196" i="8"/>
  <c r="M64" i="9" s="1"/>
  <c r="M84" i="2" s="1"/>
  <c r="M158" i="8"/>
  <c r="M21" i="9" s="1"/>
  <c r="E145" i="7"/>
  <c r="D165" i="7"/>
  <c r="D169" i="8"/>
  <c r="J20" i="5"/>
  <c r="N67" i="10"/>
  <c r="N125" i="10"/>
  <c r="N9" i="10"/>
  <c r="G38" i="5"/>
  <c r="O38" i="5"/>
  <c r="L51" i="7"/>
  <c r="F11" i="6"/>
  <c r="B46" i="12" s="1"/>
  <c r="C46" i="12" s="1"/>
  <c r="E82" i="7"/>
  <c r="F212" i="8"/>
  <c r="D174" i="8"/>
  <c r="E212" i="8"/>
  <c r="I136" i="8"/>
  <c r="D212" i="8"/>
  <c r="H136" i="8"/>
  <c r="I174" i="8"/>
  <c r="G136" i="8"/>
  <c r="H174" i="8"/>
  <c r="F136" i="8"/>
  <c r="H212" i="8"/>
  <c r="F174" i="8"/>
  <c r="D136" i="8"/>
  <c r="E136" i="8"/>
  <c r="L150" i="7"/>
  <c r="L212" i="8" s="1"/>
  <c r="K150" i="7"/>
  <c r="F18" i="11" s="1"/>
  <c r="F26" i="11" s="1"/>
  <c r="I212" i="8"/>
  <c r="G174" i="8"/>
  <c r="M126" i="10"/>
  <c r="M68" i="10"/>
  <c r="M10" i="10"/>
  <c r="L169" i="10"/>
  <c r="L111" i="10"/>
  <c r="L102" i="2" s="1"/>
  <c r="L53" i="10"/>
  <c r="J34" i="5"/>
  <c r="I38" i="5"/>
  <c r="E19" i="7"/>
  <c r="E131" i="8" s="1"/>
  <c r="N51" i="7"/>
  <c r="I145" i="7"/>
  <c r="I207" i="8" s="1"/>
  <c r="D102" i="8"/>
  <c r="E174" i="8"/>
  <c r="N126" i="10"/>
  <c r="N68" i="10"/>
  <c r="N10" i="10"/>
  <c r="M169" i="10"/>
  <c r="M53" i="10"/>
  <c r="M111" i="10"/>
  <c r="M102" i="2" s="1"/>
  <c r="P35" i="5"/>
  <c r="J38" i="5"/>
  <c r="J145" i="7"/>
  <c r="J207" i="8" s="1"/>
  <c r="J150" i="7"/>
  <c r="J212" i="8" s="1"/>
  <c r="B34" i="12"/>
  <c r="C34" i="12" s="1"/>
  <c r="B22" i="12"/>
  <c r="C22" i="12" s="1"/>
  <c r="N6" i="5"/>
  <c r="D69" i="11"/>
  <c r="D71" i="11"/>
  <c r="F15" i="5"/>
  <c r="F20" i="5"/>
  <c r="N155" i="10"/>
  <c r="M155" i="10"/>
  <c r="L159" i="10"/>
  <c r="L97" i="10"/>
  <c r="L101" i="10"/>
  <c r="N97" i="10"/>
  <c r="L43" i="10"/>
  <c r="N39" i="10"/>
  <c r="M39" i="10"/>
  <c r="L39" i="10"/>
  <c r="L155" i="10"/>
  <c r="M97" i="10"/>
  <c r="N169" i="10"/>
  <c r="N111" i="10"/>
  <c r="N102" i="2" s="1"/>
  <c r="N53" i="10"/>
  <c r="D17" i="6"/>
  <c r="C68" i="1" s="1"/>
  <c r="M145" i="7"/>
  <c r="D180" i="7"/>
  <c r="D179" i="7"/>
  <c r="E65" i="9"/>
  <c r="M207" i="8"/>
  <c r="E207" i="8"/>
  <c r="D207" i="8"/>
  <c r="G207" i="8"/>
  <c r="E169" i="8"/>
  <c r="L145" i="7"/>
  <c r="L207" i="8" s="1"/>
  <c r="K145" i="7"/>
  <c r="F13" i="11" s="1"/>
  <c r="N207" i="8"/>
  <c r="D131" i="8"/>
  <c r="G145" i="7"/>
  <c r="N156" i="10"/>
  <c r="M159" i="10"/>
  <c r="M156" i="10"/>
  <c r="M101" i="10"/>
  <c r="N98" i="10"/>
  <c r="M98" i="10"/>
  <c r="M40" i="10"/>
  <c r="M43" i="10"/>
  <c r="N40" i="10"/>
  <c r="M34" i="5"/>
  <c r="G148" i="9"/>
  <c r="J87" i="7"/>
  <c r="L114" i="7"/>
  <c r="N145" i="7"/>
  <c r="P37" i="5"/>
  <c r="J24" i="7"/>
  <c r="J136" i="8" s="1"/>
  <c r="G212" i="8"/>
  <c r="B20" i="12"/>
  <c r="C20" i="12" s="1"/>
  <c r="B55" i="12"/>
  <c r="C55" i="12" s="1"/>
  <c r="I47" i="8"/>
  <c r="I61" i="8" s="1"/>
  <c r="I48" i="8"/>
  <c r="I50" i="8"/>
  <c r="D25" i="9"/>
  <c r="E22" i="9"/>
  <c r="F22" i="9" s="1"/>
  <c r="G22" i="9" s="1"/>
  <c r="D70" i="9"/>
  <c r="D88" i="2" s="1"/>
  <c r="D113" i="9"/>
  <c r="D117" i="9" s="1"/>
  <c r="D120" i="10"/>
  <c r="E69" i="11"/>
  <c r="E70" i="11" s="1"/>
  <c r="F69" i="11"/>
  <c r="F70" i="11" s="1"/>
  <c r="B36" i="12" l="1"/>
  <c r="C36" i="12" s="1"/>
  <c r="J33" i="10"/>
  <c r="C26" i="3"/>
  <c r="J6" i="5"/>
  <c r="H149" i="10"/>
  <c r="K137" i="8"/>
  <c r="F22" i="5"/>
  <c r="O8" i="5"/>
  <c r="H27" i="5" s="1"/>
  <c r="D107" i="8"/>
  <c r="D31" i="9"/>
  <c r="P40" i="5"/>
  <c r="J22" i="5"/>
  <c r="D20" i="6"/>
  <c r="C69" i="1" s="1"/>
  <c r="F33" i="10"/>
  <c r="P12" i="5"/>
  <c r="K28" i="5" s="1"/>
  <c r="O12" i="5"/>
  <c r="K27" i="5" s="1"/>
  <c r="K26" i="5"/>
  <c r="K39" i="5" s="1"/>
  <c r="R12" i="5"/>
  <c r="K30" i="5" s="1"/>
  <c r="K149" i="7"/>
  <c r="F17" i="11" s="1"/>
  <c r="F25" i="11" s="1"/>
  <c r="M147" i="7"/>
  <c r="M209" i="8" s="1"/>
  <c r="I15" i="5"/>
  <c r="M151" i="7"/>
  <c r="M213" i="8" s="1"/>
  <c r="I91" i="10"/>
  <c r="F159" i="10"/>
  <c r="D74" i="9"/>
  <c r="N149" i="7"/>
  <c r="N211" i="8" s="1"/>
  <c r="N147" i="7"/>
  <c r="N209" i="8" s="1"/>
  <c r="P14" i="5"/>
  <c r="M28" i="5" s="1"/>
  <c r="N146" i="7"/>
  <c r="N208" i="8" s="1"/>
  <c r="F43" i="10"/>
  <c r="I33" i="10"/>
  <c r="G149" i="10"/>
  <c r="C22" i="3"/>
  <c r="M150" i="7"/>
  <c r="M212" i="8" s="1"/>
  <c r="H145" i="7"/>
  <c r="H207" i="8" s="1"/>
  <c r="J147" i="7"/>
  <c r="J209" i="8" s="1"/>
  <c r="G146" i="7"/>
  <c r="G208" i="8" s="1"/>
  <c r="H146" i="7"/>
  <c r="H208" i="8" s="1"/>
  <c r="D27" i="11"/>
  <c r="W11" i="5"/>
  <c r="R14" i="5"/>
  <c r="M30" i="5" s="1"/>
  <c r="K111" i="10" s="1"/>
  <c r="K102" i="2" s="1"/>
  <c r="F101" i="10"/>
  <c r="J91" i="10"/>
  <c r="K212" i="8"/>
  <c r="K147" i="7"/>
  <c r="J146" i="7"/>
  <c r="J208" i="8" s="1"/>
  <c r="F27" i="11"/>
  <c r="J11" i="5"/>
  <c r="F47" i="5"/>
  <c r="O14" i="5"/>
  <c r="M27" i="5" s="1"/>
  <c r="K68" i="10" s="1"/>
  <c r="G33" i="10"/>
  <c r="F91" i="10"/>
  <c r="N150" i="7"/>
  <c r="N212" i="8" s="1"/>
  <c r="L149" i="7"/>
  <c r="L211" i="8" s="1"/>
  <c r="I147" i="7"/>
  <c r="I209" i="8" s="1"/>
  <c r="R8" i="5"/>
  <c r="H30" i="5" s="1"/>
  <c r="K146" i="7"/>
  <c r="F14" i="11" s="1"/>
  <c r="F22" i="11" s="1"/>
  <c r="I146" i="7"/>
  <c r="I208" i="8" s="1"/>
  <c r="L151" i="7"/>
  <c r="L213" i="8" s="1"/>
  <c r="H91" i="10"/>
  <c r="J149" i="10"/>
  <c r="F145" i="7"/>
  <c r="F207" i="8" s="1"/>
  <c r="M149" i="7"/>
  <c r="M211" i="8" s="1"/>
  <c r="L147" i="7"/>
  <c r="L209" i="8" s="1"/>
  <c r="H26" i="5"/>
  <c r="F9" i="10" s="1"/>
  <c r="M146" i="7"/>
  <c r="M208" i="8" s="1"/>
  <c r="D112" i="8"/>
  <c r="H33" i="10"/>
  <c r="B13" i="12"/>
  <c r="C13" i="12" s="1"/>
  <c r="M134" i="2"/>
  <c r="E134" i="2"/>
  <c r="I134" i="2"/>
  <c r="D134" i="2"/>
  <c r="N134" i="2"/>
  <c r="L134" i="2"/>
  <c r="K134" i="2"/>
  <c r="H134" i="2"/>
  <c r="J134" i="2"/>
  <c r="G134" i="2"/>
  <c r="F134" i="2"/>
  <c r="J55" i="2"/>
  <c r="D210" i="8"/>
  <c r="G134" i="8"/>
  <c r="F134" i="8"/>
  <c r="G172" i="8"/>
  <c r="E134" i="8"/>
  <c r="F172" i="8"/>
  <c r="D134" i="8"/>
  <c r="F210" i="8"/>
  <c r="D172" i="8"/>
  <c r="K148" i="7"/>
  <c r="F16" i="11" s="1"/>
  <c r="F24" i="11" s="1"/>
  <c r="J148" i="7"/>
  <c r="J210" i="8" s="1"/>
  <c r="I148" i="7"/>
  <c r="I210" i="8" s="1"/>
  <c r="G210" i="8"/>
  <c r="E172" i="8"/>
  <c r="N148" i="7"/>
  <c r="N210" i="8" s="1"/>
  <c r="H22" i="7"/>
  <c r="H134" i="8" s="1"/>
  <c r="E210" i="8"/>
  <c r="H85" i="7"/>
  <c r="M148" i="7"/>
  <c r="M210" i="8" s="1"/>
  <c r="L148" i="7"/>
  <c r="L210" i="8" s="1"/>
  <c r="H148" i="7"/>
  <c r="H210" i="8" s="1"/>
  <c r="O11" i="5"/>
  <c r="J27" i="5" s="1"/>
  <c r="J26" i="5"/>
  <c r="R11" i="5"/>
  <c r="J30" i="5" s="1"/>
  <c r="P11" i="5"/>
  <c r="J28" i="5" s="1"/>
  <c r="D127" i="10"/>
  <c r="D69" i="10"/>
  <c r="D11" i="10"/>
  <c r="G144" i="7"/>
  <c r="G162" i="7" s="1"/>
  <c r="N144" i="7"/>
  <c r="F144" i="7"/>
  <c r="J144" i="7"/>
  <c r="D18" i="7"/>
  <c r="D36" i="7" s="1"/>
  <c r="M144" i="7"/>
  <c r="D81" i="7"/>
  <c r="L144" i="7"/>
  <c r="K144" i="7"/>
  <c r="K206" i="8" s="1"/>
  <c r="I206" i="8"/>
  <c r="I144" i="7"/>
  <c r="H144" i="7"/>
  <c r="E144" i="7"/>
  <c r="E162" i="7" s="1"/>
  <c r="D144" i="7"/>
  <c r="D162" i="7" s="1"/>
  <c r="I169" i="10"/>
  <c r="I111" i="10"/>
  <c r="I102" i="2" s="1"/>
  <c r="I53" i="10"/>
  <c r="T108" i="8"/>
  <c r="K108" i="8"/>
  <c r="E124" i="8" s="1"/>
  <c r="Q108" i="8"/>
  <c r="I108" i="8"/>
  <c r="E123" i="8" s="1"/>
  <c r="G108" i="8"/>
  <c r="E122" i="8" s="1"/>
  <c r="D243" i="8"/>
  <c r="Q107" i="8"/>
  <c r="I107" i="8"/>
  <c r="G107" i="8"/>
  <c r="D116" i="8"/>
  <c r="T107" i="8"/>
  <c r="K107" i="8"/>
  <c r="G109" i="8"/>
  <c r="F122" i="8" s="1"/>
  <c r="T109" i="8"/>
  <c r="Q109" i="8"/>
  <c r="K109" i="8"/>
  <c r="F124" i="8" s="1"/>
  <c r="I109" i="8"/>
  <c r="F123" i="8" s="1"/>
  <c r="K158" i="8"/>
  <c r="K21" i="9" s="1"/>
  <c r="K196" i="8"/>
  <c r="K64" i="9" s="1"/>
  <c r="K234" i="8"/>
  <c r="K107" i="9" s="1"/>
  <c r="O7" i="5"/>
  <c r="G27" i="5" s="1"/>
  <c r="R7" i="5"/>
  <c r="G30" i="5" s="1"/>
  <c r="G26" i="5"/>
  <c r="P7" i="5"/>
  <c r="G28" i="5" s="1"/>
  <c r="H22" i="9"/>
  <c r="I22" i="9" s="1"/>
  <c r="J22" i="9" s="1"/>
  <c r="K22" i="9" s="1"/>
  <c r="L22" i="9" s="1"/>
  <c r="M22" i="9" s="1"/>
  <c r="N22" i="9" s="1"/>
  <c r="F21" i="11"/>
  <c r="C8" i="1"/>
  <c r="C75" i="1"/>
  <c r="J174" i="8"/>
  <c r="G114" i="8"/>
  <c r="J122" i="8" s="1"/>
  <c r="T114" i="8"/>
  <c r="K114" i="8"/>
  <c r="J124" i="8" s="1"/>
  <c r="Q114" i="8"/>
  <c r="I114" i="8"/>
  <c r="J123" i="8" s="1"/>
  <c r="I125" i="10"/>
  <c r="I67" i="10"/>
  <c r="I9" i="10"/>
  <c r="K37" i="5"/>
  <c r="K40" i="5" s="1"/>
  <c r="T111" i="8"/>
  <c r="K111" i="8"/>
  <c r="G111" i="8"/>
  <c r="Q111" i="8"/>
  <c r="I111" i="8"/>
  <c r="E110" i="8"/>
  <c r="I23" i="5"/>
  <c r="L234" i="8"/>
  <c r="L107" i="9" s="1"/>
  <c r="L196" i="8"/>
  <c r="L64" i="9" s="1"/>
  <c r="L84" i="2" s="1"/>
  <c r="L158" i="8"/>
  <c r="L21" i="9" s="1"/>
  <c r="Q112" i="8"/>
  <c r="I112" i="8"/>
  <c r="H123" i="8" s="1"/>
  <c r="G112" i="8"/>
  <c r="H122" i="8" s="1"/>
  <c r="K112" i="8"/>
  <c r="H124" i="8" s="1"/>
  <c r="T112" i="8"/>
  <c r="K53" i="10"/>
  <c r="D45" i="7"/>
  <c r="B25" i="12"/>
  <c r="C25" i="12" s="1"/>
  <c r="L232" i="8"/>
  <c r="L233" i="8" s="1"/>
  <c r="L104" i="9" s="1"/>
  <c r="D232" i="8"/>
  <c r="D233" i="8" s="1"/>
  <c r="D104" i="9" s="1"/>
  <c r="K232" i="8"/>
  <c r="K233" i="8" s="1"/>
  <c r="K104" i="9" s="1"/>
  <c r="J232" i="8"/>
  <c r="J233" i="8" s="1"/>
  <c r="J104" i="9" s="1"/>
  <c r="H232" i="8"/>
  <c r="H233" i="8" s="1"/>
  <c r="H104" i="9" s="1"/>
  <c r="M232" i="8"/>
  <c r="M233" i="8" s="1"/>
  <c r="M104" i="9" s="1"/>
  <c r="K194" i="8"/>
  <c r="K195" i="8" s="1"/>
  <c r="K61" i="9" s="1"/>
  <c r="I156" i="8"/>
  <c r="I157" i="8" s="1"/>
  <c r="I18" i="9" s="1"/>
  <c r="I232" i="8"/>
  <c r="I233" i="8" s="1"/>
  <c r="I104" i="9" s="1"/>
  <c r="J194" i="8"/>
  <c r="J195" i="8" s="1"/>
  <c r="J61" i="9" s="1"/>
  <c r="J81" i="2" s="1"/>
  <c r="H156" i="8"/>
  <c r="H157" i="8" s="1"/>
  <c r="H18" i="9" s="1"/>
  <c r="G232" i="8"/>
  <c r="G233" i="8" s="1"/>
  <c r="G104" i="9" s="1"/>
  <c r="I194" i="8"/>
  <c r="I195" i="8" s="1"/>
  <c r="I61" i="9" s="1"/>
  <c r="I81" i="2" s="1"/>
  <c r="G156" i="8"/>
  <c r="G157" i="8" s="1"/>
  <c r="G18" i="9" s="1"/>
  <c r="F232" i="8"/>
  <c r="F233" i="8" s="1"/>
  <c r="F104" i="9" s="1"/>
  <c r="H194" i="8"/>
  <c r="H195" i="8" s="1"/>
  <c r="H61" i="9" s="1"/>
  <c r="H81" i="2" s="1"/>
  <c r="N156" i="8"/>
  <c r="N157" i="8" s="1"/>
  <c r="N18" i="9" s="1"/>
  <c r="F156" i="8"/>
  <c r="F157" i="8" s="1"/>
  <c r="F18" i="9" s="1"/>
  <c r="E232" i="8"/>
  <c r="E233" i="8" s="1"/>
  <c r="E104" i="9" s="1"/>
  <c r="G194" i="8"/>
  <c r="G195" i="8" s="1"/>
  <c r="G61" i="9" s="1"/>
  <c r="G81" i="2" s="1"/>
  <c r="M156" i="8"/>
  <c r="M157" i="8" s="1"/>
  <c r="M18" i="9" s="1"/>
  <c r="E156" i="8"/>
  <c r="E157" i="8" s="1"/>
  <c r="E18" i="9" s="1"/>
  <c r="M194" i="8"/>
  <c r="M195" i="8" s="1"/>
  <c r="M61" i="9" s="1"/>
  <c r="M81" i="2" s="1"/>
  <c r="E194" i="8"/>
  <c r="E195" i="8" s="1"/>
  <c r="E61" i="9" s="1"/>
  <c r="E81" i="2" s="1"/>
  <c r="K156" i="8"/>
  <c r="K157" i="8" s="1"/>
  <c r="K18" i="9" s="1"/>
  <c r="F194" i="8"/>
  <c r="F195" i="8" s="1"/>
  <c r="F61" i="9" s="1"/>
  <c r="F81" i="2" s="1"/>
  <c r="J156" i="8"/>
  <c r="J157" i="8" s="1"/>
  <c r="J18" i="9" s="1"/>
  <c r="D194" i="8"/>
  <c r="D195" i="8" s="1"/>
  <c r="D61" i="9" s="1"/>
  <c r="D81" i="2" s="1"/>
  <c r="D156" i="8"/>
  <c r="D157" i="8" s="1"/>
  <c r="D18" i="9" s="1"/>
  <c r="N232" i="8"/>
  <c r="N233" i="8" s="1"/>
  <c r="N104" i="9" s="1"/>
  <c r="N194" i="8"/>
  <c r="N195" i="8" s="1"/>
  <c r="N61" i="9" s="1"/>
  <c r="N81" i="2" s="1"/>
  <c r="L156" i="8"/>
  <c r="L157" i="8" s="1"/>
  <c r="L18" i="9" s="1"/>
  <c r="L194" i="8"/>
  <c r="L195" i="8" s="1"/>
  <c r="L61" i="9" s="1"/>
  <c r="L81" i="2" s="1"/>
  <c r="I54" i="2"/>
  <c r="K211" i="8"/>
  <c r="J234" i="8"/>
  <c r="J107" i="9" s="1"/>
  <c r="J158" i="8"/>
  <c r="J21" i="9" s="1"/>
  <c r="J196" i="8"/>
  <c r="J64" i="9" s="1"/>
  <c r="J84" i="2" s="1"/>
  <c r="K35" i="5"/>
  <c r="I51" i="7"/>
  <c r="I114" i="7"/>
  <c r="I177" i="7"/>
  <c r="I234" i="8"/>
  <c r="I107" i="9" s="1"/>
  <c r="I158" i="8"/>
  <c r="I21" i="9" s="1"/>
  <c r="I196" i="8"/>
  <c r="I64" i="9" s="1"/>
  <c r="I84" i="2" s="1"/>
  <c r="D26" i="6"/>
  <c r="C71" i="1"/>
  <c r="G114" i="7"/>
  <c r="I35" i="5"/>
  <c r="G51" i="7"/>
  <c r="G177" i="7"/>
  <c r="E19" i="11"/>
  <c r="E27" i="11" s="1"/>
  <c r="K56" i="2"/>
  <c r="K67" i="10"/>
  <c r="K125" i="10"/>
  <c r="K9" i="10"/>
  <c r="M37" i="5"/>
  <c r="M39" i="5"/>
  <c r="F169" i="10"/>
  <c r="F111" i="10"/>
  <c r="F102" i="2" s="1"/>
  <c r="F53" i="10"/>
  <c r="H186" i="7"/>
  <c r="G123" i="7"/>
  <c r="G186" i="7"/>
  <c r="N123" i="7"/>
  <c r="F123" i="7"/>
  <c r="N186" i="7"/>
  <c r="F186" i="7"/>
  <c r="M186" i="7"/>
  <c r="E186" i="7"/>
  <c r="K186" i="7"/>
  <c r="J123" i="7"/>
  <c r="I186" i="7"/>
  <c r="L123" i="7"/>
  <c r="M60" i="7"/>
  <c r="E60" i="7"/>
  <c r="D186" i="7"/>
  <c r="K123" i="7"/>
  <c r="L60" i="7"/>
  <c r="D60" i="7"/>
  <c r="I123" i="7"/>
  <c r="K60" i="7"/>
  <c r="H123" i="7"/>
  <c r="J60" i="7"/>
  <c r="E123" i="7"/>
  <c r="I60" i="7"/>
  <c r="D123" i="7"/>
  <c r="H60" i="7"/>
  <c r="L186" i="7"/>
  <c r="G60" i="7"/>
  <c r="J186" i="7"/>
  <c r="M123" i="7"/>
  <c r="N60" i="7"/>
  <c r="F60" i="7"/>
  <c r="N234" i="8"/>
  <c r="N107" i="9" s="1"/>
  <c r="N196" i="8"/>
  <c r="N64" i="9" s="1"/>
  <c r="N84" i="2" s="1"/>
  <c r="N158" i="8"/>
  <c r="N21" i="9" s="1"/>
  <c r="D8" i="7"/>
  <c r="I22" i="7" s="1"/>
  <c r="I134" i="8" s="1"/>
  <c r="E13" i="6"/>
  <c r="O9" i="5"/>
  <c r="R9" i="5"/>
  <c r="P9" i="5"/>
  <c r="I26" i="5"/>
  <c r="K207" i="8"/>
  <c r="D70" i="11"/>
  <c r="E50" i="2"/>
  <c r="F126" i="10"/>
  <c r="F68" i="10"/>
  <c r="F10" i="10"/>
  <c r="O13" i="5"/>
  <c r="L27" i="5" s="1"/>
  <c r="L26" i="5"/>
  <c r="R13" i="5"/>
  <c r="L30" i="5" s="1"/>
  <c r="P13" i="5"/>
  <c r="L28" i="5" s="1"/>
  <c r="E113" i="8"/>
  <c r="K23" i="5"/>
  <c r="F234" i="8"/>
  <c r="F107" i="9" s="1"/>
  <c r="F196" i="8"/>
  <c r="F64" i="9" s="1"/>
  <c r="F84" i="2" s="1"/>
  <c r="F158" i="8"/>
  <c r="F21" i="9" s="1"/>
  <c r="K110" i="8"/>
  <c r="Q110" i="8"/>
  <c r="I110" i="8"/>
  <c r="G123" i="8" s="1"/>
  <c r="G110" i="8"/>
  <c r="G122" i="8" s="1"/>
  <c r="T110" i="8"/>
  <c r="D234" i="8"/>
  <c r="D107" i="9" s="1"/>
  <c r="D196" i="8"/>
  <c r="D64" i="9" s="1"/>
  <c r="D84" i="2" s="1"/>
  <c r="D158" i="8"/>
  <c r="D21" i="9" s="1"/>
  <c r="F12" i="6"/>
  <c r="E115" i="8"/>
  <c r="M23" i="5"/>
  <c r="G52" i="2"/>
  <c r="K159" i="10"/>
  <c r="K154" i="10"/>
  <c r="N154" i="10"/>
  <c r="M154" i="10"/>
  <c r="L154" i="10"/>
  <c r="N96" i="10"/>
  <c r="L96" i="10"/>
  <c r="K96" i="10"/>
  <c r="K38" i="10"/>
  <c r="K43" i="10"/>
  <c r="K101" i="10"/>
  <c r="M96" i="10"/>
  <c r="M38" i="10"/>
  <c r="L38" i="10"/>
  <c r="N38" i="10"/>
  <c r="F23" i="5"/>
  <c r="E107" i="8"/>
  <c r="D21" i="6"/>
  <c r="C70" i="1" s="1"/>
  <c r="J15" i="5"/>
  <c r="B32" i="12" s="1"/>
  <c r="C32" i="12" s="1"/>
  <c r="E109" i="8"/>
  <c r="H23" i="5"/>
  <c r="F65" i="9"/>
  <c r="E85" i="2"/>
  <c r="D24" i="6"/>
  <c r="R6" i="5"/>
  <c r="P6" i="5"/>
  <c r="N15" i="5"/>
  <c r="O6" i="5"/>
  <c r="F26" i="5"/>
  <c r="E108" i="9"/>
  <c r="F108" i="9" s="1"/>
  <c r="G108" i="9" s="1"/>
  <c r="H108" i="9" s="1"/>
  <c r="I108" i="9" s="1"/>
  <c r="J108" i="9" s="1"/>
  <c r="K108" i="9" s="1"/>
  <c r="L108" i="9" s="1"/>
  <c r="M108" i="9" s="1"/>
  <c r="N108" i="9" s="1"/>
  <c r="B29" i="12"/>
  <c r="C29" i="12" s="1"/>
  <c r="D171" i="7"/>
  <c r="E114" i="8"/>
  <c r="L23" i="5"/>
  <c r="H177" i="7"/>
  <c r="J35" i="5"/>
  <c r="H51" i="7"/>
  <c r="H114" i="7"/>
  <c r="K208" i="8"/>
  <c r="E108" i="8"/>
  <c r="G23" i="5"/>
  <c r="T113" i="8"/>
  <c r="K113" i="8"/>
  <c r="I124" i="8" s="1"/>
  <c r="Q113" i="8"/>
  <c r="I113" i="8"/>
  <c r="I123" i="8" s="1"/>
  <c r="G113" i="8"/>
  <c r="I122" i="8" s="1"/>
  <c r="K213" i="8"/>
  <c r="D177" i="7"/>
  <c r="D51" i="7"/>
  <c r="D114" i="7"/>
  <c r="F35" i="5"/>
  <c r="H35" i="5"/>
  <c r="F51" i="7"/>
  <c r="F114" i="7"/>
  <c r="F177" i="7"/>
  <c r="H234" i="8"/>
  <c r="H107" i="9" s="1"/>
  <c r="H158" i="8"/>
  <c r="H21" i="9" s="1"/>
  <c r="H196" i="8"/>
  <c r="H64" i="9" s="1"/>
  <c r="H84" i="2" s="1"/>
  <c r="I126" i="10"/>
  <c r="I68" i="10"/>
  <c r="I10" i="10"/>
  <c r="K114" i="7"/>
  <c r="K177" i="7"/>
  <c r="M35" i="5"/>
  <c r="K51" i="7"/>
  <c r="J177" i="7"/>
  <c r="J51" i="7"/>
  <c r="J114" i="7"/>
  <c r="L35" i="5"/>
  <c r="Q115" i="8"/>
  <c r="I115" i="8"/>
  <c r="K123" i="8" s="1"/>
  <c r="G115" i="8"/>
  <c r="K122" i="8" s="1"/>
  <c r="T115" i="8"/>
  <c r="K115" i="8"/>
  <c r="K124" i="8" s="1"/>
  <c r="F51" i="2"/>
  <c r="O10" i="5"/>
  <c r="R10" i="5"/>
  <c r="P10" i="5"/>
  <c r="E112" i="8"/>
  <c r="J23" i="5"/>
  <c r="D139" i="7"/>
  <c r="E153" i="7" s="1"/>
  <c r="E164" i="7" s="1"/>
  <c r="E165" i="7" s="1"/>
  <c r="D138" i="7"/>
  <c r="D135" i="7"/>
  <c r="D178" i="7" s="1"/>
  <c r="E71" i="4"/>
  <c r="D71" i="4"/>
  <c r="F71" i="4"/>
  <c r="H162" i="7" l="1"/>
  <c r="F162" i="7"/>
  <c r="H39" i="5"/>
  <c r="F125" i="10"/>
  <c r="K126" i="10"/>
  <c r="K169" i="10"/>
  <c r="F67" i="10"/>
  <c r="K10" i="10"/>
  <c r="M40" i="5"/>
  <c r="M162" i="7"/>
  <c r="M98" i="9" s="1"/>
  <c r="E206" i="8"/>
  <c r="D28" i="4"/>
  <c r="D33" i="4" s="1"/>
  <c r="E153" i="9" s="1"/>
  <c r="C108" i="1" s="1"/>
  <c r="F28" i="4"/>
  <c r="F33" i="4" s="1"/>
  <c r="G153" i="9" s="1"/>
  <c r="E108" i="1" s="1"/>
  <c r="C25" i="3"/>
  <c r="E28" i="4"/>
  <c r="I27" i="5"/>
  <c r="G126" i="10" s="1"/>
  <c r="I162" i="7"/>
  <c r="J162" i="7"/>
  <c r="J174" i="7" s="1"/>
  <c r="H37" i="5"/>
  <c r="L162" i="7"/>
  <c r="F15" i="11"/>
  <c r="F23" i="11" s="1"/>
  <c r="K209" i="8"/>
  <c r="I159" i="10"/>
  <c r="L152" i="10"/>
  <c r="J36" i="10"/>
  <c r="I152" i="10"/>
  <c r="K94" i="10"/>
  <c r="L36" i="10"/>
  <c r="M152" i="10"/>
  <c r="I36" i="10"/>
  <c r="J152" i="10"/>
  <c r="K152" i="10"/>
  <c r="I101" i="10"/>
  <c r="M94" i="10"/>
  <c r="I43" i="10"/>
  <c r="J94" i="10"/>
  <c r="M36" i="10"/>
  <c r="I94" i="10"/>
  <c r="K36" i="10"/>
  <c r="L94" i="10"/>
  <c r="E171" i="7"/>
  <c r="M18" i="7"/>
  <c r="J18" i="7"/>
  <c r="D12" i="9"/>
  <c r="D37" i="7"/>
  <c r="G98" i="9"/>
  <c r="G163" i="7"/>
  <c r="H53" i="2"/>
  <c r="D13" i="7"/>
  <c r="D12" i="7"/>
  <c r="D54" i="7"/>
  <c r="M24" i="7"/>
  <c r="M136" i="8" s="1"/>
  <c r="K24" i="7"/>
  <c r="J19" i="7"/>
  <c r="J131" i="8" s="1"/>
  <c r="D9" i="7"/>
  <c r="D52" i="7" s="1"/>
  <c r="L25" i="7"/>
  <c r="L137" i="8" s="1"/>
  <c r="G20" i="7"/>
  <c r="G132" i="8" s="1"/>
  <c r="K21" i="7"/>
  <c r="M21" i="7"/>
  <c r="M133" i="8" s="1"/>
  <c r="M19" i="7"/>
  <c r="M131" i="8" s="1"/>
  <c r="G19" i="7"/>
  <c r="G131" i="8" s="1"/>
  <c r="I21" i="7"/>
  <c r="I133" i="8" s="1"/>
  <c r="N25" i="7"/>
  <c r="N137" i="8" s="1"/>
  <c r="J20" i="7"/>
  <c r="J132" i="8" s="1"/>
  <c r="M23" i="7"/>
  <c r="M135" i="8" s="1"/>
  <c r="L19" i="7"/>
  <c r="L131" i="8" s="1"/>
  <c r="N24" i="7"/>
  <c r="N136" i="8" s="1"/>
  <c r="E148" i="9"/>
  <c r="H19" i="7"/>
  <c r="H131" i="8" s="1"/>
  <c r="M20" i="7"/>
  <c r="M132" i="8" s="1"/>
  <c r="H21" i="7"/>
  <c r="H133" i="8" s="1"/>
  <c r="K23" i="7"/>
  <c r="N20" i="7"/>
  <c r="N132" i="8" s="1"/>
  <c r="H20" i="7"/>
  <c r="H132" i="8" s="1"/>
  <c r="L21" i="7"/>
  <c r="L133" i="8" s="1"/>
  <c r="K19" i="7"/>
  <c r="M25" i="7"/>
  <c r="M137" i="8" s="1"/>
  <c r="K20" i="7"/>
  <c r="N21" i="7"/>
  <c r="N133" i="8" s="1"/>
  <c r="L24" i="7"/>
  <c r="L136" i="8" s="1"/>
  <c r="F19" i="7"/>
  <c r="F131" i="8" s="1"/>
  <c r="D53" i="7"/>
  <c r="I20" i="7"/>
  <c r="I132" i="8" s="1"/>
  <c r="J21" i="7"/>
  <c r="J133" i="8" s="1"/>
  <c r="I19" i="7"/>
  <c r="I131" i="8" s="1"/>
  <c r="N19" i="7"/>
  <c r="N131" i="8" s="1"/>
  <c r="L20" i="7"/>
  <c r="L132" i="8" s="1"/>
  <c r="J23" i="7"/>
  <c r="J135" i="8" s="1"/>
  <c r="N23" i="7"/>
  <c r="N135" i="8" s="1"/>
  <c r="L23" i="7"/>
  <c r="L135" i="8" s="1"/>
  <c r="D125" i="10"/>
  <c r="D67" i="10"/>
  <c r="D9" i="10"/>
  <c r="F37" i="5"/>
  <c r="F39" i="5"/>
  <c r="O15" i="5"/>
  <c r="F27" i="5"/>
  <c r="J159" i="10"/>
  <c r="L153" i="10"/>
  <c r="N153" i="10"/>
  <c r="N158" i="10" s="1"/>
  <c r="M153" i="10"/>
  <c r="M158" i="10" s="1"/>
  <c r="K153" i="10"/>
  <c r="J153" i="10"/>
  <c r="J95" i="10"/>
  <c r="N95" i="10"/>
  <c r="N100" i="10" s="1"/>
  <c r="B8" i="12" s="1"/>
  <c r="C8" i="12" s="1"/>
  <c r="J101" i="10"/>
  <c r="K95" i="10"/>
  <c r="N37" i="10"/>
  <c r="N42" i="10" s="1"/>
  <c r="M37" i="10"/>
  <c r="M42" i="10" s="1"/>
  <c r="J43" i="10"/>
  <c r="L37" i="10"/>
  <c r="K37" i="10"/>
  <c r="J37" i="10"/>
  <c r="M95" i="10"/>
  <c r="L95" i="10"/>
  <c r="E67" i="10"/>
  <c r="E125" i="10"/>
  <c r="E9" i="10"/>
  <c r="G37" i="5"/>
  <c r="G39" i="5"/>
  <c r="C76" i="1"/>
  <c r="C9" i="1"/>
  <c r="J169" i="10"/>
  <c r="J111" i="10"/>
  <c r="J102" i="2" s="1"/>
  <c r="J53" i="10"/>
  <c r="I28" i="5"/>
  <c r="E169" i="10"/>
  <c r="E53" i="10"/>
  <c r="E111" i="10"/>
  <c r="E102" i="2" s="1"/>
  <c r="F28" i="5"/>
  <c r="P15" i="5"/>
  <c r="G124" i="8"/>
  <c r="J125" i="10"/>
  <c r="J67" i="10"/>
  <c r="J9" i="10"/>
  <c r="L37" i="5"/>
  <c r="L40" i="5" s="1"/>
  <c r="L39" i="5"/>
  <c r="I30" i="5"/>
  <c r="C10" i="1"/>
  <c r="E126" i="10"/>
  <c r="E68" i="10"/>
  <c r="E10" i="10"/>
  <c r="T116" i="8"/>
  <c r="D98" i="9"/>
  <c r="D163" i="7"/>
  <c r="L18" i="7"/>
  <c r="G153" i="7"/>
  <c r="J206" i="8"/>
  <c r="M206" i="8"/>
  <c r="N157" i="7"/>
  <c r="R15" i="5"/>
  <c r="F30" i="5"/>
  <c r="E116" i="8"/>
  <c r="J126" i="10"/>
  <c r="J68" i="10"/>
  <c r="J10" i="10"/>
  <c r="F18" i="7"/>
  <c r="D99" i="7"/>
  <c r="D49" i="2"/>
  <c r="D57" i="2" s="1"/>
  <c r="F98" i="9"/>
  <c r="F163" i="7"/>
  <c r="F174" i="7"/>
  <c r="G206" i="8"/>
  <c r="L22" i="7"/>
  <c r="L134" i="8" s="1"/>
  <c r="D140" i="7"/>
  <c r="M160" i="7"/>
  <c r="K155" i="7"/>
  <c r="N156" i="7"/>
  <c r="H156" i="7"/>
  <c r="N158" i="7"/>
  <c r="G154" i="7"/>
  <c r="L154" i="7"/>
  <c r="N154" i="7"/>
  <c r="F154" i="7"/>
  <c r="M156" i="7"/>
  <c r="J156" i="7"/>
  <c r="M158" i="7"/>
  <c r="H154" i="7"/>
  <c r="K159" i="7"/>
  <c r="I155" i="7"/>
  <c r="G155" i="7"/>
  <c r="I156" i="7"/>
  <c r="K158" i="7"/>
  <c r="J158" i="7"/>
  <c r="L155" i="7"/>
  <c r="N160" i="7"/>
  <c r="N155" i="7"/>
  <c r="M155" i="7"/>
  <c r="J155" i="7"/>
  <c r="L156" i="7"/>
  <c r="M159" i="7"/>
  <c r="L160" i="7"/>
  <c r="L158" i="7"/>
  <c r="I154" i="7"/>
  <c r="K154" i="7"/>
  <c r="H155" i="7"/>
  <c r="K156" i="7"/>
  <c r="M154" i="7"/>
  <c r="L159" i="7"/>
  <c r="J154" i="7"/>
  <c r="N159" i="7"/>
  <c r="C73" i="1"/>
  <c r="C14" i="2"/>
  <c r="K84" i="2"/>
  <c r="D48" i="7"/>
  <c r="N18" i="7"/>
  <c r="E98" i="9"/>
  <c r="E163" i="7"/>
  <c r="M153" i="7"/>
  <c r="N162" i="7"/>
  <c r="D168" i="8"/>
  <c r="D130" i="8"/>
  <c r="J22" i="7"/>
  <c r="J134" i="8" s="1"/>
  <c r="L157" i="7"/>
  <c r="J157" i="7"/>
  <c r="K210" i="8"/>
  <c r="I116" i="8"/>
  <c r="B17" i="12" s="1"/>
  <c r="C17" i="12" s="1"/>
  <c r="D123" i="8"/>
  <c r="H153" i="7"/>
  <c r="H98" i="9"/>
  <c r="H163" i="7"/>
  <c r="I98" i="9"/>
  <c r="I163" i="7"/>
  <c r="D174" i="7"/>
  <c r="F153" i="7"/>
  <c r="D206" i="8"/>
  <c r="J151" i="10"/>
  <c r="K151" i="10"/>
  <c r="L151" i="10"/>
  <c r="I151" i="10"/>
  <c r="H151" i="10"/>
  <c r="H159" i="10"/>
  <c r="H101" i="10"/>
  <c r="H93" i="10"/>
  <c r="L93" i="10"/>
  <c r="K93" i="10"/>
  <c r="L35" i="10"/>
  <c r="J93" i="10"/>
  <c r="K35" i="10"/>
  <c r="I93" i="10"/>
  <c r="J35" i="10"/>
  <c r="I35" i="10"/>
  <c r="H43" i="10"/>
  <c r="H35" i="10"/>
  <c r="N22" i="7"/>
  <c r="N134" i="8" s="1"/>
  <c r="C28" i="1"/>
  <c r="K81" i="2"/>
  <c r="C11" i="2"/>
  <c r="K116" i="8"/>
  <c r="D124" i="8"/>
  <c r="Q116" i="8"/>
  <c r="G18" i="7"/>
  <c r="I153" i="7"/>
  <c r="K153" i="7"/>
  <c r="F12" i="11"/>
  <c r="F20" i="11" s="1"/>
  <c r="F28" i="11" s="1"/>
  <c r="K162" i="7"/>
  <c r="L98" i="9"/>
  <c r="L163" i="7"/>
  <c r="J153" i="7"/>
  <c r="L174" i="7"/>
  <c r="N153" i="7"/>
  <c r="L206" i="8"/>
  <c r="F206" i="8"/>
  <c r="H111" i="10"/>
  <c r="H102" i="2" s="1"/>
  <c r="H169" i="10"/>
  <c r="H53" i="10"/>
  <c r="H40" i="5"/>
  <c r="I148" i="10"/>
  <c r="E159" i="10"/>
  <c r="H148" i="10"/>
  <c r="G148" i="10"/>
  <c r="F148" i="10"/>
  <c r="E148" i="10"/>
  <c r="I90" i="10"/>
  <c r="H90" i="10"/>
  <c r="E101" i="10"/>
  <c r="F90" i="10"/>
  <c r="E32" i="10"/>
  <c r="G90" i="10"/>
  <c r="I32" i="10"/>
  <c r="G32" i="10"/>
  <c r="E43" i="10"/>
  <c r="F32" i="10"/>
  <c r="E90" i="10"/>
  <c r="H32" i="10"/>
  <c r="G116" i="8"/>
  <c r="D122" i="8"/>
  <c r="H18" i="7"/>
  <c r="L153" i="7"/>
  <c r="G174" i="7"/>
  <c r="I174" i="7"/>
  <c r="E174" i="7"/>
  <c r="N206" i="8"/>
  <c r="H125" i="10"/>
  <c r="H67" i="10"/>
  <c r="H9" i="10"/>
  <c r="J37" i="5"/>
  <c r="J39" i="5"/>
  <c r="K22" i="7"/>
  <c r="M22" i="7"/>
  <c r="M134" i="8" s="1"/>
  <c r="I157" i="7"/>
  <c r="K157" i="7"/>
  <c r="G65" i="9"/>
  <c r="F85" i="2"/>
  <c r="D71" i="7"/>
  <c r="F13" i="6"/>
  <c r="C78" i="1" s="1"/>
  <c r="C77" i="1"/>
  <c r="G125" i="10"/>
  <c r="G67" i="10"/>
  <c r="G9" i="10"/>
  <c r="I37" i="5"/>
  <c r="I39" i="5"/>
  <c r="E18" i="7"/>
  <c r="I18" i="7"/>
  <c r="K18" i="7"/>
  <c r="H174" i="7"/>
  <c r="M174" i="7"/>
  <c r="H206" i="8"/>
  <c r="H126" i="10"/>
  <c r="H68" i="10"/>
  <c r="H10" i="10"/>
  <c r="M157" i="7"/>
  <c r="H172" i="8"/>
  <c r="G40" i="5" l="1"/>
  <c r="G68" i="10"/>
  <c r="J40" i="5"/>
  <c r="J164" i="7"/>
  <c r="J165" i="7" s="1"/>
  <c r="L100" i="10"/>
  <c r="M102" i="10" s="1"/>
  <c r="G10" i="10"/>
  <c r="F164" i="7"/>
  <c r="F165" i="7" s="1"/>
  <c r="G6" i="5"/>
  <c r="G9" i="5"/>
  <c r="G12" i="5"/>
  <c r="G10" i="5"/>
  <c r="G14" i="5"/>
  <c r="G7" i="5"/>
  <c r="G13" i="5"/>
  <c r="C64" i="1"/>
  <c r="C65" i="1" s="1"/>
  <c r="E33" i="4"/>
  <c r="F153" i="9" s="1"/>
  <c r="D108" i="1" s="1"/>
  <c r="G8" i="5"/>
  <c r="G11" i="5"/>
  <c r="M163" i="7"/>
  <c r="J163" i="7"/>
  <c r="J166" i="7" s="1"/>
  <c r="M100" i="10"/>
  <c r="N102" i="10" s="1"/>
  <c r="J98" i="9"/>
  <c r="L42" i="10"/>
  <c r="L158" i="10"/>
  <c r="M160" i="10" s="1"/>
  <c r="I36" i="7"/>
  <c r="I130" i="8"/>
  <c r="I143" i="8" s="1"/>
  <c r="K98" i="9"/>
  <c r="K163" i="7"/>
  <c r="K174" i="7"/>
  <c r="M45" i="10"/>
  <c r="M44" i="10"/>
  <c r="M161" i="10"/>
  <c r="N36" i="7"/>
  <c r="N130" i="8"/>
  <c r="L36" i="7"/>
  <c r="L130" i="8"/>
  <c r="L141" i="8" s="1"/>
  <c r="N45" i="10"/>
  <c r="N44" i="10"/>
  <c r="N160" i="10"/>
  <c r="N161" i="10"/>
  <c r="L164" i="7"/>
  <c r="L165" i="7" s="1"/>
  <c r="N164" i="7"/>
  <c r="N165" i="7" s="1"/>
  <c r="E125" i="1"/>
  <c r="D286" i="8"/>
  <c r="D279" i="8"/>
  <c r="D288" i="8"/>
  <c r="D282" i="8"/>
  <c r="D289" i="8"/>
  <c r="D291" i="8"/>
  <c r="D292" i="8"/>
  <c r="D280" i="8"/>
  <c r="D281" i="8"/>
  <c r="D283" i="8"/>
  <c r="D287" i="8"/>
  <c r="D284" i="8"/>
  <c r="D290" i="8"/>
  <c r="D285" i="8"/>
  <c r="D169" i="10"/>
  <c r="D111" i="10"/>
  <c r="D102" i="2" s="1"/>
  <c r="D53" i="10"/>
  <c r="G169" i="10"/>
  <c r="G111" i="10"/>
  <c r="G102" i="2" s="1"/>
  <c r="G53" i="10"/>
  <c r="F147" i="10"/>
  <c r="F158" i="10" s="1"/>
  <c r="D147" i="10"/>
  <c r="D158" i="10" s="1"/>
  <c r="D159" i="10"/>
  <c r="H147" i="10"/>
  <c r="E147" i="10"/>
  <c r="E158" i="10" s="1"/>
  <c r="D89" i="10"/>
  <c r="D100" i="10" s="1"/>
  <c r="D101" i="10"/>
  <c r="G147" i="10"/>
  <c r="E89" i="10"/>
  <c r="E100" i="10" s="1"/>
  <c r="D43" i="10"/>
  <c r="H31" i="10"/>
  <c r="G31" i="10"/>
  <c r="F31" i="10"/>
  <c r="F42" i="10" s="1"/>
  <c r="E31" i="10"/>
  <c r="E42" i="10" s="1"/>
  <c r="D31" i="10"/>
  <c r="D42" i="10" s="1"/>
  <c r="G89" i="10"/>
  <c r="G100" i="10" s="1"/>
  <c r="F89" i="10"/>
  <c r="F100" i="10" s="1"/>
  <c r="H89" i="10"/>
  <c r="F40" i="5"/>
  <c r="D14" i="11"/>
  <c r="D22" i="11" s="1"/>
  <c r="K132" i="8"/>
  <c r="H36" i="7"/>
  <c r="H130" i="8"/>
  <c r="H139" i="8" s="1"/>
  <c r="K164" i="7"/>
  <c r="K165" i="7" s="1"/>
  <c r="I167" i="7"/>
  <c r="H164" i="7"/>
  <c r="H165" i="7" s="1"/>
  <c r="N98" i="9"/>
  <c r="N163" i="7"/>
  <c r="N174" i="7"/>
  <c r="D166" i="7"/>
  <c r="D167" i="7"/>
  <c r="D169" i="7" s="1"/>
  <c r="D175" i="7" s="1"/>
  <c r="D18" i="11"/>
  <c r="D26" i="11" s="1"/>
  <c r="K136" i="8"/>
  <c r="J36" i="7"/>
  <c r="J130" i="8"/>
  <c r="J141" i="8" s="1"/>
  <c r="I164" i="7"/>
  <c r="I165" i="7" s="1"/>
  <c r="I166" i="7" s="1"/>
  <c r="M164" i="7"/>
  <c r="M165" i="7" s="1"/>
  <c r="N103" i="10"/>
  <c r="D13" i="11"/>
  <c r="D21" i="11" s="1"/>
  <c r="K131" i="8"/>
  <c r="M36" i="7"/>
  <c r="M130" i="8"/>
  <c r="M141" i="8" s="1"/>
  <c r="D12" i="11"/>
  <c r="D20" i="11" s="1"/>
  <c r="K36" i="7"/>
  <c r="K130" i="8"/>
  <c r="G167" i="7"/>
  <c r="D16" i="11"/>
  <c r="D24" i="11" s="1"/>
  <c r="K134" i="8"/>
  <c r="D72" i="7"/>
  <c r="D76" i="7"/>
  <c r="D75" i="7"/>
  <c r="I84" i="7"/>
  <c r="L86" i="7"/>
  <c r="L82" i="7"/>
  <c r="F148" i="9"/>
  <c r="N87" i="7"/>
  <c r="G83" i="7"/>
  <c r="I83" i="7"/>
  <c r="M84" i="7"/>
  <c r="J86" i="7"/>
  <c r="M87" i="7"/>
  <c r="G82" i="7"/>
  <c r="K86" i="7"/>
  <c r="D117" i="7"/>
  <c r="M88" i="7"/>
  <c r="L83" i="7"/>
  <c r="L88" i="7"/>
  <c r="J84" i="7"/>
  <c r="M86" i="7"/>
  <c r="K82" i="7"/>
  <c r="M83" i="7"/>
  <c r="H84" i="7"/>
  <c r="J83" i="7"/>
  <c r="K84" i="7"/>
  <c r="L87" i="7"/>
  <c r="D116" i="7"/>
  <c r="M82" i="7"/>
  <c r="I82" i="7"/>
  <c r="N88" i="7"/>
  <c r="H83" i="7"/>
  <c r="L84" i="7"/>
  <c r="N84" i="7"/>
  <c r="F82" i="7"/>
  <c r="J82" i="7"/>
  <c r="N83" i="7"/>
  <c r="K83" i="7"/>
  <c r="N86" i="7"/>
  <c r="N82" i="7"/>
  <c r="K87" i="7"/>
  <c r="H82" i="7"/>
  <c r="N81" i="7"/>
  <c r="K85" i="7"/>
  <c r="M81" i="7"/>
  <c r="F81" i="7"/>
  <c r="I85" i="7"/>
  <c r="M85" i="7"/>
  <c r="E81" i="7"/>
  <c r="L81" i="7"/>
  <c r="K81" i="7"/>
  <c r="J85" i="7"/>
  <c r="J81" i="7"/>
  <c r="I81" i="7"/>
  <c r="H81" i="7"/>
  <c r="N85" i="7"/>
  <c r="L85" i="7"/>
  <c r="G81" i="7"/>
  <c r="G36" i="7"/>
  <c r="G130" i="8"/>
  <c r="G141" i="8" s="1"/>
  <c r="E36" i="7"/>
  <c r="E130" i="8"/>
  <c r="E139" i="8" s="1"/>
  <c r="M167" i="7"/>
  <c r="H215" i="8"/>
  <c r="D139" i="8"/>
  <c r="G215" i="8"/>
  <c r="N215" i="8"/>
  <c r="F215" i="8"/>
  <c r="D177" i="8"/>
  <c r="M215" i="8"/>
  <c r="E215" i="8"/>
  <c r="L215" i="8"/>
  <c r="D215" i="8"/>
  <c r="J215" i="8"/>
  <c r="N139" i="8"/>
  <c r="K215" i="8"/>
  <c r="I215" i="8"/>
  <c r="E167" i="7"/>
  <c r="E169" i="7" s="1"/>
  <c r="E175" i="7"/>
  <c r="E166" i="7"/>
  <c r="D55" i="9"/>
  <c r="D58" i="2" s="1"/>
  <c r="D100" i="7"/>
  <c r="D111" i="7"/>
  <c r="K150" i="10"/>
  <c r="K158" i="10" s="1"/>
  <c r="J150" i="10"/>
  <c r="J158" i="10" s="1"/>
  <c r="I150" i="10"/>
  <c r="I158" i="10" s="1"/>
  <c r="G150" i="10"/>
  <c r="K92" i="10"/>
  <c r="K100" i="10" s="1"/>
  <c r="G159" i="10"/>
  <c r="G101" i="10"/>
  <c r="J92" i="10"/>
  <c r="J100" i="10" s="1"/>
  <c r="H92" i="10"/>
  <c r="G92" i="10"/>
  <c r="H150" i="10"/>
  <c r="G34" i="10"/>
  <c r="I92" i="10"/>
  <c r="I100" i="10" s="1"/>
  <c r="K34" i="10"/>
  <c r="K42" i="10" s="1"/>
  <c r="I34" i="10"/>
  <c r="I42" i="10" s="1"/>
  <c r="H34" i="10"/>
  <c r="G43" i="10"/>
  <c r="J34" i="10"/>
  <c r="J42" i="10" s="1"/>
  <c r="I40" i="5"/>
  <c r="D15" i="11"/>
  <c r="D23" i="11" s="1"/>
  <c r="K133" i="8"/>
  <c r="H65" i="9"/>
  <c r="G85" i="2"/>
  <c r="L167" i="7"/>
  <c r="L166" i="7"/>
  <c r="H167" i="7"/>
  <c r="H166" i="7"/>
  <c r="J217" i="8"/>
  <c r="N141" i="8"/>
  <c r="F141" i="8"/>
  <c r="I217" i="8"/>
  <c r="E141" i="8"/>
  <c r="H217" i="8"/>
  <c r="D141" i="8"/>
  <c r="G217" i="8"/>
  <c r="N217" i="8"/>
  <c r="F217" i="8"/>
  <c r="D179" i="8"/>
  <c r="D265" i="8" s="1"/>
  <c r="L217" i="8"/>
  <c r="D217" i="8"/>
  <c r="M217" i="8"/>
  <c r="K217" i="8"/>
  <c r="E217" i="8"/>
  <c r="F36" i="7"/>
  <c r="F130" i="8"/>
  <c r="F139" i="8" s="1"/>
  <c r="D126" i="10"/>
  <c r="D68" i="10"/>
  <c r="D10" i="10"/>
  <c r="D14" i="7"/>
  <c r="M33" i="7"/>
  <c r="K33" i="7"/>
  <c r="N34" i="7"/>
  <c r="J29" i="7"/>
  <c r="M32" i="7"/>
  <c r="K28" i="7"/>
  <c r="M29" i="7"/>
  <c r="H30" i="7"/>
  <c r="K32" i="7"/>
  <c r="J28" i="7"/>
  <c r="G28" i="7"/>
  <c r="N29" i="7"/>
  <c r="H29" i="7"/>
  <c r="L30" i="7"/>
  <c r="L28" i="7"/>
  <c r="M28" i="7"/>
  <c r="M34" i="7"/>
  <c r="K29" i="7"/>
  <c r="N30" i="7"/>
  <c r="N33" i="7"/>
  <c r="H28" i="7"/>
  <c r="I29" i="7"/>
  <c r="I30" i="7"/>
  <c r="L32" i="7"/>
  <c r="I28" i="7"/>
  <c r="L29" i="7"/>
  <c r="J32" i="7"/>
  <c r="N32" i="7"/>
  <c r="L33" i="7"/>
  <c r="F28" i="7"/>
  <c r="L34" i="7"/>
  <c r="G29" i="7"/>
  <c r="K30" i="7"/>
  <c r="M30" i="7"/>
  <c r="N28" i="7"/>
  <c r="J30" i="7"/>
  <c r="M31" i="7"/>
  <c r="K31" i="7"/>
  <c r="H27" i="7"/>
  <c r="G27" i="7"/>
  <c r="N31" i="7"/>
  <c r="N27" i="7"/>
  <c r="J31" i="7"/>
  <c r="F27" i="7"/>
  <c r="L31" i="7"/>
  <c r="L27" i="7"/>
  <c r="M27" i="7"/>
  <c r="I31" i="7"/>
  <c r="J27" i="7"/>
  <c r="E27" i="7"/>
  <c r="E38" i="7" s="1"/>
  <c r="E39" i="7" s="1"/>
  <c r="K27" i="7"/>
  <c r="I27" i="7"/>
  <c r="L219" i="8"/>
  <c r="D219" i="8"/>
  <c r="K219" i="8"/>
  <c r="J219" i="8"/>
  <c r="N143" i="8"/>
  <c r="F143" i="8"/>
  <c r="I219" i="8"/>
  <c r="E143" i="8"/>
  <c r="H219" i="8"/>
  <c r="D143" i="8"/>
  <c r="N219" i="8"/>
  <c r="F219" i="8"/>
  <c r="D181" i="8"/>
  <c r="J143" i="8"/>
  <c r="G219" i="8"/>
  <c r="M219" i="8"/>
  <c r="E219" i="8"/>
  <c r="F167" i="7"/>
  <c r="F169" i="7" s="1"/>
  <c r="F166" i="7"/>
  <c r="G164" i="7"/>
  <c r="G165" i="7" s="1"/>
  <c r="G166" i="7" s="1"/>
  <c r="D17" i="11"/>
  <c r="D25" i="11" s="1"/>
  <c r="K135" i="8"/>
  <c r="D41" i="7"/>
  <c r="D43" i="7" s="1"/>
  <c r="D49" i="7"/>
  <c r="D40" i="7"/>
  <c r="G158" i="10" l="1"/>
  <c r="L139" i="8"/>
  <c r="L143" i="8"/>
  <c r="H143" i="8"/>
  <c r="H141" i="8"/>
  <c r="J139" i="8"/>
  <c r="M103" i="10"/>
  <c r="N112" i="8"/>
  <c r="R112" i="8" s="1"/>
  <c r="H11" i="5"/>
  <c r="J21" i="5"/>
  <c r="K21" i="5"/>
  <c r="N113" i="8"/>
  <c r="R113" i="8" s="1"/>
  <c r="H12" i="5"/>
  <c r="N111" i="8"/>
  <c r="R111" i="8" s="1"/>
  <c r="H10" i="5"/>
  <c r="K141" i="8"/>
  <c r="N109" i="8"/>
  <c r="R109" i="8" s="1"/>
  <c r="H8" i="5"/>
  <c r="H21" i="5"/>
  <c r="N110" i="8"/>
  <c r="R110" i="8" s="1"/>
  <c r="I21" i="5"/>
  <c r="H9" i="5"/>
  <c r="H6" i="5"/>
  <c r="D19" i="6" s="1"/>
  <c r="N107" i="8"/>
  <c r="F21" i="5"/>
  <c r="D18" i="6"/>
  <c r="D25" i="6" s="1"/>
  <c r="G15" i="5"/>
  <c r="M143" i="8"/>
  <c r="I38" i="7"/>
  <c r="I39" i="7" s="1"/>
  <c r="J167" i="7"/>
  <c r="J169" i="7" s="1"/>
  <c r="J172" i="7" s="1"/>
  <c r="K38" i="7"/>
  <c r="K39" i="7" s="1"/>
  <c r="M139" i="8"/>
  <c r="G42" i="10"/>
  <c r="H158" i="10"/>
  <c r="F38" i="7"/>
  <c r="F39" i="7" s="1"/>
  <c r="I141" i="8"/>
  <c r="I139" i="8"/>
  <c r="K139" i="8"/>
  <c r="L21" i="5"/>
  <c r="H13" i="5"/>
  <c r="N114" i="8"/>
  <c r="R114" i="8" s="1"/>
  <c r="N115" i="8"/>
  <c r="R115" i="8" s="1"/>
  <c r="M21" i="5"/>
  <c r="H14" i="5"/>
  <c r="N108" i="8"/>
  <c r="R108" i="8" s="1"/>
  <c r="G21" i="5"/>
  <c r="H7" i="5"/>
  <c r="D93" i="9"/>
  <c r="D224" i="8"/>
  <c r="D120" i="9" s="1"/>
  <c r="D222" i="8"/>
  <c r="D102" i="9" s="1"/>
  <c r="D221" i="8"/>
  <c r="D238" i="8"/>
  <c r="D225" i="8"/>
  <c r="D191" i="7"/>
  <c r="D182" i="7"/>
  <c r="E176" i="7"/>
  <c r="D192" i="7"/>
  <c r="D181" i="7"/>
  <c r="D223" i="8"/>
  <c r="D184" i="7"/>
  <c r="D187" i="7"/>
  <c r="J103" i="10"/>
  <c r="J102" i="10"/>
  <c r="J45" i="10"/>
  <c r="J44" i="10"/>
  <c r="F172" i="7"/>
  <c r="F175" i="7"/>
  <c r="F171" i="7"/>
  <c r="F170" i="7"/>
  <c r="F100" i="9" s="1"/>
  <c r="J160" i="10"/>
  <c r="J161" i="10"/>
  <c r="D264" i="8"/>
  <c r="D263" i="8"/>
  <c r="D293" i="8" s="1"/>
  <c r="D114" i="2"/>
  <c r="N38" i="7"/>
  <c r="N39" i="7" s="1"/>
  <c r="I65" i="9"/>
  <c r="H85" i="2"/>
  <c r="L45" i="10"/>
  <c r="L44" i="10"/>
  <c r="L53" i="2"/>
  <c r="L172" i="8"/>
  <c r="E99" i="7"/>
  <c r="E49" i="2"/>
  <c r="E57" i="2" s="1"/>
  <c r="E168" i="8"/>
  <c r="E18" i="11"/>
  <c r="E26" i="11" s="1"/>
  <c r="K55" i="2"/>
  <c r="K174" i="8"/>
  <c r="L52" i="2"/>
  <c r="L171" i="8"/>
  <c r="J51" i="2"/>
  <c r="J170" i="8"/>
  <c r="M56" i="2"/>
  <c r="M175" i="8"/>
  <c r="G51" i="2"/>
  <c r="G170" i="8"/>
  <c r="B45" i="12"/>
  <c r="C45" i="12" s="1"/>
  <c r="D115" i="7"/>
  <c r="M169" i="7"/>
  <c r="M171" i="7" s="1"/>
  <c r="G44" i="10"/>
  <c r="G45" i="10"/>
  <c r="F160" i="10"/>
  <c r="F161" i="10"/>
  <c r="L102" i="10"/>
  <c r="L103" i="10"/>
  <c r="N53" i="2"/>
  <c r="N172" i="8"/>
  <c r="M53" i="2"/>
  <c r="M172" i="8"/>
  <c r="N50" i="2"/>
  <c r="N169" i="8"/>
  <c r="H51" i="2"/>
  <c r="H170" i="8"/>
  <c r="H52" i="2"/>
  <c r="H171" i="8"/>
  <c r="N55" i="2"/>
  <c r="N174" i="8"/>
  <c r="K12" i="9"/>
  <c r="K37" i="7"/>
  <c r="K48" i="7"/>
  <c r="I169" i="7"/>
  <c r="I171" i="7" s="1"/>
  <c r="I161" i="10"/>
  <c r="I160" i="10"/>
  <c r="L12" i="9"/>
  <c r="L37" i="7"/>
  <c r="L48" i="7"/>
  <c r="E93" i="9"/>
  <c r="E225" i="8"/>
  <c r="E238" i="8"/>
  <c r="E221" i="8"/>
  <c r="E228" i="8"/>
  <c r="E223" i="8"/>
  <c r="E224" i="8"/>
  <c r="E120" i="9" s="1"/>
  <c r="E182" i="7"/>
  <c r="F176" i="7"/>
  <c r="E191" i="7"/>
  <c r="E222" i="8"/>
  <c r="E102" i="9" s="1"/>
  <c r="E192" i="7"/>
  <c r="E184" i="7"/>
  <c r="E187" i="7"/>
  <c r="E45" i="7"/>
  <c r="H50" i="2"/>
  <c r="H169" i="8"/>
  <c r="G143" i="8"/>
  <c r="G38" i="7"/>
  <c r="G39" i="7" s="1"/>
  <c r="K143" i="8"/>
  <c r="M38" i="7"/>
  <c r="M39" i="7" s="1"/>
  <c r="H38" i="7"/>
  <c r="H39" i="7" s="1"/>
  <c r="D266" i="8"/>
  <c r="D104" i="7"/>
  <c r="D106" i="7" s="1"/>
  <c r="D112" i="7" s="1"/>
  <c r="D103" i="7"/>
  <c r="E12" i="9"/>
  <c r="E37" i="7"/>
  <c r="E48" i="7"/>
  <c r="H99" i="7"/>
  <c r="H49" i="2"/>
  <c r="H168" i="8"/>
  <c r="I53" i="2"/>
  <c r="I172" i="8"/>
  <c r="N54" i="2"/>
  <c r="N173" i="8"/>
  <c r="N56" i="2"/>
  <c r="N175" i="8"/>
  <c r="M51" i="2"/>
  <c r="M170" i="8"/>
  <c r="E17" i="11"/>
  <c r="E25" i="11" s="1"/>
  <c r="K54" i="2"/>
  <c r="K173" i="8"/>
  <c r="D28" i="11"/>
  <c r="F41" i="5"/>
  <c r="B5" i="12" s="1"/>
  <c r="C5" i="12" s="1"/>
  <c r="H42" i="10"/>
  <c r="L99" i="7"/>
  <c r="L49" i="2"/>
  <c r="L168" i="8"/>
  <c r="J38" i="7"/>
  <c r="J39" i="7" s="1"/>
  <c r="L38" i="7"/>
  <c r="L39" i="7" s="1"/>
  <c r="F12" i="9"/>
  <c r="F37" i="7"/>
  <c r="F48" i="7"/>
  <c r="G139" i="8"/>
  <c r="M166" i="7"/>
  <c r="I99" i="7"/>
  <c r="I49" i="2"/>
  <c r="I168" i="8"/>
  <c r="F99" i="7"/>
  <c r="F49" i="2"/>
  <c r="F168" i="8"/>
  <c r="E14" i="11"/>
  <c r="E22" i="11" s="1"/>
  <c r="K51" i="2"/>
  <c r="K170" i="8"/>
  <c r="I50" i="2"/>
  <c r="I169" i="8"/>
  <c r="E13" i="11"/>
  <c r="E21" i="11" s="1"/>
  <c r="K50" i="2"/>
  <c r="K169" i="8"/>
  <c r="G50" i="2"/>
  <c r="G169" i="8"/>
  <c r="L50" i="2"/>
  <c r="L169" i="8"/>
  <c r="D172" i="7"/>
  <c r="D170" i="7"/>
  <c r="D100" i="9" s="1"/>
  <c r="H169" i="7"/>
  <c r="H171" i="7" s="1"/>
  <c r="H100" i="10"/>
  <c r="H102" i="10" s="1"/>
  <c r="E161" i="10"/>
  <c r="E160" i="10"/>
  <c r="I12" i="9"/>
  <c r="I37" i="7"/>
  <c r="I48" i="7"/>
  <c r="K103" i="10"/>
  <c r="K102" i="10"/>
  <c r="D46" i="7"/>
  <c r="D44" i="7"/>
  <c r="D14" i="9" s="1"/>
  <c r="G169" i="7"/>
  <c r="K45" i="10"/>
  <c r="K44" i="10"/>
  <c r="K160" i="10"/>
  <c r="K161" i="10"/>
  <c r="D76" i="2"/>
  <c r="D38" i="2"/>
  <c r="J99" i="7"/>
  <c r="J49" i="2"/>
  <c r="J168" i="8"/>
  <c r="M99" i="7"/>
  <c r="M49" i="2"/>
  <c r="M168" i="8"/>
  <c r="N51" i="2"/>
  <c r="N170" i="8"/>
  <c r="M50" i="2"/>
  <c r="M169" i="8"/>
  <c r="M54" i="2"/>
  <c r="M173" i="8"/>
  <c r="M55" i="2"/>
  <c r="M174" i="8"/>
  <c r="L54" i="2"/>
  <c r="L173" i="8"/>
  <c r="M12" i="9"/>
  <c r="M37" i="7"/>
  <c r="M48" i="7"/>
  <c r="H12" i="9"/>
  <c r="H37" i="7"/>
  <c r="H48" i="7"/>
  <c r="G103" i="10"/>
  <c r="G102" i="10"/>
  <c r="F103" i="10"/>
  <c r="F102" i="10"/>
  <c r="G160" i="10"/>
  <c r="G161" i="10"/>
  <c r="N12" i="9"/>
  <c r="N37" i="7"/>
  <c r="N48" i="7"/>
  <c r="K166" i="7"/>
  <c r="G145" i="9" s="1"/>
  <c r="G151" i="9" s="1"/>
  <c r="K167" i="7"/>
  <c r="K169" i="7" s="1"/>
  <c r="U109" i="8"/>
  <c r="S109" i="8"/>
  <c r="L161" i="10"/>
  <c r="L160" i="10"/>
  <c r="J53" i="2"/>
  <c r="J172" i="8"/>
  <c r="E16" i="11"/>
  <c r="E24" i="11" s="1"/>
  <c r="K53" i="2"/>
  <c r="K172" i="8"/>
  <c r="J50" i="2"/>
  <c r="J169" i="8"/>
  <c r="J52" i="2"/>
  <c r="J171" i="8"/>
  <c r="J54" i="2"/>
  <c r="J173" i="8"/>
  <c r="I52" i="2"/>
  <c r="I171" i="8"/>
  <c r="H103" i="10"/>
  <c r="H160" i="10"/>
  <c r="H161" i="10"/>
  <c r="G12" i="9"/>
  <c r="G37" i="7"/>
  <c r="G48" i="7"/>
  <c r="E12" i="11"/>
  <c r="E20" i="11" s="1"/>
  <c r="K99" i="7"/>
  <c r="K49" i="2"/>
  <c r="K168" i="8"/>
  <c r="N99" i="7"/>
  <c r="N49" i="2"/>
  <c r="N168" i="8"/>
  <c r="F50" i="2"/>
  <c r="F169" i="8"/>
  <c r="L55" i="2"/>
  <c r="L174" i="8"/>
  <c r="L56" i="2"/>
  <c r="L175" i="8"/>
  <c r="M52" i="2"/>
  <c r="M171" i="8"/>
  <c r="J12" i="9"/>
  <c r="J37" i="7"/>
  <c r="J48" i="7"/>
  <c r="E45" i="10"/>
  <c r="E44" i="10"/>
  <c r="N169" i="7"/>
  <c r="N172" i="7" s="1"/>
  <c r="D7" i="9"/>
  <c r="D149" i="8"/>
  <c r="D162" i="8"/>
  <c r="D146" i="8"/>
  <c r="D16" i="9" s="1"/>
  <c r="D145" i="8"/>
  <c r="D148" i="8"/>
  <c r="D34" i="9" s="1"/>
  <c r="E50" i="7"/>
  <c r="D66" i="7"/>
  <c r="D55" i="7"/>
  <c r="D58" i="7"/>
  <c r="D65" i="7"/>
  <c r="D56" i="7"/>
  <c r="D61" i="7"/>
  <c r="E172" i="7"/>
  <c r="E170" i="7"/>
  <c r="E100" i="9" s="1"/>
  <c r="G99" i="7"/>
  <c r="G49" i="2"/>
  <c r="G168" i="8"/>
  <c r="N52" i="2"/>
  <c r="N171" i="8"/>
  <c r="E15" i="11"/>
  <c r="E23" i="11" s="1"/>
  <c r="K52" i="2"/>
  <c r="K171" i="8"/>
  <c r="L51" i="2"/>
  <c r="L170" i="8"/>
  <c r="I51" i="2"/>
  <c r="I170" i="8"/>
  <c r="D77" i="7"/>
  <c r="B44" i="12" s="1"/>
  <c r="C44" i="12" s="1"/>
  <c r="I92" i="7"/>
  <c r="L91" i="7"/>
  <c r="G91" i="7"/>
  <c r="J95" i="7"/>
  <c r="M97" i="7"/>
  <c r="G92" i="7"/>
  <c r="M92" i="7"/>
  <c r="I93" i="7"/>
  <c r="K96" i="7"/>
  <c r="M91" i="7"/>
  <c r="L97" i="7"/>
  <c r="M93" i="7"/>
  <c r="K95" i="7"/>
  <c r="I91" i="7"/>
  <c r="J92" i="7"/>
  <c r="N93" i="7"/>
  <c r="M96" i="7"/>
  <c r="F91" i="7"/>
  <c r="N97" i="7"/>
  <c r="H92" i="7"/>
  <c r="N92" i="7"/>
  <c r="L93" i="7"/>
  <c r="J93" i="7"/>
  <c r="L92" i="7"/>
  <c r="N95" i="7"/>
  <c r="L95" i="7"/>
  <c r="L96" i="7"/>
  <c r="K91" i="7"/>
  <c r="H93" i="7"/>
  <c r="N96" i="7"/>
  <c r="K92" i="7"/>
  <c r="K93" i="7"/>
  <c r="J91" i="7"/>
  <c r="N91" i="7"/>
  <c r="M95" i="7"/>
  <c r="H91" i="7"/>
  <c r="M94" i="7"/>
  <c r="M90" i="7"/>
  <c r="H90" i="7"/>
  <c r="K94" i="7"/>
  <c r="E90" i="7"/>
  <c r="E101" i="7" s="1"/>
  <c r="E102" i="7" s="1"/>
  <c r="G90" i="7"/>
  <c r="N94" i="7"/>
  <c r="F90" i="7"/>
  <c r="N90" i="7"/>
  <c r="I90" i="7"/>
  <c r="L90" i="7"/>
  <c r="K90" i="7"/>
  <c r="I94" i="7"/>
  <c r="L94" i="7"/>
  <c r="J94" i="7"/>
  <c r="J90" i="7"/>
  <c r="N167" i="7"/>
  <c r="N166" i="7"/>
  <c r="F45" i="10"/>
  <c r="F44" i="10"/>
  <c r="E102" i="10"/>
  <c r="E103" i="10"/>
  <c r="L169" i="7"/>
  <c r="L171" i="7" s="1"/>
  <c r="N175" i="7" l="1"/>
  <c r="L170" i="7"/>
  <c r="L100" i="9" s="1"/>
  <c r="S108" i="8"/>
  <c r="U108" i="8"/>
  <c r="S111" i="8"/>
  <c r="U111" i="8"/>
  <c r="N101" i="7"/>
  <c r="N102" i="7" s="1"/>
  <c r="G57" i="2"/>
  <c r="H57" i="2"/>
  <c r="U110" i="8"/>
  <c r="S110" i="8"/>
  <c r="S113" i="8"/>
  <c r="U113" i="8"/>
  <c r="H170" i="7"/>
  <c r="H100" i="9" s="1"/>
  <c r="J175" i="7"/>
  <c r="J171" i="7"/>
  <c r="S115" i="8"/>
  <c r="U115" i="8"/>
  <c r="J170" i="7"/>
  <c r="J100" i="9" s="1"/>
  <c r="S114" i="8"/>
  <c r="U114" i="8"/>
  <c r="N170" i="7"/>
  <c r="N100" i="9" s="1"/>
  <c r="R107" i="8"/>
  <c r="N116" i="8"/>
  <c r="B23" i="12" s="1"/>
  <c r="S112" i="8"/>
  <c r="U112" i="8"/>
  <c r="K172" i="7"/>
  <c r="K170" i="7"/>
  <c r="K175" i="7"/>
  <c r="K171" i="7"/>
  <c r="G286" i="8"/>
  <c r="G283" i="8"/>
  <c r="G285" i="8"/>
  <c r="G281" i="8"/>
  <c r="G287" i="8"/>
  <c r="G284" i="8"/>
  <c r="G288" i="8"/>
  <c r="G290" i="8"/>
  <c r="G291" i="8"/>
  <c r="G279" i="8"/>
  <c r="G280" i="8"/>
  <c r="G282" i="8"/>
  <c r="G289" i="8"/>
  <c r="G292" i="8"/>
  <c r="G177" i="8"/>
  <c r="G179" i="8"/>
  <c r="G265" i="8" s="1"/>
  <c r="G181" i="8"/>
  <c r="D99" i="9"/>
  <c r="D173" i="7"/>
  <c r="I57" i="2"/>
  <c r="L55" i="9"/>
  <c r="L100" i="7"/>
  <c r="L111" i="7"/>
  <c r="D50" i="9"/>
  <c r="D316" i="8"/>
  <c r="D308" i="8"/>
  <c r="D267" i="8"/>
  <c r="D313" i="8"/>
  <c r="D310" i="8"/>
  <c r="D304" i="8"/>
  <c r="D302" i="8"/>
  <c r="D300" i="8"/>
  <c r="D298" i="8"/>
  <c r="D315" i="8"/>
  <c r="D312" i="8"/>
  <c r="D309" i="8"/>
  <c r="D268" i="8"/>
  <c r="D314" i="8"/>
  <c r="D183" i="8"/>
  <c r="D311" i="8"/>
  <c r="D185" i="8"/>
  <c r="D301" i="8"/>
  <c r="D299" i="8"/>
  <c r="D187" i="8"/>
  <c r="D128" i="2" s="1"/>
  <c r="D305" i="8"/>
  <c r="D200" i="8"/>
  <c r="D186" i="8"/>
  <c r="D303" i="8"/>
  <c r="D119" i="7"/>
  <c r="D184" i="8"/>
  <c r="D128" i="7"/>
  <c r="D129" i="7"/>
  <c r="D121" i="7"/>
  <c r="D118" i="7"/>
  <c r="E113" i="7"/>
  <c r="D124" i="7"/>
  <c r="I172" i="7"/>
  <c r="I175" i="7"/>
  <c r="E292" i="8"/>
  <c r="E289" i="8"/>
  <c r="E290" i="8"/>
  <c r="E283" i="8"/>
  <c r="E280" i="8"/>
  <c r="E284" i="8"/>
  <c r="E281" i="8"/>
  <c r="E282" i="8"/>
  <c r="E279" i="8"/>
  <c r="E291" i="8"/>
  <c r="E285" i="8"/>
  <c r="E287" i="8"/>
  <c r="E286" i="8"/>
  <c r="E288" i="8"/>
  <c r="E179" i="8"/>
  <c r="E265" i="8" s="1"/>
  <c r="E177" i="8"/>
  <c r="E181" i="8"/>
  <c r="F93" i="9"/>
  <c r="F228" i="8"/>
  <c r="F238" i="8"/>
  <c r="F222" i="8"/>
  <c r="F102" i="9" s="1"/>
  <c r="F221" i="8"/>
  <c r="F225" i="8"/>
  <c r="F224" i="8"/>
  <c r="F120" i="9" s="1"/>
  <c r="F182" i="7"/>
  <c r="G176" i="7"/>
  <c r="F223" i="8"/>
  <c r="F192" i="7"/>
  <c r="F184" i="7"/>
  <c r="F191" i="7"/>
  <c r="F187" i="7"/>
  <c r="D8" i="9"/>
  <c r="D161" i="8"/>
  <c r="D163" i="8" s="1"/>
  <c r="D164" i="8"/>
  <c r="F99" i="9"/>
  <c r="F173" i="7"/>
  <c r="F194" i="7"/>
  <c r="I55" i="9"/>
  <c r="I100" i="7"/>
  <c r="I111" i="7"/>
  <c r="K101" i="7"/>
  <c r="K102" i="7" s="1"/>
  <c r="N99" i="9"/>
  <c r="N173" i="7"/>
  <c r="N194" i="7"/>
  <c r="N55" i="9"/>
  <c r="N100" i="7"/>
  <c r="N111" i="7"/>
  <c r="G40" i="7"/>
  <c r="G41" i="7"/>
  <c r="M280" i="8"/>
  <c r="M283" i="8"/>
  <c r="M284" i="8"/>
  <c r="M281" i="8"/>
  <c r="M279" i="8"/>
  <c r="M290" i="8"/>
  <c r="M285" i="8"/>
  <c r="M286" i="8"/>
  <c r="M288" i="8"/>
  <c r="M291" i="8"/>
  <c r="M292" i="8"/>
  <c r="M289" i="8"/>
  <c r="M287" i="8"/>
  <c r="M282" i="8"/>
  <c r="M181" i="8"/>
  <c r="M177" i="8"/>
  <c r="M179" i="8"/>
  <c r="M265" i="8" s="1"/>
  <c r="G172" i="7"/>
  <c r="G175" i="7"/>
  <c r="F291" i="8"/>
  <c r="F288" i="8"/>
  <c r="F282" i="8"/>
  <c r="F284" i="8"/>
  <c r="F279" i="8"/>
  <c r="F287" i="8"/>
  <c r="F283" i="8"/>
  <c r="F285" i="8"/>
  <c r="F289" i="8"/>
  <c r="F286" i="8"/>
  <c r="F280" i="8"/>
  <c r="F281" i="8"/>
  <c r="F290" i="8"/>
  <c r="F292" i="8"/>
  <c r="F179" i="8"/>
  <c r="F265" i="8" s="1"/>
  <c r="F181" i="8"/>
  <c r="F177" i="8"/>
  <c r="I44" i="10"/>
  <c r="I45" i="10"/>
  <c r="H55" i="9"/>
  <c r="H100" i="7"/>
  <c r="H111" i="7"/>
  <c r="D109" i="7"/>
  <c r="D107" i="7"/>
  <c r="D57" i="9" s="1"/>
  <c r="E97" i="9"/>
  <c r="E193" i="7"/>
  <c r="I170" i="7"/>
  <c r="I100" i="9" s="1"/>
  <c r="G101" i="7"/>
  <c r="G102" i="7" s="1"/>
  <c r="E108" i="7"/>
  <c r="N57" i="2"/>
  <c r="N93" i="9"/>
  <c r="N228" i="8"/>
  <c r="N238" i="8"/>
  <c r="N222" i="8"/>
  <c r="N102" i="9" s="1"/>
  <c r="N221" i="8"/>
  <c r="N224" i="8"/>
  <c r="N120" i="9" s="1"/>
  <c r="N223" i="8"/>
  <c r="N192" i="7"/>
  <c r="N184" i="7"/>
  <c r="N225" i="8"/>
  <c r="N191" i="7"/>
  <c r="N187" i="7"/>
  <c r="D38" i="9"/>
  <c r="D39" i="9"/>
  <c r="D40" i="9" s="1"/>
  <c r="L101" i="7"/>
  <c r="L102" i="7" s="1"/>
  <c r="H101" i="7"/>
  <c r="H102" i="7" s="1"/>
  <c r="G55" i="9"/>
  <c r="G100" i="7"/>
  <c r="G111" i="7"/>
  <c r="N171" i="7"/>
  <c r="K283" i="8"/>
  <c r="K284" i="8"/>
  <c r="K286" i="8"/>
  <c r="K281" i="8"/>
  <c r="K290" i="8"/>
  <c r="K287" i="8"/>
  <c r="K282" i="8"/>
  <c r="K279" i="8"/>
  <c r="K291" i="8"/>
  <c r="K288" i="8"/>
  <c r="K292" i="8"/>
  <c r="K280" i="8"/>
  <c r="K289" i="8"/>
  <c r="K285" i="8"/>
  <c r="K181" i="8"/>
  <c r="K177" i="8"/>
  <c r="K179" i="8"/>
  <c r="H40" i="7"/>
  <c r="H41" i="7"/>
  <c r="G170" i="7"/>
  <c r="G100" i="9" s="1"/>
  <c r="I103" i="10"/>
  <c r="I102" i="10"/>
  <c r="F57" i="2"/>
  <c r="F179" i="7"/>
  <c r="F180" i="7"/>
  <c r="F178" i="7"/>
  <c r="E124" i="9"/>
  <c r="E125" i="9"/>
  <c r="E126" i="9" s="1"/>
  <c r="E109" i="9"/>
  <c r="H45" i="10"/>
  <c r="M170" i="7"/>
  <c r="M100" i="9" s="1"/>
  <c r="E55" i="9"/>
  <c r="E58" i="2" s="1"/>
  <c r="E100" i="7"/>
  <c r="E111" i="7"/>
  <c r="E179" i="7"/>
  <c r="E178" i="7"/>
  <c r="E180" i="7"/>
  <c r="D124" i="9"/>
  <c r="D125" i="9"/>
  <c r="D126" i="9" s="1"/>
  <c r="D11" i="9"/>
  <c r="D67" i="7"/>
  <c r="J55" i="9"/>
  <c r="J100" i="7"/>
  <c r="J111" i="7"/>
  <c r="L172" i="7"/>
  <c r="L175" i="7"/>
  <c r="I101" i="7"/>
  <c r="I102" i="7" s="1"/>
  <c r="M101" i="7"/>
  <c r="M102" i="7" s="1"/>
  <c r="E147" i="8"/>
  <c r="E52" i="7"/>
  <c r="E54" i="7"/>
  <c r="E53" i="7"/>
  <c r="K57" i="2"/>
  <c r="G152" i="9"/>
  <c r="E107" i="1" s="1"/>
  <c r="E106" i="1"/>
  <c r="M57" i="2"/>
  <c r="G171" i="7"/>
  <c r="E41" i="7"/>
  <c r="E43" i="7" s="1"/>
  <c r="E49" i="7" s="1"/>
  <c r="E40" i="7"/>
  <c r="H44" i="10"/>
  <c r="K41" i="7"/>
  <c r="K43" i="7" s="1"/>
  <c r="K49" i="7" s="1"/>
  <c r="K40" i="7"/>
  <c r="E145" i="9" s="1"/>
  <c r="E151" i="9" s="1"/>
  <c r="J238" i="8"/>
  <c r="J93" i="9"/>
  <c r="J228" i="8"/>
  <c r="J224" i="8"/>
  <c r="J120" i="9" s="1"/>
  <c r="J223" i="8"/>
  <c r="J225" i="8"/>
  <c r="J222" i="8"/>
  <c r="J102" i="9" s="1"/>
  <c r="J221" i="8"/>
  <c r="J184" i="7"/>
  <c r="J191" i="7"/>
  <c r="K176" i="7"/>
  <c r="J192" i="7"/>
  <c r="J187" i="7"/>
  <c r="M55" i="9"/>
  <c r="M100" i="7"/>
  <c r="M111" i="7"/>
  <c r="H172" i="7"/>
  <c r="H175" i="7"/>
  <c r="F55" i="9"/>
  <c r="F100" i="7"/>
  <c r="F111" i="7"/>
  <c r="F40" i="7"/>
  <c r="F41" i="7"/>
  <c r="F43" i="7" s="1"/>
  <c r="F49" i="7" s="1"/>
  <c r="L285" i="8"/>
  <c r="L279" i="8"/>
  <c r="L288" i="8"/>
  <c r="L289" i="8"/>
  <c r="L291" i="8"/>
  <c r="L292" i="8"/>
  <c r="L280" i="8"/>
  <c r="L290" i="8"/>
  <c r="L281" i="8"/>
  <c r="L283" i="8"/>
  <c r="L282" i="8"/>
  <c r="L287" i="8"/>
  <c r="L284" i="8"/>
  <c r="L286" i="8"/>
  <c r="L177" i="8"/>
  <c r="L181" i="8"/>
  <c r="L179" i="8"/>
  <c r="L265" i="8" s="1"/>
  <c r="C125" i="1"/>
  <c r="H43" i="7"/>
  <c r="H46" i="7" s="1"/>
  <c r="G43" i="7"/>
  <c r="G46" i="7" s="1"/>
  <c r="E95" i="9"/>
  <c r="E189" i="7"/>
  <c r="E190" i="7" s="1"/>
  <c r="L41" i="7"/>
  <c r="L43" i="7" s="1"/>
  <c r="L40" i="7"/>
  <c r="M172" i="7"/>
  <c r="M175" i="7"/>
  <c r="J65" i="9"/>
  <c r="I85" i="2"/>
  <c r="D97" i="9"/>
  <c r="D193" i="7"/>
  <c r="E99" i="9"/>
  <c r="E194" i="7"/>
  <c r="E173" i="7"/>
  <c r="J101" i="7"/>
  <c r="J102" i="7" s="1"/>
  <c r="F101" i="7"/>
  <c r="F102" i="7" s="1"/>
  <c r="D9" i="9"/>
  <c r="D63" i="7"/>
  <c r="D64" i="7" s="1"/>
  <c r="K55" i="9"/>
  <c r="K100" i="7"/>
  <c r="B39" i="12" s="1"/>
  <c r="C39" i="12" s="1"/>
  <c r="K111" i="7"/>
  <c r="H109" i="8"/>
  <c r="L109" i="8"/>
  <c r="F121" i="8" s="1"/>
  <c r="J109" i="8"/>
  <c r="F120" i="8" s="1"/>
  <c r="J279" i="8"/>
  <c r="J281" i="8"/>
  <c r="J285" i="8"/>
  <c r="J282" i="8"/>
  <c r="J288" i="8"/>
  <c r="J292" i="8"/>
  <c r="J286" i="8"/>
  <c r="J284" i="8"/>
  <c r="J287" i="8"/>
  <c r="J289" i="8"/>
  <c r="J280" i="8"/>
  <c r="J291" i="8"/>
  <c r="J290" i="8"/>
  <c r="J283" i="8"/>
  <c r="J179" i="8"/>
  <c r="J265" i="8" s="1"/>
  <c r="J181" i="8"/>
  <c r="J177" i="8"/>
  <c r="D13" i="9"/>
  <c r="D47" i="7"/>
  <c r="I280" i="8"/>
  <c r="I289" i="8"/>
  <c r="I279" i="8"/>
  <c r="I290" i="8"/>
  <c r="I292" i="8"/>
  <c r="I283" i="8"/>
  <c r="I281" i="8"/>
  <c r="I286" i="8"/>
  <c r="I282" i="8"/>
  <c r="I284" i="8"/>
  <c r="I291" i="8"/>
  <c r="I288" i="8"/>
  <c r="I285" i="8"/>
  <c r="I287" i="8"/>
  <c r="I179" i="8"/>
  <c r="I265" i="8" s="1"/>
  <c r="I181" i="8"/>
  <c r="I177" i="8"/>
  <c r="D95" i="9"/>
  <c r="D189" i="7"/>
  <c r="D190" i="7" s="1"/>
  <c r="J41" i="7"/>
  <c r="J43" i="7" s="1"/>
  <c r="J40" i="7"/>
  <c r="N287" i="8"/>
  <c r="N282" i="8"/>
  <c r="N283" i="8"/>
  <c r="N285" i="8"/>
  <c r="N289" i="8"/>
  <c r="N286" i="8"/>
  <c r="N279" i="8"/>
  <c r="N292" i="8"/>
  <c r="N288" i="8"/>
  <c r="N280" i="8"/>
  <c r="N284" i="8"/>
  <c r="N281" i="8"/>
  <c r="N290" i="8"/>
  <c r="N291" i="8"/>
  <c r="N179" i="8"/>
  <c r="N265" i="8" s="1"/>
  <c r="N181" i="8"/>
  <c r="N177" i="8"/>
  <c r="E28" i="11"/>
  <c r="B11" i="12"/>
  <c r="C11" i="12" s="1"/>
  <c r="N40" i="7"/>
  <c r="N41" i="7"/>
  <c r="N43" i="7" s="1"/>
  <c r="M41" i="7"/>
  <c r="M43" i="7" s="1"/>
  <c r="M40" i="7"/>
  <c r="J57" i="2"/>
  <c r="I41" i="7"/>
  <c r="I43" i="7" s="1"/>
  <c r="I49" i="7" s="1"/>
  <c r="I40" i="7"/>
  <c r="L57" i="2"/>
  <c r="H285" i="8"/>
  <c r="H287" i="8"/>
  <c r="H291" i="8"/>
  <c r="H288" i="8"/>
  <c r="H290" i="8"/>
  <c r="H281" i="8"/>
  <c r="H286" i="8"/>
  <c r="H279" i="8"/>
  <c r="H283" i="8"/>
  <c r="H280" i="8"/>
  <c r="H292" i="8"/>
  <c r="H282" i="8"/>
  <c r="H289" i="8"/>
  <c r="H284" i="8"/>
  <c r="H177" i="8"/>
  <c r="H179" i="8"/>
  <c r="H265" i="8" s="1"/>
  <c r="H181" i="8"/>
  <c r="E94" i="9"/>
  <c r="E237" i="8"/>
  <c r="E239" i="8" s="1"/>
  <c r="E240" i="8"/>
  <c r="E229" i="8"/>
  <c r="E230" i="8"/>
  <c r="E106" i="9" s="1"/>
  <c r="D94" i="9"/>
  <c r="D240" i="8"/>
  <c r="D237" i="8"/>
  <c r="D239" i="8" s="1"/>
  <c r="J99" i="9"/>
  <c r="J173" i="7"/>
  <c r="J194" i="7"/>
  <c r="H58" i="2" l="1"/>
  <c r="F181" i="7"/>
  <c r="U107" i="8"/>
  <c r="S107" i="8"/>
  <c r="R116" i="8"/>
  <c r="B60" i="12"/>
  <c r="C60" i="12" s="1"/>
  <c r="C23" i="12"/>
  <c r="J115" i="8"/>
  <c r="K120" i="8" s="1"/>
  <c r="H115" i="8"/>
  <c r="L115" i="8"/>
  <c r="K121" i="8" s="1"/>
  <c r="G45" i="7"/>
  <c r="J114" i="8"/>
  <c r="J120" i="8" s="1"/>
  <c r="H114" i="8"/>
  <c r="L114" i="8"/>
  <c r="J121" i="8" s="1"/>
  <c r="J113" i="8"/>
  <c r="I120" i="8" s="1"/>
  <c r="H113" i="8"/>
  <c r="L113" i="8"/>
  <c r="I121" i="8" s="1"/>
  <c r="J111" i="8"/>
  <c r="H111" i="8"/>
  <c r="L111" i="8"/>
  <c r="J110" i="8"/>
  <c r="G120" i="8" s="1"/>
  <c r="H110" i="8"/>
  <c r="L110" i="8"/>
  <c r="G121" i="8" s="1"/>
  <c r="L112" i="8"/>
  <c r="H121" i="8" s="1"/>
  <c r="H112" i="8"/>
  <c r="J112" i="8"/>
  <c r="H120" i="8" s="1"/>
  <c r="J108" i="8"/>
  <c r="E120" i="8" s="1"/>
  <c r="L108" i="8"/>
  <c r="E121" i="8" s="1"/>
  <c r="H108" i="8"/>
  <c r="E7" i="9"/>
  <c r="E152" i="8"/>
  <c r="E149" i="8"/>
  <c r="E162" i="8"/>
  <c r="E146" i="8"/>
  <c r="E16" i="9" s="1"/>
  <c r="E148" i="8"/>
  <c r="E34" i="9" s="1"/>
  <c r="E145" i="8"/>
  <c r="E66" i="7"/>
  <c r="E55" i="7"/>
  <c r="E58" i="7"/>
  <c r="E65" i="7"/>
  <c r="E56" i="7"/>
  <c r="F50" i="7"/>
  <c r="F56" i="7" s="1"/>
  <c r="E61" i="7"/>
  <c r="M46" i="7"/>
  <c r="M44" i="7"/>
  <c r="M14" i="9" s="1"/>
  <c r="M45" i="7"/>
  <c r="M49" i="7"/>
  <c r="L46" i="7"/>
  <c r="L45" i="7"/>
  <c r="L44" i="7"/>
  <c r="L14" i="9" s="1"/>
  <c r="L49" i="7"/>
  <c r="N46" i="7"/>
  <c r="N44" i="7"/>
  <c r="N14" i="9" s="1"/>
  <c r="N45" i="7"/>
  <c r="N49" i="7"/>
  <c r="J46" i="7"/>
  <c r="J45" i="7"/>
  <c r="J44" i="7"/>
  <c r="J14" i="9" s="1"/>
  <c r="J49" i="7"/>
  <c r="H263" i="8"/>
  <c r="H293" i="8" s="1"/>
  <c r="H264" i="8"/>
  <c r="H114" i="2"/>
  <c r="I46" i="7"/>
  <c r="I45" i="7"/>
  <c r="I44" i="7"/>
  <c r="I14" i="9" s="1"/>
  <c r="J264" i="8"/>
  <c r="J263" i="8"/>
  <c r="J293" i="8" s="1"/>
  <c r="J114" i="2"/>
  <c r="D138" i="2"/>
  <c r="C23" i="1"/>
  <c r="K76" i="2"/>
  <c r="C5" i="2"/>
  <c r="C24" i="2" s="1"/>
  <c r="W100" i="1"/>
  <c r="K38" i="2"/>
  <c r="E86" i="1"/>
  <c r="M99" i="9"/>
  <c r="M194" i="7"/>
  <c r="M173" i="7"/>
  <c r="G44" i="7"/>
  <c r="G14" i="9" s="1"/>
  <c r="L264" i="8"/>
  <c r="L263" i="8"/>
  <c r="L293" i="8" s="1"/>
  <c r="L114" i="2"/>
  <c r="H99" i="9"/>
  <c r="H194" i="7"/>
  <c r="H173" i="7"/>
  <c r="K46" i="7"/>
  <c r="K45" i="7"/>
  <c r="K44" i="7"/>
  <c r="G93" i="9"/>
  <c r="G228" i="8"/>
  <c r="G238" i="8"/>
  <c r="G225" i="8"/>
  <c r="G224" i="8"/>
  <c r="G120" i="9" s="1"/>
  <c r="G223" i="8"/>
  <c r="G222" i="8"/>
  <c r="G102" i="9" s="1"/>
  <c r="G221" i="8"/>
  <c r="H176" i="7"/>
  <c r="G192" i="7"/>
  <c r="G191" i="7"/>
  <c r="G182" i="7"/>
  <c r="G184" i="7"/>
  <c r="G187" i="7"/>
  <c r="D52" i="9"/>
  <c r="D35" i="2" s="1"/>
  <c r="D126" i="7"/>
  <c r="D127" i="7" s="1"/>
  <c r="D81" i="9"/>
  <c r="D82" i="9"/>
  <c r="D83" i="9" s="1"/>
  <c r="D33" i="2"/>
  <c r="L76" i="2"/>
  <c r="L38" i="2"/>
  <c r="G263" i="8"/>
  <c r="G293" i="8" s="1"/>
  <c r="G264" i="8"/>
  <c r="G114" i="2"/>
  <c r="H44" i="7"/>
  <c r="H14" i="9" s="1"/>
  <c r="F7" i="9"/>
  <c r="F149" i="8"/>
  <c r="F162" i="8"/>
  <c r="F146" i="8"/>
  <c r="F16" i="9" s="1"/>
  <c r="F148" i="8"/>
  <c r="F34" i="9" s="1"/>
  <c r="F145" i="8"/>
  <c r="F152" i="8"/>
  <c r="F66" i="7"/>
  <c r="F58" i="7"/>
  <c r="F65" i="7"/>
  <c r="G50" i="7"/>
  <c r="F61" i="7"/>
  <c r="J76" i="2"/>
  <c r="J38" i="2"/>
  <c r="E181" i="7"/>
  <c r="N95" i="9"/>
  <c r="N189" i="7"/>
  <c r="N190" i="7" s="1"/>
  <c r="H38" i="2"/>
  <c r="H76" i="2"/>
  <c r="G99" i="9"/>
  <c r="G173" i="7"/>
  <c r="G194" i="7"/>
  <c r="F95" i="9"/>
  <c r="F189" i="7"/>
  <c r="F190" i="7" s="1"/>
  <c r="E264" i="8"/>
  <c r="E263" i="8"/>
  <c r="E293" i="8" s="1"/>
  <c r="E114" i="2"/>
  <c r="E116" i="7"/>
  <c r="E117" i="7"/>
  <c r="E115" i="7"/>
  <c r="D77" i="9"/>
  <c r="D92" i="2" s="1"/>
  <c r="D127" i="2"/>
  <c r="D269" i="8"/>
  <c r="D274" i="8" s="1"/>
  <c r="D306" i="8"/>
  <c r="D115" i="2"/>
  <c r="L58" i="2"/>
  <c r="H45" i="7"/>
  <c r="M266" i="8"/>
  <c r="M103" i="7"/>
  <c r="M104" i="7"/>
  <c r="M106" i="7" s="1"/>
  <c r="K180" i="7"/>
  <c r="K178" i="7"/>
  <c r="K179" i="7"/>
  <c r="J230" i="8"/>
  <c r="J106" i="9" s="1"/>
  <c r="J229" i="8"/>
  <c r="M58" i="2"/>
  <c r="E116" i="9"/>
  <c r="E113" i="9"/>
  <c r="E110" i="9"/>
  <c r="E112" i="9"/>
  <c r="E114" i="9"/>
  <c r="E115" i="9" s="1"/>
  <c r="G266" i="8"/>
  <c r="G104" i="7"/>
  <c r="G106" i="7" s="1"/>
  <c r="G109" i="7" s="1"/>
  <c r="G103" i="7"/>
  <c r="N97" i="9"/>
  <c r="N193" i="7"/>
  <c r="F97" i="9"/>
  <c r="F193" i="7"/>
  <c r="I93" i="9"/>
  <c r="I225" i="8"/>
  <c r="I238" i="8"/>
  <c r="I221" i="8"/>
  <c r="I228" i="8"/>
  <c r="I224" i="8"/>
  <c r="I120" i="9" s="1"/>
  <c r="I223" i="8"/>
  <c r="I222" i="8"/>
  <c r="I102" i="9" s="1"/>
  <c r="I192" i="7"/>
  <c r="I184" i="7"/>
  <c r="I191" i="7"/>
  <c r="J176" i="7"/>
  <c r="I187" i="7"/>
  <c r="I58" i="2"/>
  <c r="D96" i="9"/>
  <c r="D226" i="8"/>
  <c r="D236" i="8" s="1"/>
  <c r="D127" i="9" s="1"/>
  <c r="D227" i="8"/>
  <c r="M109" i="8"/>
  <c r="O109" i="8" s="1"/>
  <c r="F119" i="8"/>
  <c r="D10" i="9"/>
  <c r="D151" i="8"/>
  <c r="D150" i="8"/>
  <c r="D160" i="8" s="1"/>
  <c r="D41" i="9" s="1"/>
  <c r="H13" i="9"/>
  <c r="H68" i="7"/>
  <c r="H47" i="7"/>
  <c r="J97" i="9"/>
  <c r="J193" i="7"/>
  <c r="J125" i="9"/>
  <c r="J109" i="9"/>
  <c r="J124" i="9"/>
  <c r="D44" i="9"/>
  <c r="M264" i="8"/>
  <c r="M263" i="8"/>
  <c r="M293" i="8" s="1"/>
  <c r="M114" i="2"/>
  <c r="N266" i="8"/>
  <c r="N104" i="7"/>
  <c r="N106" i="7" s="1"/>
  <c r="N112" i="7" s="1"/>
  <c r="N103" i="7"/>
  <c r="F94" i="9"/>
  <c r="F240" i="8"/>
  <c r="F237" i="8"/>
  <c r="F239" i="8" s="1"/>
  <c r="I99" i="9"/>
  <c r="I173" i="7"/>
  <c r="I194" i="7"/>
  <c r="D51" i="9"/>
  <c r="D34" i="2" s="1"/>
  <c r="D199" i="8"/>
  <c r="D202" i="8"/>
  <c r="D133" i="2" s="1"/>
  <c r="I7" i="9"/>
  <c r="I148" i="8"/>
  <c r="I34" i="9" s="1"/>
  <c r="I145" i="8"/>
  <c r="I152" i="8"/>
  <c r="I162" i="8"/>
  <c r="I146" i="8"/>
  <c r="I16" i="9" s="1"/>
  <c r="I149" i="8"/>
  <c r="I65" i="7"/>
  <c r="J50" i="7"/>
  <c r="I66" i="7"/>
  <c r="I58" i="7"/>
  <c r="I61" i="7"/>
  <c r="I264" i="8"/>
  <c r="I263" i="8"/>
  <c r="I293" i="8" s="1"/>
  <c r="I114" i="2"/>
  <c r="D130" i="9"/>
  <c r="E96" i="9"/>
  <c r="E226" i="8"/>
  <c r="E236" i="8" s="1"/>
  <c r="E127" i="9" s="1"/>
  <c r="E227" i="8"/>
  <c r="J94" i="9"/>
  <c r="J240" i="8"/>
  <c r="J237" i="8"/>
  <c r="J239" i="8" s="1"/>
  <c r="C86" i="1"/>
  <c r="G38" i="2"/>
  <c r="G76" i="2"/>
  <c r="G58" i="2"/>
  <c r="N94" i="9"/>
  <c r="N237" i="8"/>
  <c r="N239" i="8" s="1"/>
  <c r="N240" i="8"/>
  <c r="D56" i="9"/>
  <c r="D110" i="7"/>
  <c r="N38" i="2"/>
  <c r="F86" i="1"/>
  <c r="N76" i="2"/>
  <c r="I266" i="8"/>
  <c r="I103" i="7"/>
  <c r="I104" i="7"/>
  <c r="I106" i="7" s="1"/>
  <c r="I109" i="7" s="1"/>
  <c r="K93" i="9"/>
  <c r="K223" i="8"/>
  <c r="K224" i="8"/>
  <c r="K120" i="9" s="1"/>
  <c r="F30" i="11" s="1"/>
  <c r="K238" i="8"/>
  <c r="K225" i="8"/>
  <c r="K222" i="8"/>
  <c r="K102" i="9" s="1"/>
  <c r="K221" i="8"/>
  <c r="K184" i="7"/>
  <c r="K228" i="8"/>
  <c r="K191" i="7"/>
  <c r="K182" i="7"/>
  <c r="K192" i="7"/>
  <c r="L176" i="7"/>
  <c r="L182" i="7" s="1"/>
  <c r="K187" i="7"/>
  <c r="K266" i="8"/>
  <c r="D244" i="8"/>
  <c r="D245" i="8"/>
  <c r="K104" i="7"/>
  <c r="K106" i="7" s="1"/>
  <c r="K103" i="7"/>
  <c r="F145" i="9" s="1"/>
  <c r="F151" i="9" s="1"/>
  <c r="F266" i="8"/>
  <c r="F104" i="7"/>
  <c r="F106" i="7" s="1"/>
  <c r="F103" i="7"/>
  <c r="M76" i="2"/>
  <c r="M38" i="2"/>
  <c r="E46" i="7"/>
  <c r="E44" i="7"/>
  <c r="E14" i="9" s="1"/>
  <c r="E266" i="8"/>
  <c r="E103" i="7"/>
  <c r="E104" i="7"/>
  <c r="E106" i="7" s="1"/>
  <c r="H49" i="7"/>
  <c r="N230" i="8"/>
  <c r="N106" i="9" s="1"/>
  <c r="N229" i="8"/>
  <c r="D54" i="9"/>
  <c r="D130" i="7"/>
  <c r="L266" i="8"/>
  <c r="L104" i="7"/>
  <c r="L103" i="7"/>
  <c r="K100" i="9"/>
  <c r="E105" i="1"/>
  <c r="J58" i="2"/>
  <c r="D125" i="1"/>
  <c r="K65" i="9"/>
  <c r="J85" i="2"/>
  <c r="F38" i="2"/>
  <c r="F76" i="2"/>
  <c r="J95" i="9"/>
  <c r="J189" i="7"/>
  <c r="J190" i="7" s="1"/>
  <c r="E152" i="9"/>
  <c r="C107" i="1" s="1"/>
  <c r="C106" i="1"/>
  <c r="K58" i="2"/>
  <c r="D154" i="2" s="1"/>
  <c r="L93" i="9"/>
  <c r="L224" i="8"/>
  <c r="L120" i="9" s="1"/>
  <c r="L228" i="8"/>
  <c r="L238" i="8"/>
  <c r="L225" i="8"/>
  <c r="L223" i="8"/>
  <c r="L222" i="8"/>
  <c r="L102" i="9" s="1"/>
  <c r="L221" i="8"/>
  <c r="L191" i="7"/>
  <c r="M176" i="7"/>
  <c r="L192" i="7"/>
  <c r="L184" i="7"/>
  <c r="L187" i="7"/>
  <c r="F58" i="2"/>
  <c r="D250" i="8"/>
  <c r="K265" i="8"/>
  <c r="L106" i="7"/>
  <c r="L109" i="7" s="1"/>
  <c r="N125" i="9"/>
  <c r="N109" i="9"/>
  <c r="N124" i="9"/>
  <c r="E130" i="9"/>
  <c r="H266" i="8"/>
  <c r="H104" i="7"/>
  <c r="H106" i="7" s="1"/>
  <c r="H103" i="7"/>
  <c r="F230" i="8"/>
  <c r="F106" i="9" s="1"/>
  <c r="F229" i="8"/>
  <c r="D59" i="9"/>
  <c r="D79" i="2" s="1"/>
  <c r="D126" i="2"/>
  <c r="D317" i="8"/>
  <c r="K99" i="9"/>
  <c r="K194" i="7"/>
  <c r="K173" i="7"/>
  <c r="N263" i="8"/>
  <c r="N293" i="8" s="1"/>
  <c r="N264" i="8"/>
  <c r="N114" i="2"/>
  <c r="M93" i="9"/>
  <c r="M225" i="8"/>
  <c r="M238" i="8"/>
  <c r="M222" i="8"/>
  <c r="M102" i="9" s="1"/>
  <c r="M221" i="8"/>
  <c r="M228" i="8"/>
  <c r="M224" i="8"/>
  <c r="M120" i="9" s="1"/>
  <c r="M223" i="8"/>
  <c r="N176" i="7"/>
  <c r="M192" i="7"/>
  <c r="M184" i="7"/>
  <c r="M191" i="7"/>
  <c r="M187" i="7"/>
  <c r="G13" i="9"/>
  <c r="G68" i="7"/>
  <c r="G47" i="7"/>
  <c r="F46" i="7"/>
  <c r="F44" i="7"/>
  <c r="F14" i="9" s="1"/>
  <c r="F45" i="7"/>
  <c r="H93" i="9"/>
  <c r="H228" i="8"/>
  <c r="H225" i="8"/>
  <c r="H238" i="8"/>
  <c r="H224" i="8"/>
  <c r="H120" i="9" s="1"/>
  <c r="H223" i="8"/>
  <c r="H221" i="8"/>
  <c r="H192" i="7"/>
  <c r="H184" i="7"/>
  <c r="H222" i="8"/>
  <c r="H102" i="9" s="1"/>
  <c r="H182" i="7"/>
  <c r="I176" i="7"/>
  <c r="I182" i="7" s="1"/>
  <c r="H191" i="7"/>
  <c r="H187" i="7"/>
  <c r="K7" i="9"/>
  <c r="K152" i="8"/>
  <c r="K149" i="8"/>
  <c r="K162" i="8"/>
  <c r="K146" i="8"/>
  <c r="K16" i="9" s="1"/>
  <c r="K148" i="8"/>
  <c r="K34" i="9" s="1"/>
  <c r="D30" i="11" s="1"/>
  <c r="K145" i="8"/>
  <c r="L50" i="7"/>
  <c r="K66" i="7"/>
  <c r="K58" i="7"/>
  <c r="K65" i="7"/>
  <c r="K61" i="7"/>
  <c r="L99" i="9"/>
  <c r="L173" i="7"/>
  <c r="L194" i="7"/>
  <c r="J266" i="8"/>
  <c r="J104" i="7"/>
  <c r="J106" i="7" s="1"/>
  <c r="J103" i="7"/>
  <c r="E76" i="2"/>
  <c r="E38" i="2"/>
  <c r="K264" i="8"/>
  <c r="K263" i="8"/>
  <c r="K293" i="8" s="1"/>
  <c r="K114" i="2"/>
  <c r="N58" i="2"/>
  <c r="F263" i="8"/>
  <c r="F293" i="8" s="1"/>
  <c r="F264" i="8"/>
  <c r="F114" i="2"/>
  <c r="G49" i="7"/>
  <c r="I38" i="2"/>
  <c r="D86" i="1"/>
  <c r="I76" i="2"/>
  <c r="G179" i="7"/>
  <c r="G178" i="7"/>
  <c r="G180" i="7"/>
  <c r="F125" i="9"/>
  <c r="F126" i="9" s="1"/>
  <c r="F109" i="9"/>
  <c r="F124" i="9"/>
  <c r="D270" i="8"/>
  <c r="D116" i="2"/>
  <c r="K181" i="7" l="1"/>
  <c r="K109" i="7"/>
  <c r="K112" i="7"/>
  <c r="B42" i="12" s="1"/>
  <c r="C42" i="12" s="1"/>
  <c r="K107" i="7"/>
  <c r="M115" i="8"/>
  <c r="O115" i="8" s="1"/>
  <c r="K119" i="8"/>
  <c r="L108" i="7"/>
  <c r="M113" i="8"/>
  <c r="O113" i="8" s="1"/>
  <c r="I119" i="8"/>
  <c r="L107" i="7"/>
  <c r="L57" i="9" s="1"/>
  <c r="L112" i="7"/>
  <c r="M108" i="8"/>
  <c r="O108" i="8" s="1"/>
  <c r="E119" i="8"/>
  <c r="P108" i="8"/>
  <c r="G119" i="8"/>
  <c r="M110" i="8"/>
  <c r="O110" i="8" s="1"/>
  <c r="J119" i="8"/>
  <c r="M114" i="8"/>
  <c r="O114" i="8" s="1"/>
  <c r="U116" i="8"/>
  <c r="S116" i="8"/>
  <c r="B16" i="12" s="1"/>
  <c r="C16" i="12" s="1"/>
  <c r="J107" i="8"/>
  <c r="L107" i="8"/>
  <c r="H107" i="8"/>
  <c r="B58" i="12"/>
  <c r="C58" i="12" s="1"/>
  <c r="B59" i="12"/>
  <c r="C59" i="12" s="1"/>
  <c r="I108" i="7"/>
  <c r="M111" i="8"/>
  <c r="O111" i="8" s="1"/>
  <c r="P111" i="8"/>
  <c r="G181" i="7"/>
  <c r="M112" i="8"/>
  <c r="O112" i="8" s="1"/>
  <c r="H119" i="8"/>
  <c r="J109" i="7"/>
  <c r="J107" i="7"/>
  <c r="J57" i="9" s="1"/>
  <c r="J112" i="7"/>
  <c r="J108" i="7"/>
  <c r="F109" i="7"/>
  <c r="F112" i="7"/>
  <c r="F108" i="7"/>
  <c r="F107" i="7"/>
  <c r="F57" i="9" s="1"/>
  <c r="M109" i="7"/>
  <c r="M112" i="7"/>
  <c r="M107" i="7"/>
  <c r="M57" i="9" s="1"/>
  <c r="M108" i="7"/>
  <c r="H109" i="7"/>
  <c r="H108" i="7"/>
  <c r="H112" i="7"/>
  <c r="H107" i="7"/>
  <c r="H57" i="9" s="1"/>
  <c r="M179" i="7"/>
  <c r="M178" i="7"/>
  <c r="M180" i="7"/>
  <c r="L229" i="8"/>
  <c r="L230" i="8"/>
  <c r="L106" i="9" s="1"/>
  <c r="H148" i="8"/>
  <c r="H34" i="9" s="1"/>
  <c r="H145" i="8"/>
  <c r="H7" i="9"/>
  <c r="H149" i="8"/>
  <c r="H58" i="7"/>
  <c r="H146" i="8"/>
  <c r="H16" i="9" s="1"/>
  <c r="H65" i="7"/>
  <c r="H162" i="8"/>
  <c r="H152" i="8"/>
  <c r="I50" i="7"/>
  <c r="H66" i="7"/>
  <c r="H61" i="7"/>
  <c r="C8" i="2"/>
  <c r="C26" i="1"/>
  <c r="K97" i="9"/>
  <c r="K193" i="7"/>
  <c r="J147" i="8"/>
  <c r="J53" i="7"/>
  <c r="J55" i="7" s="1"/>
  <c r="J52" i="7"/>
  <c r="J54" i="7"/>
  <c r="N109" i="7"/>
  <c r="N108" i="7"/>
  <c r="N107" i="7"/>
  <c r="N57" i="9" s="1"/>
  <c r="J130" i="9"/>
  <c r="I230" i="8"/>
  <c r="I106" i="9" s="1"/>
  <c r="I229" i="8"/>
  <c r="K57" i="9"/>
  <c r="D105" i="1"/>
  <c r="F9" i="9"/>
  <c r="F63" i="7"/>
  <c r="F64" i="7" s="1"/>
  <c r="G95" i="9"/>
  <c r="G189" i="7"/>
  <c r="G190" i="7" s="1"/>
  <c r="X100" i="1"/>
  <c r="U100" i="1"/>
  <c r="V100" i="1"/>
  <c r="N13" i="9"/>
  <c r="N68" i="7"/>
  <c r="N47" i="7"/>
  <c r="M13" i="9"/>
  <c r="M47" i="7"/>
  <c r="M68" i="7"/>
  <c r="E109" i="7"/>
  <c r="E107" i="7"/>
  <c r="E57" i="9" s="1"/>
  <c r="E13" i="9"/>
  <c r="E47" i="7"/>
  <c r="E68" i="7"/>
  <c r="D252" i="8"/>
  <c r="K229" i="8"/>
  <c r="K230" i="8"/>
  <c r="K106" i="9" s="1"/>
  <c r="K124" i="9"/>
  <c r="G144" i="9"/>
  <c r="G147" i="9" s="1"/>
  <c r="K109" i="9"/>
  <c r="K125" i="9"/>
  <c r="K126" i="9" s="1"/>
  <c r="G139" i="9"/>
  <c r="E109" i="1"/>
  <c r="I39" i="9"/>
  <c r="I38" i="9"/>
  <c r="I23" i="9"/>
  <c r="P109" i="8"/>
  <c r="I97" i="9"/>
  <c r="I193" i="7"/>
  <c r="E111" i="9"/>
  <c r="E117" i="9" s="1"/>
  <c r="K108" i="7"/>
  <c r="G147" i="8"/>
  <c r="G52" i="7"/>
  <c r="G54" i="7"/>
  <c r="G55" i="7" s="1"/>
  <c r="G53" i="7"/>
  <c r="G94" i="9"/>
  <c r="G240" i="8"/>
  <c r="G237" i="8"/>
  <c r="G239" i="8" s="1"/>
  <c r="B43" i="12"/>
  <c r="C43" i="12" s="1"/>
  <c r="K14" i="9"/>
  <c r="C105" i="1"/>
  <c r="J7" i="9"/>
  <c r="J145" i="8"/>
  <c r="J152" i="8"/>
  <c r="J149" i="8"/>
  <c r="J148" i="8"/>
  <c r="J34" i="9" s="1"/>
  <c r="J162" i="8"/>
  <c r="J146" i="8"/>
  <c r="J16" i="9" s="1"/>
  <c r="J56" i="7"/>
  <c r="K50" i="7"/>
  <c r="J66" i="7"/>
  <c r="J58" i="7"/>
  <c r="J65" i="7"/>
  <c r="J61" i="7"/>
  <c r="L7" i="9"/>
  <c r="L152" i="8"/>
  <c r="L149" i="8"/>
  <c r="L162" i="8"/>
  <c r="L146" i="8"/>
  <c r="L16" i="9" s="1"/>
  <c r="L145" i="8"/>
  <c r="L148" i="8"/>
  <c r="L34" i="9" s="1"/>
  <c r="M50" i="7"/>
  <c r="L66" i="7"/>
  <c r="L58" i="7"/>
  <c r="L65" i="7"/>
  <c r="L56" i="7"/>
  <c r="L61" i="7"/>
  <c r="E9" i="9"/>
  <c r="E63" i="7"/>
  <c r="E64" i="7" s="1"/>
  <c r="L147" i="8"/>
  <c r="L53" i="7"/>
  <c r="L52" i="7"/>
  <c r="L54" i="7"/>
  <c r="M97" i="9"/>
  <c r="M193" i="7"/>
  <c r="B63" i="12"/>
  <c r="C63" i="12" s="1"/>
  <c r="K50" i="9"/>
  <c r="K311" i="8"/>
  <c r="D248" i="8"/>
  <c r="K316" i="8"/>
  <c r="K308" i="8"/>
  <c r="K267" i="8"/>
  <c r="D247" i="8"/>
  <c r="K313" i="8"/>
  <c r="D246" i="8"/>
  <c r="K310" i="8"/>
  <c r="K304" i="8"/>
  <c r="K302" i="8"/>
  <c r="K300" i="8"/>
  <c r="K315" i="8"/>
  <c r="K312" i="8"/>
  <c r="K186" i="8"/>
  <c r="K268" i="8"/>
  <c r="D258" i="8"/>
  <c r="K183" i="8"/>
  <c r="K299" i="8"/>
  <c r="K301" i="8"/>
  <c r="K185" i="8"/>
  <c r="K309" i="8"/>
  <c r="K303" i="8"/>
  <c r="K190" i="8"/>
  <c r="K305" i="8"/>
  <c r="K298" i="8"/>
  <c r="K200" i="8"/>
  <c r="K184" i="8"/>
  <c r="K314" i="8"/>
  <c r="D249" i="8"/>
  <c r="K128" i="7"/>
  <c r="K187" i="8"/>
  <c r="K128" i="2" s="1"/>
  <c r="K129" i="7"/>
  <c r="K121" i="7"/>
  <c r="L113" i="7"/>
  <c r="K124" i="7"/>
  <c r="K9" i="9"/>
  <c r="K63" i="7"/>
  <c r="K64" i="7" s="1"/>
  <c r="H97" i="9"/>
  <c r="H193" i="7"/>
  <c r="F13" i="9"/>
  <c r="F47" i="7"/>
  <c r="F68" i="7"/>
  <c r="N113" i="9"/>
  <c r="N110" i="9"/>
  <c r="N112" i="9"/>
  <c r="N114" i="9"/>
  <c r="N115" i="9" s="1"/>
  <c r="L97" i="9"/>
  <c r="L193" i="7"/>
  <c r="L124" i="9"/>
  <c r="L109" i="9"/>
  <c r="L125" i="9"/>
  <c r="L126" i="9" s="1"/>
  <c r="D87" i="9"/>
  <c r="D37" i="2"/>
  <c r="K94" i="9"/>
  <c r="K240" i="8"/>
  <c r="K237" i="8"/>
  <c r="K239" i="8" s="1"/>
  <c r="I11" i="9"/>
  <c r="I67" i="7"/>
  <c r="D105" i="9"/>
  <c r="D128" i="9"/>
  <c r="I237" i="8"/>
  <c r="I239" i="8" s="1"/>
  <c r="I94" i="9"/>
  <c r="I240" i="8"/>
  <c r="N130" i="9"/>
  <c r="K56" i="9"/>
  <c r="K110" i="7"/>
  <c r="K131" i="7"/>
  <c r="N96" i="9"/>
  <c r="N226" i="8"/>
  <c r="N236" i="8" s="1"/>
  <c r="N127" i="9" s="1"/>
  <c r="N227" i="8"/>
  <c r="F147" i="8"/>
  <c r="F52" i="7"/>
  <c r="F54" i="7"/>
  <c r="F53" i="7"/>
  <c r="K11" i="9"/>
  <c r="K67" i="7"/>
  <c r="I178" i="7"/>
  <c r="I181" i="7" s="1"/>
  <c r="I180" i="7"/>
  <c r="I179" i="7"/>
  <c r="N179" i="7"/>
  <c r="N180" i="7"/>
  <c r="N178" i="7"/>
  <c r="N182" i="7"/>
  <c r="E112" i="7"/>
  <c r="K95" i="9"/>
  <c r="K189" i="7"/>
  <c r="K190" i="7" s="1"/>
  <c r="F11" i="9"/>
  <c r="F67" i="7"/>
  <c r="D95" i="2"/>
  <c r="D43" i="2"/>
  <c r="G97" i="9"/>
  <c r="G193" i="7"/>
  <c r="K13" i="9"/>
  <c r="K47" i="7"/>
  <c r="K68" i="7"/>
  <c r="E139" i="9"/>
  <c r="E144" i="9"/>
  <c r="E147" i="9" s="1"/>
  <c r="K39" i="9"/>
  <c r="K38" i="9"/>
  <c r="K23" i="9"/>
  <c r="C109" i="1"/>
  <c r="M229" i="8"/>
  <c r="M230" i="8"/>
  <c r="M106" i="9" s="1"/>
  <c r="L50" i="9"/>
  <c r="L316" i="8"/>
  <c r="L308" i="8"/>
  <c r="L267" i="8"/>
  <c r="L313" i="8"/>
  <c r="L310" i="8"/>
  <c r="L304" i="8"/>
  <c r="L302" i="8"/>
  <c r="L300" i="8"/>
  <c r="L298" i="8"/>
  <c r="L315" i="8"/>
  <c r="L312" i="8"/>
  <c r="L309" i="8"/>
  <c r="L268" i="8"/>
  <c r="L183" i="8"/>
  <c r="L299" i="8"/>
  <c r="L301" i="8"/>
  <c r="L185" i="8"/>
  <c r="L303" i="8"/>
  <c r="L190" i="8"/>
  <c r="L305" i="8"/>
  <c r="L187" i="8"/>
  <c r="L128" i="2" s="1"/>
  <c r="L314" i="8"/>
  <c r="L311" i="8"/>
  <c r="L119" i="7"/>
  <c r="L184" i="8"/>
  <c r="L200" i="8"/>
  <c r="M113" i="7"/>
  <c r="L186" i="8"/>
  <c r="L128" i="7"/>
  <c r="L129" i="7"/>
  <c r="L121" i="7"/>
  <c r="L124" i="7"/>
  <c r="F113" i="9"/>
  <c r="F110" i="9"/>
  <c r="F112" i="9"/>
  <c r="F116" i="9"/>
  <c r="F114" i="9"/>
  <c r="F115" i="9" s="1"/>
  <c r="M124" i="9"/>
  <c r="M125" i="9"/>
  <c r="M126" i="9" s="1"/>
  <c r="M109" i="9"/>
  <c r="L95" i="9"/>
  <c r="L189" i="7"/>
  <c r="L190" i="7" s="1"/>
  <c r="L65" i="9"/>
  <c r="C15" i="2"/>
  <c r="K85" i="2"/>
  <c r="L180" i="7"/>
  <c r="L179" i="7"/>
  <c r="L178" i="7"/>
  <c r="E105" i="9"/>
  <c r="E128" i="9"/>
  <c r="I9" i="9"/>
  <c r="I63" i="7"/>
  <c r="I64" i="7" s="1"/>
  <c r="D201" i="8"/>
  <c r="D42" i="2"/>
  <c r="D120" i="2"/>
  <c r="I125" i="9"/>
  <c r="I109" i="9"/>
  <c r="J116" i="9" s="1"/>
  <c r="I124" i="9"/>
  <c r="F8" i="9"/>
  <c r="F164" i="8"/>
  <c r="F161" i="8"/>
  <c r="F163" i="8" s="1"/>
  <c r="D188" i="8"/>
  <c r="D53" i="9"/>
  <c r="D36" i="2" s="1"/>
  <c r="D189" i="8"/>
  <c r="J13" i="9"/>
  <c r="J47" i="7"/>
  <c r="J68" i="7"/>
  <c r="L13" i="9"/>
  <c r="L47" i="7"/>
  <c r="L68" i="7"/>
  <c r="E11" i="9"/>
  <c r="E67" i="7"/>
  <c r="G162" i="8"/>
  <c r="G146" i="8"/>
  <c r="G16" i="9" s="1"/>
  <c r="G148" i="8"/>
  <c r="G34" i="9" s="1"/>
  <c r="G145" i="8"/>
  <c r="G7" i="9"/>
  <c r="G152" i="8"/>
  <c r="G58" i="7"/>
  <c r="G65" i="7"/>
  <c r="G56" i="7"/>
  <c r="H50" i="7"/>
  <c r="G149" i="8"/>
  <c r="G66" i="7"/>
  <c r="G61" i="7"/>
  <c r="N50" i="9"/>
  <c r="N310" i="8"/>
  <c r="N304" i="8"/>
  <c r="N302" i="8"/>
  <c r="N300" i="8"/>
  <c r="N298" i="8"/>
  <c r="N315" i="8"/>
  <c r="N312" i="8"/>
  <c r="N309" i="8"/>
  <c r="N314" i="8"/>
  <c r="N305" i="8"/>
  <c r="N303" i="8"/>
  <c r="N301" i="8"/>
  <c r="N299" i="8"/>
  <c r="N311" i="8"/>
  <c r="N316" i="8"/>
  <c r="N268" i="8"/>
  <c r="N185" i="8"/>
  <c r="N313" i="8"/>
  <c r="N190" i="8"/>
  <c r="N187" i="8"/>
  <c r="N128" i="2" s="1"/>
  <c r="N200" i="8"/>
  <c r="N184" i="8"/>
  <c r="N267" i="8"/>
  <c r="N308" i="8"/>
  <c r="N183" i="8"/>
  <c r="N186" i="8"/>
  <c r="N128" i="7"/>
  <c r="N129" i="7"/>
  <c r="N121" i="7"/>
  <c r="N124" i="7"/>
  <c r="J178" i="7"/>
  <c r="J180" i="7"/>
  <c r="J179" i="7"/>
  <c r="J182" i="7"/>
  <c r="H95" i="9"/>
  <c r="H189" i="7"/>
  <c r="H190" i="7" s="1"/>
  <c r="M94" i="9"/>
  <c r="M237" i="8"/>
  <c r="M239" i="8" s="1"/>
  <c r="M240" i="8"/>
  <c r="K8" i="9"/>
  <c r="K164" i="8"/>
  <c r="K161" i="8"/>
  <c r="K163" i="8" s="1"/>
  <c r="M182" i="7"/>
  <c r="L94" i="9"/>
  <c r="L240" i="8"/>
  <c r="L237" i="8"/>
  <c r="L239" i="8" s="1"/>
  <c r="I56" i="9"/>
  <c r="I131" i="7"/>
  <c r="I110" i="7"/>
  <c r="F152" i="9"/>
  <c r="D107" i="1" s="1"/>
  <c r="D106" i="1"/>
  <c r="D77" i="2"/>
  <c r="I8" i="9"/>
  <c r="I164" i="8"/>
  <c r="I161" i="8"/>
  <c r="I163" i="8" s="1"/>
  <c r="G107" i="7"/>
  <c r="G57" i="9" s="1"/>
  <c r="J114" i="9"/>
  <c r="J115" i="9" s="1"/>
  <c r="J113" i="9"/>
  <c r="J112" i="9"/>
  <c r="J110" i="9"/>
  <c r="D19" i="9"/>
  <c r="D42" i="9"/>
  <c r="G112" i="7"/>
  <c r="F38" i="9"/>
  <c r="F23" i="9"/>
  <c r="F39" i="9"/>
  <c r="G229" i="8"/>
  <c r="G230" i="8"/>
  <c r="G106" i="9" s="1"/>
  <c r="I13" i="9"/>
  <c r="I47" i="7"/>
  <c r="I68" i="7"/>
  <c r="N7" i="9"/>
  <c r="N149" i="8"/>
  <c r="N162" i="8"/>
  <c r="N146" i="8"/>
  <c r="N16" i="9" s="1"/>
  <c r="N148" i="8"/>
  <c r="N34" i="9" s="1"/>
  <c r="N145" i="8"/>
  <c r="N152" i="8"/>
  <c r="N66" i="7"/>
  <c r="N58" i="7"/>
  <c r="N65" i="7"/>
  <c r="N61" i="7"/>
  <c r="M7" i="9"/>
  <c r="M152" i="8"/>
  <c r="M149" i="8"/>
  <c r="M162" i="8"/>
  <c r="M146" i="8"/>
  <c r="M16" i="9" s="1"/>
  <c r="M148" i="8"/>
  <c r="M34" i="9" s="1"/>
  <c r="M145" i="8"/>
  <c r="M66" i="7"/>
  <c r="M58" i="7"/>
  <c r="M65" i="7"/>
  <c r="M56" i="7"/>
  <c r="N50" i="7"/>
  <c r="N56" i="7" s="1"/>
  <c r="M61" i="7"/>
  <c r="E8" i="9"/>
  <c r="E164" i="8"/>
  <c r="E161" i="8"/>
  <c r="E163" i="8" s="1"/>
  <c r="E154" i="8"/>
  <c r="E20" i="9" s="1"/>
  <c r="E153" i="8"/>
  <c r="H125" i="9"/>
  <c r="H126" i="9" s="1"/>
  <c r="H109" i="9"/>
  <c r="H124" i="9"/>
  <c r="G56" i="9"/>
  <c r="G110" i="7"/>
  <c r="G131" i="7"/>
  <c r="F154" i="8"/>
  <c r="F20" i="9" s="1"/>
  <c r="F153" i="8"/>
  <c r="B61" i="12"/>
  <c r="C61" i="12" s="1"/>
  <c r="K154" i="8"/>
  <c r="K20" i="9" s="1"/>
  <c r="K153" i="8"/>
  <c r="H94" i="9"/>
  <c r="H240" i="8"/>
  <c r="H237" i="8"/>
  <c r="H239" i="8" s="1"/>
  <c r="H230" i="8"/>
  <c r="H106" i="9" s="1"/>
  <c r="H229" i="8"/>
  <c r="M95" i="9"/>
  <c r="M189" i="7"/>
  <c r="M190" i="7" s="1"/>
  <c r="L56" i="9"/>
  <c r="L131" i="7"/>
  <c r="L110" i="7"/>
  <c r="J96" i="9"/>
  <c r="J227" i="8"/>
  <c r="J226" i="8"/>
  <c r="J236" i="8" s="1"/>
  <c r="J127" i="9" s="1"/>
  <c r="I107" i="7"/>
  <c r="I57" i="9" s="1"/>
  <c r="I112" i="7"/>
  <c r="I153" i="8"/>
  <c r="I154" i="8"/>
  <c r="I20" i="9" s="1"/>
  <c r="G108" i="7"/>
  <c r="J126" i="9"/>
  <c r="I95" i="9"/>
  <c r="I189" i="7"/>
  <c r="I190" i="7" s="1"/>
  <c r="F130" i="9"/>
  <c r="F96" i="9"/>
  <c r="F226" i="8"/>
  <c r="F236" i="8" s="1"/>
  <c r="F127" i="9" s="1"/>
  <c r="F227" i="8"/>
  <c r="H178" i="7"/>
  <c r="H180" i="7"/>
  <c r="H179" i="7"/>
  <c r="G125" i="9"/>
  <c r="G126" i="9" s="1"/>
  <c r="G109" i="9"/>
  <c r="G124" i="9"/>
  <c r="E38" i="9"/>
  <c r="E23" i="9"/>
  <c r="E39" i="9"/>
  <c r="E40" i="9" s="1"/>
  <c r="F55" i="7" l="1"/>
  <c r="L55" i="7"/>
  <c r="D120" i="8"/>
  <c r="J116" i="8"/>
  <c r="L181" i="7"/>
  <c r="N126" i="9"/>
  <c r="P112" i="8"/>
  <c r="P115" i="8"/>
  <c r="J181" i="7"/>
  <c r="P114" i="8"/>
  <c r="N181" i="7"/>
  <c r="M107" i="8"/>
  <c r="D119" i="8"/>
  <c r="P107" i="8"/>
  <c r="H116" i="8"/>
  <c r="P113" i="8"/>
  <c r="D121" i="8"/>
  <c r="L116" i="8"/>
  <c r="P110" i="8"/>
  <c r="L59" i="9"/>
  <c r="L79" i="2" s="1"/>
  <c r="L126" i="2"/>
  <c r="K51" i="9"/>
  <c r="K202" i="8"/>
  <c r="K133" i="2" s="1"/>
  <c r="K199" i="8"/>
  <c r="H8" i="9"/>
  <c r="H164" i="8"/>
  <c r="H161" i="8"/>
  <c r="H163" i="8" s="1"/>
  <c r="H181" i="7"/>
  <c r="L77" i="2"/>
  <c r="J111" i="9"/>
  <c r="J117" i="9" s="1"/>
  <c r="N59" i="9"/>
  <c r="N79" i="2" s="1"/>
  <c r="N126" i="2"/>
  <c r="H147" i="8"/>
  <c r="H54" i="7"/>
  <c r="H53" i="7"/>
  <c r="H52" i="7"/>
  <c r="F111" i="9"/>
  <c r="F117" i="9" s="1"/>
  <c r="L51" i="9"/>
  <c r="L34" i="2" s="1"/>
  <c r="L199" i="8"/>
  <c r="L202" i="8"/>
  <c r="L133" i="2" s="1"/>
  <c r="L81" i="9"/>
  <c r="L82" i="9"/>
  <c r="L66" i="9"/>
  <c r="L33" i="2"/>
  <c r="K306" i="8"/>
  <c r="K269" i="8"/>
  <c r="K274" i="8" s="1"/>
  <c r="D103" i="8"/>
  <c r="K115" i="2"/>
  <c r="L11" i="9"/>
  <c r="L67" i="7"/>
  <c r="F151" i="8"/>
  <c r="F10" i="9"/>
  <c r="F150" i="8"/>
  <c r="F160" i="8" s="1"/>
  <c r="F41" i="9" s="1"/>
  <c r="H50" i="9"/>
  <c r="H312" i="8"/>
  <c r="H309" i="8"/>
  <c r="H268" i="8"/>
  <c r="H314" i="8"/>
  <c r="H305" i="8"/>
  <c r="H303" i="8"/>
  <c r="H301" i="8"/>
  <c r="H299" i="8"/>
  <c r="H311" i="8"/>
  <c r="H316" i="8"/>
  <c r="H308" i="8"/>
  <c r="H267" i="8"/>
  <c r="H313" i="8"/>
  <c r="H304" i="8"/>
  <c r="H187" i="8"/>
  <c r="H128" i="2" s="1"/>
  <c r="H200" i="8"/>
  <c r="H184" i="8"/>
  <c r="H310" i="8"/>
  <c r="H186" i="8"/>
  <c r="H183" i="8"/>
  <c r="H315" i="8"/>
  <c r="H300" i="8"/>
  <c r="H185" i="8"/>
  <c r="H302" i="8"/>
  <c r="H298" i="8"/>
  <c r="H129" i="7"/>
  <c r="H190" i="8"/>
  <c r="H121" i="7"/>
  <c r="I113" i="7"/>
  <c r="H128" i="7"/>
  <c r="H124" i="7"/>
  <c r="I50" i="9"/>
  <c r="I309" i="8"/>
  <c r="I268" i="8"/>
  <c r="I314" i="8"/>
  <c r="I305" i="8"/>
  <c r="I303" i="8"/>
  <c r="I301" i="8"/>
  <c r="I299" i="8"/>
  <c r="I311" i="8"/>
  <c r="I316" i="8"/>
  <c r="I308" i="8"/>
  <c r="I313" i="8"/>
  <c r="I310" i="8"/>
  <c r="I304" i="8"/>
  <c r="I302" i="8"/>
  <c r="I300" i="8"/>
  <c r="I298" i="8"/>
  <c r="I200" i="8"/>
  <c r="I184" i="8"/>
  <c r="I186" i="8"/>
  <c r="I183" i="8"/>
  <c r="I315" i="8"/>
  <c r="I312" i="8"/>
  <c r="I267" i="8"/>
  <c r="I190" i="8"/>
  <c r="I185" i="8"/>
  <c r="I121" i="7"/>
  <c r="J113" i="7"/>
  <c r="I129" i="7"/>
  <c r="I187" i="8"/>
  <c r="I128" i="2" s="1"/>
  <c r="I128" i="7"/>
  <c r="I124" i="7"/>
  <c r="N9" i="9"/>
  <c r="N63" i="7"/>
  <c r="N64" i="7" s="1"/>
  <c r="I96" i="9"/>
  <c r="I227" i="8"/>
  <c r="I226" i="8"/>
  <c r="I236" i="8" s="1"/>
  <c r="I127" i="9" s="1"/>
  <c r="N51" i="9"/>
  <c r="N199" i="8"/>
  <c r="N202" i="8"/>
  <c r="N133" i="2" s="1"/>
  <c r="I10" i="9"/>
  <c r="I150" i="8"/>
  <c r="I151" i="8"/>
  <c r="G130" i="9"/>
  <c r="K44" i="9"/>
  <c r="B41" i="12"/>
  <c r="C41" i="12" s="1"/>
  <c r="C24" i="1"/>
  <c r="C6" i="2"/>
  <c r="D139" i="2"/>
  <c r="K77" i="2"/>
  <c r="W101" i="1"/>
  <c r="D259" i="8"/>
  <c r="L8" i="9"/>
  <c r="L161" i="8"/>
  <c r="L163" i="8" s="1"/>
  <c r="L164" i="8"/>
  <c r="K147" i="8"/>
  <c r="K53" i="7"/>
  <c r="K52" i="7"/>
  <c r="K54" i="7"/>
  <c r="K56" i="7"/>
  <c r="J39" i="9"/>
  <c r="J40" i="9" s="1"/>
  <c r="J38" i="9"/>
  <c r="J23" i="9"/>
  <c r="I130" i="9"/>
  <c r="I147" i="8"/>
  <c r="I54" i="7"/>
  <c r="I53" i="7"/>
  <c r="I52" i="7"/>
  <c r="I55" i="7"/>
  <c r="I56" i="7"/>
  <c r="H39" i="9"/>
  <c r="H38" i="9"/>
  <c r="H23" i="9"/>
  <c r="I30" i="9" s="1"/>
  <c r="M181" i="7"/>
  <c r="F50" i="9"/>
  <c r="F310" i="8"/>
  <c r="F304" i="8"/>
  <c r="F302" i="8"/>
  <c r="F300" i="8"/>
  <c r="F298" i="8"/>
  <c r="F315" i="8"/>
  <c r="F312" i="8"/>
  <c r="F309" i="8"/>
  <c r="F314" i="8"/>
  <c r="F305" i="8"/>
  <c r="F303" i="8"/>
  <c r="F301" i="8"/>
  <c r="F299" i="8"/>
  <c r="F311" i="8"/>
  <c r="F308" i="8"/>
  <c r="F185" i="8"/>
  <c r="F190" i="8"/>
  <c r="F316" i="8"/>
  <c r="F187" i="8"/>
  <c r="F128" i="2" s="1"/>
  <c r="F313" i="8"/>
  <c r="F268" i="8"/>
  <c r="F200" i="8"/>
  <c r="F184" i="8"/>
  <c r="F183" i="8"/>
  <c r="F186" i="8"/>
  <c r="F267" i="8"/>
  <c r="F128" i="7"/>
  <c r="F129" i="7"/>
  <c r="F121" i="7"/>
  <c r="G113" i="7"/>
  <c r="F124" i="7"/>
  <c r="M116" i="9"/>
  <c r="M113" i="9"/>
  <c r="M110" i="9"/>
  <c r="M112" i="9"/>
  <c r="M114" i="9"/>
  <c r="M115" i="9" s="1"/>
  <c r="J153" i="8"/>
  <c r="J154" i="8"/>
  <c r="J20" i="9" s="1"/>
  <c r="M96" i="9"/>
  <c r="M226" i="8"/>
  <c r="M236" i="8" s="1"/>
  <c r="M127" i="9" s="1"/>
  <c r="M227" i="8"/>
  <c r="H112" i="9"/>
  <c r="H114" i="9"/>
  <c r="H115" i="9" s="1"/>
  <c r="H113" i="9"/>
  <c r="H116" i="9"/>
  <c r="H110" i="9"/>
  <c r="M9" i="9"/>
  <c r="M63" i="7"/>
  <c r="M64" i="7" s="1"/>
  <c r="N11" i="9"/>
  <c r="N67" i="7"/>
  <c r="G11" i="9"/>
  <c r="G67" i="7"/>
  <c r="L54" i="9"/>
  <c r="L130" i="7"/>
  <c r="L269" i="8"/>
  <c r="L274" i="8" s="1"/>
  <c r="L306" i="8"/>
  <c r="L115" i="2"/>
  <c r="K96" i="9"/>
  <c r="K227" i="8"/>
  <c r="K226" i="8"/>
  <c r="K236" i="8" s="1"/>
  <c r="K127" i="9" s="1"/>
  <c r="L130" i="9"/>
  <c r="K191" i="8"/>
  <c r="K192" i="8"/>
  <c r="B30" i="12"/>
  <c r="C30" i="12" s="1"/>
  <c r="F144" i="9"/>
  <c r="F147" i="9" s="1"/>
  <c r="K81" i="9"/>
  <c r="F139" i="9"/>
  <c r="K66" i="9"/>
  <c r="K82" i="9"/>
  <c r="D148" i="2"/>
  <c r="D147" i="2"/>
  <c r="K33" i="2"/>
  <c r="C95" i="1"/>
  <c r="E95" i="1" s="1"/>
  <c r="D109" i="1"/>
  <c r="F14" i="1"/>
  <c r="E82" i="1"/>
  <c r="L154" i="8"/>
  <c r="L20" i="9" s="1"/>
  <c r="L153" i="8"/>
  <c r="G141" i="9"/>
  <c r="G140" i="9"/>
  <c r="E56" i="9"/>
  <c r="E131" i="7"/>
  <c r="E110" i="7"/>
  <c r="N56" i="9"/>
  <c r="N110" i="7"/>
  <c r="N131" i="7"/>
  <c r="K130" i="9"/>
  <c r="H153" i="8"/>
  <c r="H154" i="8"/>
  <c r="H20" i="9" s="1"/>
  <c r="H56" i="9"/>
  <c r="H110" i="7"/>
  <c r="H131" i="7"/>
  <c r="F56" i="9"/>
  <c r="F131" i="7"/>
  <c r="F110" i="7"/>
  <c r="M39" i="9"/>
  <c r="M23" i="9"/>
  <c r="M38" i="9"/>
  <c r="L270" i="8"/>
  <c r="L116" i="2"/>
  <c r="N8" i="9"/>
  <c r="N164" i="8"/>
  <c r="N161" i="8"/>
  <c r="N163" i="8" s="1"/>
  <c r="B40" i="12"/>
  <c r="C40" i="12" s="1"/>
  <c r="N54" i="9"/>
  <c r="N130" i="7"/>
  <c r="N192" i="8"/>
  <c r="N191" i="8"/>
  <c r="G8" i="9"/>
  <c r="G164" i="8"/>
  <c r="G161" i="8"/>
  <c r="G163" i="8" s="1"/>
  <c r="E44" i="9"/>
  <c r="D62" i="9"/>
  <c r="D82" i="2" s="1"/>
  <c r="D129" i="2"/>
  <c r="D85" i="9"/>
  <c r="I112" i="9"/>
  <c r="I114" i="9"/>
  <c r="I115" i="9" s="1"/>
  <c r="I116" i="9"/>
  <c r="I110" i="9"/>
  <c r="I113" i="9"/>
  <c r="L77" i="9"/>
  <c r="L92" i="2" s="1"/>
  <c r="L127" i="2"/>
  <c r="C104" i="1"/>
  <c r="E149" i="9"/>
  <c r="E150" i="9" s="1"/>
  <c r="I44" i="9"/>
  <c r="B62" i="12"/>
  <c r="C62" i="12" s="1"/>
  <c r="K54" i="9"/>
  <c r="K130" i="7"/>
  <c r="B14" i="12"/>
  <c r="C14" i="12" s="1"/>
  <c r="K77" i="9"/>
  <c r="K127" i="2"/>
  <c r="L38" i="9"/>
  <c r="L39" i="9"/>
  <c r="L40" i="9" s="1"/>
  <c r="L23" i="9"/>
  <c r="X101" i="1"/>
  <c r="H56" i="7"/>
  <c r="F28" i="9"/>
  <c r="F29" i="9" s="1"/>
  <c r="F30" i="9"/>
  <c r="F27" i="9"/>
  <c r="F24" i="9"/>
  <c r="F26" i="9"/>
  <c r="I77" i="2"/>
  <c r="L52" i="9"/>
  <c r="L35" i="2" s="1"/>
  <c r="L126" i="7"/>
  <c r="L127" i="7" s="1"/>
  <c r="K24" i="9"/>
  <c r="K26" i="9"/>
  <c r="K28" i="9"/>
  <c r="K29" i="9" s="1"/>
  <c r="K27" i="9"/>
  <c r="K30" i="9"/>
  <c r="M130" i="9"/>
  <c r="G110" i="9"/>
  <c r="G112" i="9"/>
  <c r="G114" i="9"/>
  <c r="G115" i="9" s="1"/>
  <c r="G113" i="9"/>
  <c r="G116" i="9"/>
  <c r="J105" i="9"/>
  <c r="J128" i="9"/>
  <c r="N147" i="8"/>
  <c r="N52" i="7"/>
  <c r="N54" i="7"/>
  <c r="N53" i="7"/>
  <c r="N55" i="7"/>
  <c r="N23" i="9"/>
  <c r="N38" i="9"/>
  <c r="N39" i="9"/>
  <c r="N77" i="9"/>
  <c r="N92" i="2" s="1"/>
  <c r="N127" i="2"/>
  <c r="G9" i="9"/>
  <c r="G63" i="7"/>
  <c r="G64" i="7" s="1"/>
  <c r="G154" i="8"/>
  <c r="G20" i="9" s="1"/>
  <c r="G153" i="8"/>
  <c r="I126" i="9"/>
  <c r="M65" i="9"/>
  <c r="L85" i="2"/>
  <c r="M116" i="7"/>
  <c r="M115" i="7"/>
  <c r="M117" i="7"/>
  <c r="E141" i="9"/>
  <c r="E140" i="9"/>
  <c r="E313" i="8"/>
  <c r="E310" i="8"/>
  <c r="E304" i="8"/>
  <c r="E302" i="8"/>
  <c r="E300" i="8"/>
  <c r="E298" i="8"/>
  <c r="E50" i="9"/>
  <c r="E315" i="8"/>
  <c r="E312" i="8"/>
  <c r="E309" i="8"/>
  <c r="E268" i="8"/>
  <c r="E314" i="8"/>
  <c r="E305" i="8"/>
  <c r="E303" i="8"/>
  <c r="E301" i="8"/>
  <c r="E299" i="8"/>
  <c r="E311" i="8"/>
  <c r="E267" i="8"/>
  <c r="E308" i="8"/>
  <c r="E185" i="8"/>
  <c r="E190" i="8"/>
  <c r="E316" i="8"/>
  <c r="E187" i="8"/>
  <c r="E128" i="2" s="1"/>
  <c r="E200" i="8"/>
  <c r="E184" i="8"/>
  <c r="E186" i="8"/>
  <c r="E183" i="8"/>
  <c r="F113" i="7"/>
  <c r="F119" i="7" s="1"/>
  <c r="E121" i="7"/>
  <c r="E128" i="7"/>
  <c r="E129" i="7"/>
  <c r="E119" i="7"/>
  <c r="E118" i="7"/>
  <c r="E124" i="7"/>
  <c r="B72" i="12"/>
  <c r="C72" i="12" s="1"/>
  <c r="B49" i="12"/>
  <c r="C49" i="12" s="1"/>
  <c r="N105" i="9"/>
  <c r="N128" i="9"/>
  <c r="N116" i="9"/>
  <c r="K52" i="9"/>
  <c r="K126" i="7"/>
  <c r="K127" i="7" s="1"/>
  <c r="D255" i="8"/>
  <c r="D133" i="1" s="1"/>
  <c r="C30" i="1"/>
  <c r="W105" i="1"/>
  <c r="C10" i="2"/>
  <c r="W104" i="1"/>
  <c r="C29" i="1"/>
  <c r="C9" i="2"/>
  <c r="E10" i="9"/>
  <c r="E151" i="8"/>
  <c r="E150" i="8"/>
  <c r="E160" i="8" s="1"/>
  <c r="E41" i="9" s="1"/>
  <c r="M147" i="8"/>
  <c r="M52" i="7"/>
  <c r="M54" i="7"/>
  <c r="M53" i="7"/>
  <c r="J9" i="9"/>
  <c r="J63" i="7"/>
  <c r="J64" i="7" s="1"/>
  <c r="K114" i="9"/>
  <c r="K115" i="9" s="1"/>
  <c r="K116" i="9"/>
  <c r="K113" i="9"/>
  <c r="K110" i="9"/>
  <c r="K112" i="9"/>
  <c r="J314" i="8"/>
  <c r="J305" i="8"/>
  <c r="J303" i="8"/>
  <c r="J301" i="8"/>
  <c r="J299" i="8"/>
  <c r="J50" i="9"/>
  <c r="J311" i="8"/>
  <c r="J316" i="8"/>
  <c r="J308" i="8"/>
  <c r="J267" i="8"/>
  <c r="J313" i="8"/>
  <c r="J310" i="8"/>
  <c r="J304" i="8"/>
  <c r="J302" i="8"/>
  <c r="J300" i="8"/>
  <c r="J298" i="8"/>
  <c r="J315" i="8"/>
  <c r="J186" i="8"/>
  <c r="J268" i="8"/>
  <c r="J183" i="8"/>
  <c r="J312" i="8"/>
  <c r="J185" i="8"/>
  <c r="J309" i="8"/>
  <c r="J187" i="8"/>
  <c r="J128" i="2" s="1"/>
  <c r="J128" i="7"/>
  <c r="J190" i="8"/>
  <c r="J121" i="7"/>
  <c r="K113" i="7"/>
  <c r="J184" i="8"/>
  <c r="J200" i="8"/>
  <c r="J129" i="7"/>
  <c r="J124" i="7"/>
  <c r="G77" i="2"/>
  <c r="F105" i="9"/>
  <c r="F128" i="9"/>
  <c r="E26" i="9"/>
  <c r="E28" i="9"/>
  <c r="E29" i="9" s="1"/>
  <c r="E30" i="9"/>
  <c r="E27" i="9"/>
  <c r="E24" i="9"/>
  <c r="M11" i="9"/>
  <c r="M67" i="7"/>
  <c r="F40" i="9"/>
  <c r="G50" i="9"/>
  <c r="G315" i="8"/>
  <c r="G312" i="8"/>
  <c r="G309" i="8"/>
  <c r="G268" i="8"/>
  <c r="G314" i="8"/>
  <c r="G305" i="8"/>
  <c r="G303" i="8"/>
  <c r="G301" i="8"/>
  <c r="G311" i="8"/>
  <c r="G316" i="8"/>
  <c r="G308" i="8"/>
  <c r="G267" i="8"/>
  <c r="G302" i="8"/>
  <c r="G298" i="8"/>
  <c r="G190" i="8"/>
  <c r="G304" i="8"/>
  <c r="G187" i="8"/>
  <c r="G128" i="2" s="1"/>
  <c r="G313" i="8"/>
  <c r="G200" i="8"/>
  <c r="G184" i="8"/>
  <c r="G310" i="8"/>
  <c r="G299" i="8"/>
  <c r="G186" i="8"/>
  <c r="G300" i="8"/>
  <c r="G183" i="8"/>
  <c r="G129" i="7"/>
  <c r="G185" i="8"/>
  <c r="G128" i="7"/>
  <c r="G121" i="7"/>
  <c r="H113" i="7"/>
  <c r="G124" i="7"/>
  <c r="N269" i="8"/>
  <c r="N274" i="8" s="1"/>
  <c r="N306" i="8"/>
  <c r="N115" i="2"/>
  <c r="N270" i="8"/>
  <c r="N116" i="2"/>
  <c r="G39" i="9"/>
  <c r="G40" i="9" s="1"/>
  <c r="G38" i="9"/>
  <c r="G23" i="9"/>
  <c r="D271" i="8"/>
  <c r="D117" i="2"/>
  <c r="D198" i="8"/>
  <c r="L226" i="8"/>
  <c r="L236" i="8" s="1"/>
  <c r="L127" i="9" s="1"/>
  <c r="L96" i="9"/>
  <c r="L227" i="8"/>
  <c r="L191" i="8"/>
  <c r="L192" i="8"/>
  <c r="F44" i="9"/>
  <c r="L116" i="9"/>
  <c r="L113" i="9"/>
  <c r="L110" i="9"/>
  <c r="L112" i="9"/>
  <c r="L114" i="9"/>
  <c r="L115" i="9" s="1"/>
  <c r="H130" i="9"/>
  <c r="L115" i="7"/>
  <c r="L117" i="7"/>
  <c r="L116" i="7"/>
  <c r="K270" i="8"/>
  <c r="K116" i="2"/>
  <c r="J11" i="9"/>
  <c r="J67" i="7"/>
  <c r="I27" i="9"/>
  <c r="I24" i="9"/>
  <c r="I26" i="9"/>
  <c r="I28" i="9"/>
  <c r="I29" i="9" s="1"/>
  <c r="G96" i="9"/>
  <c r="G227" i="8"/>
  <c r="G226" i="8"/>
  <c r="G236" i="8" s="1"/>
  <c r="G127" i="9" s="1"/>
  <c r="H11" i="9"/>
  <c r="H67" i="7"/>
  <c r="M313" i="8"/>
  <c r="M310" i="8"/>
  <c r="M304" i="8"/>
  <c r="M302" i="8"/>
  <c r="M300" i="8"/>
  <c r="M298" i="8"/>
  <c r="M315" i="8"/>
  <c r="M312" i="8"/>
  <c r="M309" i="8"/>
  <c r="M268" i="8"/>
  <c r="M314" i="8"/>
  <c r="M305" i="8"/>
  <c r="M303" i="8"/>
  <c r="M301" i="8"/>
  <c r="M299" i="8"/>
  <c r="M50" i="9"/>
  <c r="M316" i="8"/>
  <c r="M185" i="8"/>
  <c r="M190" i="8"/>
  <c r="M187" i="8"/>
  <c r="M128" i="2" s="1"/>
  <c r="M200" i="8"/>
  <c r="M184" i="8"/>
  <c r="M311" i="8"/>
  <c r="M186" i="8"/>
  <c r="M308" i="8"/>
  <c r="N113" i="7"/>
  <c r="M267" i="8"/>
  <c r="M121" i="7"/>
  <c r="M128" i="7"/>
  <c r="M129" i="7"/>
  <c r="M183" i="8"/>
  <c r="M119" i="7"/>
  <c r="M124" i="7"/>
  <c r="M8" i="9"/>
  <c r="M164" i="8"/>
  <c r="M161" i="8"/>
  <c r="M163" i="8" s="1"/>
  <c r="M154" i="8"/>
  <c r="M20" i="9" s="1"/>
  <c r="M153" i="8"/>
  <c r="N154" i="8"/>
  <c r="N20" i="9" s="1"/>
  <c r="N153" i="8"/>
  <c r="H96" i="9"/>
  <c r="H226" i="8"/>
  <c r="H236" i="8" s="1"/>
  <c r="H127" i="9" s="1"/>
  <c r="H227" i="8"/>
  <c r="N52" i="9"/>
  <c r="N126" i="7"/>
  <c r="N127" i="7" s="1"/>
  <c r="N317" i="8"/>
  <c r="N82" i="9"/>
  <c r="N66" i="9"/>
  <c r="N81" i="9"/>
  <c r="N33" i="2"/>
  <c r="G14" i="1"/>
  <c r="F82" i="1"/>
  <c r="L317" i="8"/>
  <c r="N111" i="9"/>
  <c r="N117" i="9" s="1"/>
  <c r="K10" i="9"/>
  <c r="K150" i="8"/>
  <c r="K151" i="8"/>
  <c r="K59" i="9"/>
  <c r="K79" i="2" s="1"/>
  <c r="K126" i="2"/>
  <c r="K317" i="8"/>
  <c r="L9" i="9"/>
  <c r="L63" i="7"/>
  <c r="L64" i="7" s="1"/>
  <c r="J8" i="9"/>
  <c r="J161" i="8"/>
  <c r="J163" i="8" s="1"/>
  <c r="J164" i="8"/>
  <c r="E104" i="1"/>
  <c r="G149" i="9"/>
  <c r="G150" i="9" s="1"/>
  <c r="H9" i="9"/>
  <c r="H63" i="7"/>
  <c r="H64" i="7" s="1"/>
  <c r="M56" i="9"/>
  <c r="M131" i="7"/>
  <c r="M110" i="7"/>
  <c r="J56" i="9"/>
  <c r="J110" i="7"/>
  <c r="J131" i="7"/>
  <c r="P116" i="8" l="1"/>
  <c r="B15" i="12" s="1"/>
  <c r="C15" i="12" s="1"/>
  <c r="K55" i="7"/>
  <c r="N40" i="9"/>
  <c r="M144" i="8"/>
  <c r="M182" i="8"/>
  <c r="M220" i="8"/>
  <c r="J182" i="8"/>
  <c r="E144" i="8"/>
  <c r="E182" i="8"/>
  <c r="E220" i="8"/>
  <c r="J220" i="8"/>
  <c r="G182" i="8"/>
  <c r="L220" i="8"/>
  <c r="H220" i="8"/>
  <c r="K144" i="8"/>
  <c r="K182" i="8"/>
  <c r="H182" i="8"/>
  <c r="N182" i="8"/>
  <c r="N220" i="8"/>
  <c r="I144" i="8"/>
  <c r="N144" i="8"/>
  <c r="G220" i="8"/>
  <c r="F182" i="8"/>
  <c r="F220" i="8"/>
  <c r="K220" i="8"/>
  <c r="D220" i="8"/>
  <c r="L144" i="8"/>
  <c r="L182" i="8"/>
  <c r="I182" i="8"/>
  <c r="H144" i="8"/>
  <c r="I220" i="8"/>
  <c r="D144" i="8"/>
  <c r="D182" i="8"/>
  <c r="G144" i="8"/>
  <c r="F144" i="8"/>
  <c r="J144" i="8"/>
  <c r="L118" i="7"/>
  <c r="M118" i="7"/>
  <c r="K40" i="9"/>
  <c r="H55" i="7"/>
  <c r="L178" i="8"/>
  <c r="L125" i="2" s="1"/>
  <c r="L216" i="8"/>
  <c r="H178" i="8"/>
  <c r="H125" i="2" s="1"/>
  <c r="M178" i="8"/>
  <c r="M125" i="2" s="1"/>
  <c r="I216" i="8"/>
  <c r="N216" i="8"/>
  <c r="D140" i="8"/>
  <c r="N140" i="8"/>
  <c r="E140" i="8"/>
  <c r="N178" i="8"/>
  <c r="N125" i="2" s="1"/>
  <c r="H140" i="8"/>
  <c r="K140" i="8"/>
  <c r="G140" i="8"/>
  <c r="K178" i="8"/>
  <c r="K125" i="2" s="1"/>
  <c r="G216" i="8"/>
  <c r="F140" i="8"/>
  <c r="I140" i="8"/>
  <c r="J178" i="8"/>
  <c r="J125" i="2" s="1"/>
  <c r="E216" i="8"/>
  <c r="H216" i="8"/>
  <c r="D216" i="8"/>
  <c r="M140" i="8"/>
  <c r="J140" i="8"/>
  <c r="F216" i="8"/>
  <c r="D178" i="8"/>
  <c r="D125" i="2" s="1"/>
  <c r="F178" i="8"/>
  <c r="F125" i="2" s="1"/>
  <c r="E178" i="8"/>
  <c r="E125" i="2" s="1"/>
  <c r="J216" i="8"/>
  <c r="L140" i="8"/>
  <c r="I178" i="8"/>
  <c r="I125" i="2" s="1"/>
  <c r="G178" i="8"/>
  <c r="G125" i="2" s="1"/>
  <c r="K216" i="8"/>
  <c r="M216" i="8"/>
  <c r="O107" i="8"/>
  <c r="O116" i="8" s="1"/>
  <c r="M116" i="8"/>
  <c r="D117" i="8" s="1"/>
  <c r="M40" i="9"/>
  <c r="H317" i="8"/>
  <c r="D180" i="8"/>
  <c r="J180" i="8"/>
  <c r="E142" i="8"/>
  <c r="D142" i="8"/>
  <c r="E180" i="8"/>
  <c r="E218" i="8"/>
  <c r="I180" i="8"/>
  <c r="N142" i="8"/>
  <c r="G218" i="8"/>
  <c r="J142" i="8"/>
  <c r="H142" i="8"/>
  <c r="J218" i="8"/>
  <c r="N180" i="8"/>
  <c r="F142" i="8"/>
  <c r="M180" i="8"/>
  <c r="M218" i="8"/>
  <c r="K218" i="8"/>
  <c r="H180" i="8"/>
  <c r="D218" i="8"/>
  <c r="K142" i="8"/>
  <c r="K180" i="8"/>
  <c r="G142" i="8"/>
  <c r="H218" i="8"/>
  <c r="M142" i="8"/>
  <c r="N218" i="8"/>
  <c r="I142" i="8"/>
  <c r="I218" i="8"/>
  <c r="F180" i="8"/>
  <c r="F218" i="8"/>
  <c r="L218" i="8"/>
  <c r="G180" i="8"/>
  <c r="L142" i="8"/>
  <c r="L180" i="8"/>
  <c r="N67" i="9"/>
  <c r="N69" i="9"/>
  <c r="N71" i="9"/>
  <c r="N70" i="9"/>
  <c r="H115" i="7"/>
  <c r="H117" i="7"/>
  <c r="H116" i="7"/>
  <c r="J51" i="9"/>
  <c r="J34" i="2" s="1"/>
  <c r="J202" i="8"/>
  <c r="J133" i="2" s="1"/>
  <c r="J199" i="8"/>
  <c r="G151" i="8"/>
  <c r="G10" i="9"/>
  <c r="G150" i="8"/>
  <c r="G160" i="8" s="1"/>
  <c r="G41" i="9" s="1"/>
  <c r="G44" i="9"/>
  <c r="H54" i="9"/>
  <c r="H130" i="7"/>
  <c r="M192" i="8"/>
  <c r="M191" i="8"/>
  <c r="D84" i="9"/>
  <c r="D41" i="2" s="1"/>
  <c r="D273" i="8"/>
  <c r="D119" i="2"/>
  <c r="D121" i="2" s="1"/>
  <c r="G119" i="7"/>
  <c r="G192" i="8"/>
  <c r="G191" i="8"/>
  <c r="J77" i="9"/>
  <c r="J92" i="2" s="1"/>
  <c r="J127" i="2"/>
  <c r="K53" i="9"/>
  <c r="K36" i="2" s="1"/>
  <c r="K188" i="8"/>
  <c r="K189" i="8"/>
  <c r="N272" i="8"/>
  <c r="N118" i="2"/>
  <c r="B21" i="12"/>
  <c r="C21" i="12" s="1"/>
  <c r="D104" i="1"/>
  <c r="F149" i="9"/>
  <c r="B38" i="12" s="1"/>
  <c r="C38" i="12" s="1"/>
  <c r="F59" i="9"/>
  <c r="F79" i="2" s="1"/>
  <c r="F126" i="2"/>
  <c r="F317" i="8"/>
  <c r="J27" i="9"/>
  <c r="J24" i="9"/>
  <c r="J26" i="9"/>
  <c r="J28" i="9"/>
  <c r="J29" i="9" s="1"/>
  <c r="J30" i="9"/>
  <c r="V101" i="1"/>
  <c r="U101" i="1"/>
  <c r="I51" i="9"/>
  <c r="I202" i="8"/>
  <c r="I133" i="2" s="1"/>
  <c r="I199" i="8"/>
  <c r="I59" i="9"/>
  <c r="I126" i="2"/>
  <c r="I317" i="8"/>
  <c r="I116" i="7"/>
  <c r="I117" i="7"/>
  <c r="I115" i="7"/>
  <c r="H270" i="8"/>
  <c r="H116" i="2"/>
  <c r="L44" i="9"/>
  <c r="L73" i="9"/>
  <c r="L90" i="2" s="1"/>
  <c r="L70" i="9"/>
  <c r="L67" i="9"/>
  <c r="L69" i="9"/>
  <c r="L71" i="9"/>
  <c r="K201" i="8"/>
  <c r="K42" i="2"/>
  <c r="E91" i="1"/>
  <c r="K120" i="2"/>
  <c r="E19" i="9"/>
  <c r="E42" i="9"/>
  <c r="G77" i="9"/>
  <c r="G92" i="2" s="1"/>
  <c r="G127" i="2"/>
  <c r="J52" i="9"/>
  <c r="J35" i="2" s="1"/>
  <c r="J126" i="7"/>
  <c r="J127" i="7" s="1"/>
  <c r="J191" i="8"/>
  <c r="J192" i="8"/>
  <c r="E269" i="8"/>
  <c r="E274" i="8" s="1"/>
  <c r="E306" i="8"/>
  <c r="E115" i="2"/>
  <c r="B56" i="12"/>
  <c r="C56" i="12" s="1"/>
  <c r="E317" i="8"/>
  <c r="M77" i="2"/>
  <c r="M52" i="9"/>
  <c r="M35" i="2" s="1"/>
  <c r="M126" i="7"/>
  <c r="M127" i="7" s="1"/>
  <c r="N117" i="7"/>
  <c r="N116" i="7"/>
  <c r="N115" i="7"/>
  <c r="N119" i="7"/>
  <c r="M270" i="8"/>
  <c r="M116" i="2"/>
  <c r="J44" i="9"/>
  <c r="G51" i="9"/>
  <c r="G202" i="8"/>
  <c r="G133" i="2" s="1"/>
  <c r="G199" i="8"/>
  <c r="J54" i="9"/>
  <c r="J130" i="7"/>
  <c r="J317" i="8"/>
  <c r="B33" i="12"/>
  <c r="C33" i="12" s="1"/>
  <c r="C97" i="1"/>
  <c r="E97" i="1" s="1"/>
  <c r="F16" i="1"/>
  <c r="K35" i="2"/>
  <c r="E84" i="1"/>
  <c r="E52" i="9"/>
  <c r="E35" i="2" s="1"/>
  <c r="E126" i="7"/>
  <c r="E127" i="7" s="1"/>
  <c r="E77" i="9"/>
  <c r="E92" i="2" s="1"/>
  <c r="E127" i="2"/>
  <c r="N63" i="9"/>
  <c r="N83" i="2" s="1"/>
  <c r="N130" i="2"/>
  <c r="H30" i="9"/>
  <c r="H27" i="9"/>
  <c r="H24" i="9"/>
  <c r="H26" i="9"/>
  <c r="H28" i="9"/>
  <c r="H29" i="9" s="1"/>
  <c r="K160" i="8"/>
  <c r="K41" i="9" s="1"/>
  <c r="I52" i="9"/>
  <c r="I126" i="7"/>
  <c r="I127" i="7" s="1"/>
  <c r="I270" i="8"/>
  <c r="I116" i="2"/>
  <c r="H118" i="7"/>
  <c r="L83" i="9"/>
  <c r="F269" i="8"/>
  <c r="F306" i="8"/>
  <c r="F115" i="2"/>
  <c r="I77" i="9"/>
  <c r="I92" i="2" s="1"/>
  <c r="I127" i="2"/>
  <c r="H82" i="9"/>
  <c r="H66" i="9"/>
  <c r="H81" i="9"/>
  <c r="H33" i="2"/>
  <c r="J10" i="9"/>
  <c r="J150" i="8"/>
  <c r="J160" i="8" s="1"/>
  <c r="J41" i="9" s="1"/>
  <c r="J151" i="8"/>
  <c r="H10" i="9"/>
  <c r="H151" i="8"/>
  <c r="H150" i="8"/>
  <c r="H160" i="8" s="1"/>
  <c r="H41" i="9" s="1"/>
  <c r="K19" i="9"/>
  <c r="K42" i="9"/>
  <c r="E154" i="9" s="1"/>
  <c r="M317" i="8"/>
  <c r="G54" i="9"/>
  <c r="G130" i="7"/>
  <c r="E59" i="9"/>
  <c r="E79" i="2" s="1"/>
  <c r="E126" i="2"/>
  <c r="N65" i="9"/>
  <c r="N85" i="2" s="1"/>
  <c r="M85" i="2"/>
  <c r="F25" i="9"/>
  <c r="F31" i="9" s="1"/>
  <c r="E30" i="11"/>
  <c r="K92" i="2"/>
  <c r="W108" i="1"/>
  <c r="C17" i="2"/>
  <c r="C33" i="1"/>
  <c r="D142" i="2"/>
  <c r="M26" i="9"/>
  <c r="M28" i="9"/>
  <c r="M29" i="9" s="1"/>
  <c r="M30" i="9"/>
  <c r="M27" i="9"/>
  <c r="M24" i="9"/>
  <c r="H77" i="2"/>
  <c r="N77" i="2"/>
  <c r="K63" i="9"/>
  <c r="K83" i="2" s="1"/>
  <c r="K130" i="2"/>
  <c r="N44" i="9"/>
  <c r="M105" i="9"/>
  <c r="M128" i="9"/>
  <c r="M111" i="9"/>
  <c r="M117" i="9" s="1"/>
  <c r="F51" i="9"/>
  <c r="F34" i="2" s="1"/>
  <c r="F199" i="8"/>
  <c r="F202" i="8"/>
  <c r="F133" i="2" s="1"/>
  <c r="I54" i="9"/>
  <c r="I130" i="7"/>
  <c r="I192" i="8"/>
  <c r="I191" i="8"/>
  <c r="I82" i="9"/>
  <c r="I83" i="9" s="1"/>
  <c r="I66" i="9"/>
  <c r="I81" i="9"/>
  <c r="D82" i="1"/>
  <c r="E14" i="1"/>
  <c r="I33" i="2"/>
  <c r="H51" i="9"/>
  <c r="H34" i="2" s="1"/>
  <c r="H202" i="8"/>
  <c r="H133" i="2" s="1"/>
  <c r="H199" i="8"/>
  <c r="F19" i="9"/>
  <c r="F42" i="9"/>
  <c r="B31" i="12"/>
  <c r="C31" i="12" s="1"/>
  <c r="K34" i="2"/>
  <c r="E83" i="1"/>
  <c r="C96" i="1"/>
  <c r="E96" i="1" s="1"/>
  <c r="F15" i="1"/>
  <c r="G59" i="9"/>
  <c r="G126" i="2"/>
  <c r="J59" i="9"/>
  <c r="J79" i="2" s="1"/>
  <c r="J126" i="2"/>
  <c r="V104" i="1"/>
  <c r="G117" i="9"/>
  <c r="G111" i="9"/>
  <c r="N87" i="9"/>
  <c r="F85" i="1"/>
  <c r="G18" i="1"/>
  <c r="N37" i="2"/>
  <c r="G17" i="1"/>
  <c r="K70" i="9"/>
  <c r="K67" i="9"/>
  <c r="K69" i="9"/>
  <c r="K71" i="9"/>
  <c r="K272" i="8"/>
  <c r="K118" i="2"/>
  <c r="M10" i="9"/>
  <c r="M151" i="8"/>
  <c r="M150" i="8"/>
  <c r="M160" i="8" s="1"/>
  <c r="M41" i="9" s="1"/>
  <c r="I160" i="8"/>
  <c r="I41" i="9" s="1"/>
  <c r="I105" i="9"/>
  <c r="I128" i="9"/>
  <c r="H119" i="7"/>
  <c r="H306" i="8"/>
  <c r="H269" i="8"/>
  <c r="H274" i="8" s="1"/>
  <c r="H115" i="2"/>
  <c r="F117" i="7"/>
  <c r="F116" i="7"/>
  <c r="F115" i="7"/>
  <c r="N28" i="9"/>
  <c r="N29" i="9" s="1"/>
  <c r="N30" i="9"/>
  <c r="N27" i="9"/>
  <c r="N24" i="9"/>
  <c r="N26" i="9"/>
  <c r="K105" i="9"/>
  <c r="K128" i="9"/>
  <c r="G154" i="9" s="1"/>
  <c r="F270" i="8"/>
  <c r="F116" i="2"/>
  <c r="M44" i="9"/>
  <c r="G16" i="1"/>
  <c r="N35" i="2"/>
  <c r="F84" i="1"/>
  <c r="M269" i="8"/>
  <c r="M274" i="8" s="1"/>
  <c r="M306" i="8"/>
  <c r="M115" i="2"/>
  <c r="H44" i="9"/>
  <c r="L272" i="8"/>
  <c r="L118" i="2"/>
  <c r="G317" i="8"/>
  <c r="K117" i="7"/>
  <c r="K116" i="7"/>
  <c r="K115" i="7"/>
  <c r="K119" i="7"/>
  <c r="J270" i="8"/>
  <c r="J116" i="2"/>
  <c r="J81" i="9"/>
  <c r="J82" i="9"/>
  <c r="J66" i="9"/>
  <c r="K73" i="9" s="1"/>
  <c r="K90" i="2" s="1"/>
  <c r="J33" i="2"/>
  <c r="K111" i="9"/>
  <c r="K117" i="9" s="1"/>
  <c r="M55" i="7"/>
  <c r="E82" i="9"/>
  <c r="E83" i="9" s="1"/>
  <c r="E81" i="9"/>
  <c r="E66" i="9"/>
  <c r="E33" i="2"/>
  <c r="K25" i="9"/>
  <c r="K31" i="9" s="1"/>
  <c r="I111" i="9"/>
  <c r="I117" i="9" s="1"/>
  <c r="F54" i="9"/>
  <c r="F130" i="7"/>
  <c r="H40" i="9"/>
  <c r="H192" i="8"/>
  <c r="H191" i="8"/>
  <c r="H77" i="9"/>
  <c r="H92" i="2" s="1"/>
  <c r="H127" i="2"/>
  <c r="L95" i="2"/>
  <c r="L43" i="2"/>
  <c r="G105" i="9"/>
  <c r="G128" i="9"/>
  <c r="G82" i="9"/>
  <c r="G66" i="9"/>
  <c r="G81" i="9"/>
  <c r="G33" i="2"/>
  <c r="C82" i="1"/>
  <c r="D14" i="1"/>
  <c r="N53" i="9"/>
  <c r="N36" i="2" s="1"/>
  <c r="N189" i="8"/>
  <c r="N188" i="8"/>
  <c r="M77" i="9"/>
  <c r="M92" i="2" s="1"/>
  <c r="M127" i="2"/>
  <c r="M82" i="9"/>
  <c r="M83" i="9" s="1"/>
  <c r="M81" i="9"/>
  <c r="M66" i="9"/>
  <c r="N73" i="9" s="1"/>
  <c r="N90" i="2" s="1"/>
  <c r="M33" i="2"/>
  <c r="L111" i="9"/>
  <c r="L117" i="9" s="1"/>
  <c r="L63" i="9"/>
  <c r="L83" i="2" s="1"/>
  <c r="L130" i="2"/>
  <c r="G28" i="9"/>
  <c r="G29" i="9" s="1"/>
  <c r="G30" i="9"/>
  <c r="G27" i="9"/>
  <c r="G24" i="9"/>
  <c r="G26" i="9"/>
  <c r="G270" i="8"/>
  <c r="G116" i="2"/>
  <c r="L10" i="9"/>
  <c r="L151" i="8"/>
  <c r="L150" i="8"/>
  <c r="L160" i="8" s="1"/>
  <c r="L41" i="9" s="1"/>
  <c r="H105" i="9"/>
  <c r="H128" i="9"/>
  <c r="M59" i="9"/>
  <c r="M79" i="2" s="1"/>
  <c r="M126" i="2"/>
  <c r="I25" i="9"/>
  <c r="I31" i="9" s="1"/>
  <c r="L105" i="9"/>
  <c r="L128" i="9"/>
  <c r="E25" i="9"/>
  <c r="E31" i="9" s="1"/>
  <c r="V105" i="1"/>
  <c r="E54" i="9"/>
  <c r="E130" i="7"/>
  <c r="L53" i="9"/>
  <c r="L36" i="2" s="1"/>
  <c r="L188" i="8"/>
  <c r="L189" i="8"/>
  <c r="L26" i="9"/>
  <c r="L28" i="9"/>
  <c r="L29" i="9" s="1"/>
  <c r="L30" i="9"/>
  <c r="L27" i="9"/>
  <c r="L24" i="9"/>
  <c r="K87" i="9"/>
  <c r="D150" i="2" s="1"/>
  <c r="K37" i="2"/>
  <c r="E85" i="1"/>
  <c r="F17" i="1"/>
  <c r="B37" i="12"/>
  <c r="C37" i="12" s="1"/>
  <c r="E77" i="2"/>
  <c r="F141" i="9"/>
  <c r="F140" i="9"/>
  <c r="H111" i="9"/>
  <c r="H117" i="9" s="1"/>
  <c r="F274" i="8"/>
  <c r="B66" i="12"/>
  <c r="C66" i="12" s="1"/>
  <c r="W103" i="1"/>
  <c r="C21" i="2"/>
  <c r="C27" i="1"/>
  <c r="N201" i="8"/>
  <c r="N120" i="2"/>
  <c r="F91" i="1"/>
  <c r="N42" i="2"/>
  <c r="N151" i="8"/>
  <c r="N10" i="9"/>
  <c r="N150" i="8"/>
  <c r="N160" i="8" s="1"/>
  <c r="N41" i="9" s="1"/>
  <c r="I119" i="7"/>
  <c r="I40" i="9"/>
  <c r="M51" i="9"/>
  <c r="M34" i="2" s="1"/>
  <c r="M202" i="8"/>
  <c r="M133" i="2" s="1"/>
  <c r="M199" i="8"/>
  <c r="E270" i="8"/>
  <c r="E116" i="2"/>
  <c r="F77" i="2"/>
  <c r="K95" i="2"/>
  <c r="K43" i="2"/>
  <c r="G117" i="7"/>
  <c r="G116" i="7"/>
  <c r="G115" i="7"/>
  <c r="G118" i="7" s="1"/>
  <c r="F82" i="9"/>
  <c r="F83" i="9" s="1"/>
  <c r="F66" i="9"/>
  <c r="F81" i="9"/>
  <c r="F33" i="2"/>
  <c r="J117" i="7"/>
  <c r="J116" i="7"/>
  <c r="J115" i="7"/>
  <c r="J77" i="2"/>
  <c r="N43" i="2"/>
  <c r="N95" i="2"/>
  <c r="M54" i="9"/>
  <c r="M130" i="7"/>
  <c r="G52" i="9"/>
  <c r="G126" i="7"/>
  <c r="G127" i="7" s="1"/>
  <c r="G306" i="8"/>
  <c r="G269" i="8"/>
  <c r="G274" i="8" s="1"/>
  <c r="G115" i="2"/>
  <c r="J119" i="7"/>
  <c r="J269" i="8"/>
  <c r="J274" i="8" s="1"/>
  <c r="J306" i="8"/>
  <c r="J115" i="2"/>
  <c r="E51" i="9"/>
  <c r="E34" i="2" s="1"/>
  <c r="E202" i="8"/>
  <c r="E133" i="2" s="1"/>
  <c r="E199" i="8"/>
  <c r="E192" i="8"/>
  <c r="E191" i="8"/>
  <c r="L87" i="9"/>
  <c r="L37" i="2"/>
  <c r="F52" i="9"/>
  <c r="F35" i="2" s="1"/>
  <c r="F126" i="7"/>
  <c r="F127" i="7" s="1"/>
  <c r="F77" i="9"/>
  <c r="F92" i="2" s="1"/>
  <c r="F127" i="2"/>
  <c r="F192" i="8"/>
  <c r="F191" i="8"/>
  <c r="I19" i="9"/>
  <c r="I42" i="9"/>
  <c r="F83" i="1"/>
  <c r="G15" i="1"/>
  <c r="N34" i="2"/>
  <c r="I269" i="8"/>
  <c r="I274" i="8" s="1"/>
  <c r="I306" i="8"/>
  <c r="I115" i="2"/>
  <c r="H52" i="9"/>
  <c r="H35" i="2" s="1"/>
  <c r="H126" i="7"/>
  <c r="H127" i="7" s="1"/>
  <c r="H59" i="9"/>
  <c r="H79" i="2" s="1"/>
  <c r="H126" i="2"/>
  <c r="L201" i="8"/>
  <c r="L42" i="2"/>
  <c r="L120" i="2"/>
  <c r="F18" i="1" l="1"/>
  <c r="N118" i="7"/>
  <c r="J83" i="9"/>
  <c r="J58" i="9"/>
  <c r="J78" i="2" s="1"/>
  <c r="J193" i="8"/>
  <c r="L193" i="8"/>
  <c r="L58" i="9"/>
  <c r="L78" i="2" s="1"/>
  <c r="N101" i="9"/>
  <c r="N231" i="8"/>
  <c r="N103" i="9" s="1"/>
  <c r="K101" i="9"/>
  <c r="K231" i="8"/>
  <c r="K103" i="9" s="1"/>
  <c r="G101" i="9"/>
  <c r="G231" i="8"/>
  <c r="G103" i="9" s="1"/>
  <c r="G118" i="9" s="1"/>
  <c r="D58" i="9"/>
  <c r="D193" i="8"/>
  <c r="N88" i="2"/>
  <c r="L155" i="8"/>
  <c r="L17" i="9" s="1"/>
  <c r="L15" i="9"/>
  <c r="M15" i="9"/>
  <c r="M155" i="8"/>
  <c r="M17" i="9" s="1"/>
  <c r="M101" i="9"/>
  <c r="M231" i="8"/>
  <c r="M103" i="9" s="1"/>
  <c r="N15" i="9"/>
  <c r="N155" i="8"/>
  <c r="N17" i="9" s="1"/>
  <c r="I155" i="8"/>
  <c r="I17" i="9" s="1"/>
  <c r="I32" i="9" s="1"/>
  <c r="I15" i="9"/>
  <c r="G58" i="9"/>
  <c r="G78" i="2" s="1"/>
  <c r="G193" i="8"/>
  <c r="H101" i="9"/>
  <c r="H231" i="8"/>
  <c r="H103" i="9" s="1"/>
  <c r="H118" i="9" s="1"/>
  <c r="M193" i="8"/>
  <c r="M58" i="9"/>
  <c r="M78" i="2" s="1"/>
  <c r="I58" i="9"/>
  <c r="I78" i="2" s="1"/>
  <c r="I193" i="8"/>
  <c r="H58" i="9"/>
  <c r="H78" i="2" s="1"/>
  <c r="H193" i="8"/>
  <c r="L101" i="9"/>
  <c r="L231" i="8"/>
  <c r="L103" i="9" s="1"/>
  <c r="L118" i="9" s="1"/>
  <c r="G15" i="9"/>
  <c r="G155" i="8"/>
  <c r="G17" i="9" s="1"/>
  <c r="F15" i="9"/>
  <c r="F155" i="8"/>
  <c r="F17" i="9" s="1"/>
  <c r="F32" i="9" s="1"/>
  <c r="E101" i="9"/>
  <c r="E231" i="8"/>
  <c r="E103" i="9" s="1"/>
  <c r="J15" i="9"/>
  <c r="J155" i="8"/>
  <c r="J17" i="9" s="1"/>
  <c r="F118" i="7"/>
  <c r="F101" i="9"/>
  <c r="F118" i="9" s="1"/>
  <c r="F231" i="8"/>
  <c r="F103" i="9" s="1"/>
  <c r="B19" i="12"/>
  <c r="D251" i="8"/>
  <c r="K58" i="9"/>
  <c r="K193" i="8"/>
  <c r="N193" i="8"/>
  <c r="N58" i="9"/>
  <c r="N78" i="2" s="1"/>
  <c r="E58" i="9"/>
  <c r="E78" i="2" s="1"/>
  <c r="E193" i="8"/>
  <c r="K118" i="7"/>
  <c r="F58" i="9"/>
  <c r="F78" i="2" s="1"/>
  <c r="F193" i="8"/>
  <c r="K155" i="8"/>
  <c r="K17" i="9" s="1"/>
  <c r="K15" i="9"/>
  <c r="K32" i="9" s="1"/>
  <c r="J101" i="9"/>
  <c r="J231" i="8"/>
  <c r="J103" i="9" s="1"/>
  <c r="D15" i="9"/>
  <c r="D155" i="8"/>
  <c r="D17" i="9" s="1"/>
  <c r="J118" i="7"/>
  <c r="K88" i="2"/>
  <c r="I101" i="9"/>
  <c r="I231" i="8"/>
  <c r="I103" i="9" s="1"/>
  <c r="D231" i="8"/>
  <c r="D103" i="9" s="1"/>
  <c r="D101" i="9"/>
  <c r="H15" i="9"/>
  <c r="H155" i="8"/>
  <c r="H17" i="9" s="1"/>
  <c r="E155" i="8"/>
  <c r="E17" i="9" s="1"/>
  <c r="E15" i="9"/>
  <c r="M87" i="9"/>
  <c r="M37" i="2"/>
  <c r="I63" i="9"/>
  <c r="I83" i="2" s="1"/>
  <c r="I130" i="2"/>
  <c r="K271" i="8"/>
  <c r="K117" i="2"/>
  <c r="K198" i="8"/>
  <c r="F95" i="2"/>
  <c r="F43" i="2"/>
  <c r="F87" i="9"/>
  <c r="F37" i="2"/>
  <c r="E70" i="9"/>
  <c r="E67" i="9"/>
  <c r="E69" i="9"/>
  <c r="E71" i="9"/>
  <c r="E73" i="9"/>
  <c r="E90" i="2" s="1"/>
  <c r="K118" i="9"/>
  <c r="I87" i="9"/>
  <c r="E17" i="1"/>
  <c r="I37" i="2"/>
  <c r="D85" i="1"/>
  <c r="H25" i="9"/>
  <c r="H31" i="9"/>
  <c r="E53" i="9"/>
  <c r="E36" i="2" s="1"/>
  <c r="E188" i="8"/>
  <c r="E189" i="8"/>
  <c r="J63" i="9"/>
  <c r="J83" i="2" s="1"/>
  <c r="J130" i="2"/>
  <c r="E32" i="9"/>
  <c r="G19" i="9"/>
  <c r="G42" i="9"/>
  <c r="L19" i="9"/>
  <c r="L42" i="9"/>
  <c r="H53" i="9"/>
  <c r="H36" i="2" s="1"/>
  <c r="H189" i="8"/>
  <c r="H188" i="8"/>
  <c r="F67" i="9"/>
  <c r="F69" i="9"/>
  <c r="F71" i="9"/>
  <c r="F73" i="9"/>
  <c r="F90" i="2" s="1"/>
  <c r="F70" i="9"/>
  <c r="E43" i="2"/>
  <c r="E95" i="2"/>
  <c r="M25" i="9"/>
  <c r="M31" i="9" s="1"/>
  <c r="J87" i="9"/>
  <c r="J37" i="2"/>
  <c r="J272" i="8"/>
  <c r="J118" i="2"/>
  <c r="M272" i="8"/>
  <c r="M118" i="2"/>
  <c r="H87" i="9"/>
  <c r="H37" i="2"/>
  <c r="J201" i="8"/>
  <c r="J120" i="2"/>
  <c r="J42" i="2"/>
  <c r="N72" i="9"/>
  <c r="N89" i="2" s="1"/>
  <c r="E63" i="9"/>
  <c r="E83" i="2" s="1"/>
  <c r="E130" i="2"/>
  <c r="M201" i="8"/>
  <c r="M42" i="2"/>
  <c r="M120" i="2"/>
  <c r="E87" i="9"/>
  <c r="E37" i="2"/>
  <c r="L68" i="9"/>
  <c r="L87" i="2" s="1"/>
  <c r="F272" i="8"/>
  <c r="F118" i="2"/>
  <c r="V103" i="1"/>
  <c r="G95" i="2"/>
  <c r="G43" i="2"/>
  <c r="J71" i="9"/>
  <c r="J73" i="9"/>
  <c r="J90" i="2" s="1"/>
  <c r="J70" i="9"/>
  <c r="J69" i="9"/>
  <c r="J88" i="2" s="1"/>
  <c r="J67" i="9"/>
  <c r="N31" i="9"/>
  <c r="N25" i="9"/>
  <c r="H201" i="8"/>
  <c r="H120" i="2"/>
  <c r="H42" i="2"/>
  <c r="I43" i="2"/>
  <c r="I95" i="2"/>
  <c r="F201" i="8"/>
  <c r="F120" i="2"/>
  <c r="F42" i="2"/>
  <c r="V108" i="1"/>
  <c r="I53" i="9"/>
  <c r="I36" i="2" s="1"/>
  <c r="I189" i="8"/>
  <c r="I188" i="8"/>
  <c r="G201" i="8"/>
  <c r="C91" i="1"/>
  <c r="G120" i="2"/>
  <c r="G42" i="2"/>
  <c r="J53" i="9"/>
  <c r="J36" i="2" s="1"/>
  <c r="J189" i="8"/>
  <c r="J188" i="8"/>
  <c r="M63" i="9"/>
  <c r="M83" i="2" s="1"/>
  <c r="M130" i="2"/>
  <c r="F53" i="9"/>
  <c r="F36" i="2" s="1"/>
  <c r="F189" i="8"/>
  <c r="F188" i="8"/>
  <c r="L25" i="9"/>
  <c r="L31" i="9" s="1"/>
  <c r="K68" i="9"/>
  <c r="M118" i="9"/>
  <c r="G53" i="9"/>
  <c r="G36" i="2" s="1"/>
  <c r="G189" i="8"/>
  <c r="G188" i="8"/>
  <c r="L62" i="9"/>
  <c r="L129" i="2"/>
  <c r="L85" i="9"/>
  <c r="G25" i="9"/>
  <c r="G31" i="9" s="1"/>
  <c r="I118" i="9"/>
  <c r="D84" i="1"/>
  <c r="I35" i="2"/>
  <c r="E16" i="1"/>
  <c r="I79" i="2"/>
  <c r="G272" i="8"/>
  <c r="G118" i="2"/>
  <c r="N68" i="9"/>
  <c r="N87" i="2" s="1"/>
  <c r="N19" i="9"/>
  <c r="N42" i="9"/>
  <c r="C84" i="1"/>
  <c r="G35" i="2"/>
  <c r="D16" i="1"/>
  <c r="L271" i="8"/>
  <c r="L117" i="2"/>
  <c r="L198" i="8"/>
  <c r="M70" i="9"/>
  <c r="M67" i="9"/>
  <c r="M69" i="9"/>
  <c r="M71" i="9"/>
  <c r="M73" i="9"/>
  <c r="M90" i="2" s="1"/>
  <c r="N62" i="9"/>
  <c r="N129" i="2"/>
  <c r="N85" i="9"/>
  <c r="F90" i="1" s="1"/>
  <c r="G83" i="9"/>
  <c r="H272" i="8"/>
  <c r="H118" i="2"/>
  <c r="K83" i="9"/>
  <c r="H19" i="9"/>
  <c r="H32" i="9" s="1"/>
  <c r="H42" i="9"/>
  <c r="H43" i="2"/>
  <c r="H95" i="2"/>
  <c r="D15" i="1"/>
  <c r="G34" i="2"/>
  <c r="C83" i="1"/>
  <c r="I201" i="8"/>
  <c r="I42" i="2"/>
  <c r="D91" i="1"/>
  <c r="I120" i="2"/>
  <c r="J25" i="9"/>
  <c r="J31" i="9" s="1"/>
  <c r="G63" i="9"/>
  <c r="G83" i="2" s="1"/>
  <c r="G130" i="2"/>
  <c r="E201" i="8"/>
  <c r="E42" i="2"/>
  <c r="E120" i="2"/>
  <c r="M19" i="9"/>
  <c r="M42" i="9"/>
  <c r="G79" i="2"/>
  <c r="F63" i="9"/>
  <c r="F83" i="2" s="1"/>
  <c r="F130" i="2"/>
  <c r="N271" i="8"/>
  <c r="N117" i="2"/>
  <c r="N198" i="8"/>
  <c r="G69" i="9"/>
  <c r="G71" i="9"/>
  <c r="G73" i="9"/>
  <c r="G90" i="2" s="1"/>
  <c r="G67" i="9"/>
  <c r="G70" i="9"/>
  <c r="I71" i="9"/>
  <c r="I73" i="9"/>
  <c r="I90" i="2" s="1"/>
  <c r="I67" i="9"/>
  <c r="I69" i="9"/>
  <c r="I70" i="9"/>
  <c r="E272" i="8"/>
  <c r="E118" i="2"/>
  <c r="M43" i="2"/>
  <c r="M95" i="2"/>
  <c r="H63" i="9"/>
  <c r="H83" i="2" s="1"/>
  <c r="H130" i="2"/>
  <c r="J43" i="2"/>
  <c r="J95" i="2"/>
  <c r="K72" i="9"/>
  <c r="K89" i="2" s="1"/>
  <c r="I272" i="8"/>
  <c r="I118" i="2"/>
  <c r="G87" i="9"/>
  <c r="D17" i="1"/>
  <c r="G37" i="2"/>
  <c r="C85" i="1"/>
  <c r="H69" i="9"/>
  <c r="H71" i="9"/>
  <c r="H73" i="9"/>
  <c r="H90" i="2" s="1"/>
  <c r="H70" i="9"/>
  <c r="H67" i="9"/>
  <c r="L72" i="9"/>
  <c r="L89" i="2" s="1"/>
  <c r="N83" i="9"/>
  <c r="J19" i="9"/>
  <c r="J42" i="9"/>
  <c r="H83" i="9"/>
  <c r="M53" i="9"/>
  <c r="M36" i="2" s="1"/>
  <c r="M188" i="8"/>
  <c r="M189" i="8"/>
  <c r="L88" i="2"/>
  <c r="I118" i="7"/>
  <c r="E15" i="1"/>
  <c r="I34" i="2"/>
  <c r="D83" i="1"/>
  <c r="F150" i="9"/>
  <c r="K62" i="9"/>
  <c r="K129" i="2"/>
  <c r="K85" i="9"/>
  <c r="G123" i="9" l="1"/>
  <c r="G119" i="9"/>
  <c r="N74" i="9"/>
  <c r="D118" i="9"/>
  <c r="I60" i="9"/>
  <c r="I80" i="2" s="1"/>
  <c r="I131" i="2"/>
  <c r="D123" i="9"/>
  <c r="D119" i="9"/>
  <c r="I88" i="2"/>
  <c r="G88" i="2"/>
  <c r="K74" i="9"/>
  <c r="C121" i="1" s="1"/>
  <c r="D32" i="9"/>
  <c r="E60" i="9"/>
  <c r="E80" i="2" s="1"/>
  <c r="E131" i="2"/>
  <c r="N132" i="2"/>
  <c r="L132" i="2"/>
  <c r="J118" i="9"/>
  <c r="M60" i="9"/>
  <c r="M80" i="2" s="1"/>
  <c r="M131" i="2"/>
  <c r="N118" i="9"/>
  <c r="N60" i="9"/>
  <c r="N80" i="2" s="1"/>
  <c r="N131" i="2"/>
  <c r="D131" i="2"/>
  <c r="D132" i="2" s="1"/>
  <c r="B26" i="12"/>
  <c r="C26" i="12" s="1"/>
  <c r="D60" i="9"/>
  <c r="D80" i="2" s="1"/>
  <c r="K60" i="9"/>
  <c r="K131" i="2"/>
  <c r="K132" i="2" s="1"/>
  <c r="D158" i="2" s="1"/>
  <c r="D78" i="2"/>
  <c r="L60" i="9"/>
  <c r="L80" i="2" s="1"/>
  <c r="L131" i="2"/>
  <c r="F60" i="9"/>
  <c r="F80" i="2" s="1"/>
  <c r="F131" i="2"/>
  <c r="W102" i="1"/>
  <c r="C7" i="2"/>
  <c r="C26" i="2" s="1"/>
  <c r="K78" i="2"/>
  <c r="C25" i="1"/>
  <c r="H60" i="9"/>
  <c r="H80" i="2" s="1"/>
  <c r="H131" i="2"/>
  <c r="G60" i="9"/>
  <c r="G80" i="2" s="1"/>
  <c r="G131" i="2"/>
  <c r="J60" i="9"/>
  <c r="J80" i="2" s="1"/>
  <c r="J131" i="2"/>
  <c r="F119" i="9"/>
  <c r="F123" i="9"/>
  <c r="E88" i="2"/>
  <c r="D254" i="8"/>
  <c r="D253" i="8"/>
  <c r="E118" i="9"/>
  <c r="F62" i="9"/>
  <c r="F129" i="2"/>
  <c r="F85" i="9"/>
  <c r="L119" i="9"/>
  <c r="L123" i="9"/>
  <c r="I119" i="9"/>
  <c r="I123" i="9"/>
  <c r="J271" i="8"/>
  <c r="J117" i="2"/>
  <c r="J198" i="8"/>
  <c r="I62" i="9"/>
  <c r="I129" i="2"/>
  <c r="I132" i="2" s="1"/>
  <c r="I85" i="9"/>
  <c r="D90" i="1" s="1"/>
  <c r="J68" i="9"/>
  <c r="J74" i="9" s="1"/>
  <c r="L74" i="9"/>
  <c r="L75" i="9" s="1"/>
  <c r="H271" i="8"/>
  <c r="H117" i="2"/>
  <c r="H198" i="8"/>
  <c r="E62" i="9"/>
  <c r="E129" i="2"/>
  <c r="E132" i="2" s="1"/>
  <c r="E85" i="9"/>
  <c r="H119" i="9"/>
  <c r="H123" i="9"/>
  <c r="N32" i="9"/>
  <c r="M119" i="9"/>
  <c r="M123" i="9"/>
  <c r="J62" i="9"/>
  <c r="J129" i="2"/>
  <c r="J132" i="2" s="1"/>
  <c r="J85" i="9"/>
  <c r="F72" i="9"/>
  <c r="F89" i="2" s="1"/>
  <c r="H62" i="9"/>
  <c r="H129" i="2"/>
  <c r="H85" i="9"/>
  <c r="E271" i="8"/>
  <c r="E117" i="2"/>
  <c r="E198" i="8"/>
  <c r="E72" i="9"/>
  <c r="E89" i="2" s="1"/>
  <c r="W107" i="1"/>
  <c r="D29" i="11"/>
  <c r="D31" i="11" s="1"/>
  <c r="K33" i="9"/>
  <c r="K37" i="9"/>
  <c r="D8" i="11" s="1"/>
  <c r="F88" i="2"/>
  <c r="K84" i="9"/>
  <c r="K273" i="8"/>
  <c r="K119" i="2"/>
  <c r="K121" i="2" s="1"/>
  <c r="I72" i="9"/>
  <c r="I89" i="2" s="1"/>
  <c r="L84" i="9"/>
  <c r="L41" i="2" s="1"/>
  <c r="L273" i="8"/>
  <c r="L119" i="2"/>
  <c r="L121" i="2" s="1"/>
  <c r="H88" i="2"/>
  <c r="G72" i="9"/>
  <c r="G89" i="2" s="1"/>
  <c r="H33" i="9"/>
  <c r="H37" i="9"/>
  <c r="N82" i="2"/>
  <c r="N86" i="2" s="1"/>
  <c r="N91" i="2" s="1"/>
  <c r="N94" i="2" s="1"/>
  <c r="N75" i="9"/>
  <c r="C32" i="1"/>
  <c r="F33" i="9"/>
  <c r="F37" i="9"/>
  <c r="F68" i="9"/>
  <c r="F87" i="2" s="1"/>
  <c r="G32" i="9"/>
  <c r="E68" i="9"/>
  <c r="E87" i="2" s="1"/>
  <c r="G62" i="9"/>
  <c r="G129" i="2"/>
  <c r="G85" i="9"/>
  <c r="C90" i="1" s="1"/>
  <c r="G123" i="10"/>
  <c r="G124" i="10"/>
  <c r="G128" i="10" s="1"/>
  <c r="G122" i="9"/>
  <c r="G68" i="9"/>
  <c r="G87" i="2" s="1"/>
  <c r="H72" i="9"/>
  <c r="H89" i="2" s="1"/>
  <c r="C16" i="2"/>
  <c r="C25" i="2" s="1"/>
  <c r="J72" i="9"/>
  <c r="J89" i="2" s="1"/>
  <c r="E33" i="9"/>
  <c r="E37" i="9"/>
  <c r="H68" i="9"/>
  <c r="M68" i="9"/>
  <c r="M87" i="2" s="1"/>
  <c r="F29" i="11"/>
  <c r="F31" i="11" s="1"/>
  <c r="K119" i="9"/>
  <c r="K123" i="9"/>
  <c r="F8" i="11" s="1"/>
  <c r="E90" i="1"/>
  <c r="F154" i="9"/>
  <c r="M62" i="9"/>
  <c r="M129" i="2"/>
  <c r="M132" i="2" s="1"/>
  <c r="M85" i="9"/>
  <c r="D18" i="1"/>
  <c r="I68" i="9"/>
  <c r="N84" i="9"/>
  <c r="N273" i="8"/>
  <c r="N119" i="2"/>
  <c r="N121" i="2" s="1"/>
  <c r="M72" i="9"/>
  <c r="M89" i="2"/>
  <c r="L82" i="2"/>
  <c r="L86" i="2" s="1"/>
  <c r="L91" i="2" s="1"/>
  <c r="L94" i="2" s="1"/>
  <c r="K87" i="2"/>
  <c r="I33" i="9"/>
  <c r="I37" i="9"/>
  <c r="I271" i="8"/>
  <c r="I117" i="2"/>
  <c r="I198" i="8"/>
  <c r="J32" i="9"/>
  <c r="C13" i="2"/>
  <c r="C27" i="2" s="1"/>
  <c r="K82" i="2"/>
  <c r="C31" i="1"/>
  <c r="W106" i="1"/>
  <c r="K75" i="9"/>
  <c r="D140" i="2"/>
  <c r="M271" i="8"/>
  <c r="M117" i="2"/>
  <c r="M198" i="8"/>
  <c r="M32" i="9"/>
  <c r="M88" i="2"/>
  <c r="G271" i="8"/>
  <c r="G117" i="2"/>
  <c r="G198" i="8"/>
  <c r="F271" i="8"/>
  <c r="F117" i="2"/>
  <c r="F198" i="8"/>
  <c r="L32" i="9"/>
  <c r="E18" i="1"/>
  <c r="M74" i="9" l="1"/>
  <c r="I74" i="9"/>
  <c r="G132" i="2"/>
  <c r="E123" i="9"/>
  <c r="E119" i="9"/>
  <c r="D37" i="9"/>
  <c r="D33" i="9"/>
  <c r="X102" i="1"/>
  <c r="V102" i="1"/>
  <c r="U102" i="1"/>
  <c r="K80" i="2"/>
  <c r="K86" i="2" s="1"/>
  <c r="K91" i="2" s="1"/>
  <c r="K94" i="2" s="1"/>
  <c r="K96" i="2" s="1"/>
  <c r="C12" i="2"/>
  <c r="C28" i="2" s="1"/>
  <c r="G74" i="9"/>
  <c r="E74" i="9"/>
  <c r="F132" i="2"/>
  <c r="B24" i="12"/>
  <c r="C24" i="12" s="1"/>
  <c r="D123" i="10"/>
  <c r="D177" i="10" s="1"/>
  <c r="D124" i="10"/>
  <c r="D128" i="10" s="1"/>
  <c r="D130" i="10" s="1"/>
  <c r="D131" i="10" s="1"/>
  <c r="D122" i="9"/>
  <c r="D132" i="1"/>
  <c r="D256" i="8"/>
  <c r="H74" i="9"/>
  <c r="H75" i="9" s="1"/>
  <c r="F123" i="10"/>
  <c r="F122" i="9"/>
  <c r="F124" i="10"/>
  <c r="F128" i="10" s="1"/>
  <c r="C122" i="1"/>
  <c r="D141" i="2"/>
  <c r="D75" i="9"/>
  <c r="J119" i="9"/>
  <c r="J123" i="9"/>
  <c r="H132" i="2"/>
  <c r="D86" i="2"/>
  <c r="D91" i="2" s="1"/>
  <c r="D94" i="2" s="1"/>
  <c r="N119" i="9"/>
  <c r="N123" i="9"/>
  <c r="M33" i="9"/>
  <c r="M37" i="9"/>
  <c r="M84" i="9"/>
  <c r="M41" i="2" s="1"/>
  <c r="M273" i="8"/>
  <c r="M119" i="2"/>
  <c r="M121" i="2" s="1"/>
  <c r="I8" i="10"/>
  <c r="I12" i="10" s="1"/>
  <c r="I7" i="10"/>
  <c r="I36" i="9"/>
  <c r="F74" i="9"/>
  <c r="H8" i="10"/>
  <c r="H12" i="10" s="1"/>
  <c r="H7" i="10"/>
  <c r="H36" i="9"/>
  <c r="E89" i="1"/>
  <c r="K41" i="2"/>
  <c r="H123" i="10"/>
  <c r="H122" i="9"/>
  <c r="H124" i="10"/>
  <c r="H128" i="10" s="1"/>
  <c r="G84" i="9"/>
  <c r="G273" i="8"/>
  <c r="G119" i="2"/>
  <c r="G121" i="2" s="1"/>
  <c r="G82" i="2"/>
  <c r="G86" i="2" s="1"/>
  <c r="G91" i="2" s="1"/>
  <c r="G94" i="2" s="1"/>
  <c r="G75" i="9"/>
  <c r="H82" i="2"/>
  <c r="H86" i="2" s="1"/>
  <c r="H84" i="9"/>
  <c r="H41" i="2" s="1"/>
  <c r="H273" i="8"/>
  <c r="H119" i="2"/>
  <c r="H121" i="2" s="1"/>
  <c r="L76" i="9"/>
  <c r="L80" i="9"/>
  <c r="M82" i="2"/>
  <c r="M86" i="2" s="1"/>
  <c r="M91" i="2" s="1"/>
  <c r="M94" i="2" s="1"/>
  <c r="M75" i="9"/>
  <c r="F8" i="10"/>
  <c r="F12" i="10" s="1"/>
  <c r="F7" i="10"/>
  <c r="F36" i="9"/>
  <c r="I82" i="2"/>
  <c r="I86" i="2" s="1"/>
  <c r="I75" i="9"/>
  <c r="I124" i="10"/>
  <c r="I128" i="10" s="1"/>
  <c r="I123" i="10"/>
  <c r="I122" i="9"/>
  <c r="F82" i="2"/>
  <c r="F86" i="2" s="1"/>
  <c r="F91" i="2" s="1"/>
  <c r="F94" i="2" s="1"/>
  <c r="F75" i="9"/>
  <c r="J33" i="9"/>
  <c r="J37" i="9"/>
  <c r="L96" i="2"/>
  <c r="N41" i="2"/>
  <c r="F89" i="1"/>
  <c r="E8" i="10"/>
  <c r="E12" i="10" s="1"/>
  <c r="E36" i="9"/>
  <c r="E7" i="10"/>
  <c r="K7" i="10"/>
  <c r="K8" i="10"/>
  <c r="K12" i="10" s="1"/>
  <c r="K36" i="9"/>
  <c r="E84" i="9"/>
  <c r="E41" i="2" s="1"/>
  <c r="E273" i="8"/>
  <c r="E119" i="2"/>
  <c r="E121" i="2" s="1"/>
  <c r="J84" i="9"/>
  <c r="J41" i="2" s="1"/>
  <c r="J273" i="8"/>
  <c r="J119" i="2"/>
  <c r="J121" i="2" s="1"/>
  <c r="E29" i="11"/>
  <c r="E31" i="11" s="1"/>
  <c r="K76" i="9"/>
  <c r="K80" i="9"/>
  <c r="E8" i="11" s="1"/>
  <c r="I84" i="9"/>
  <c r="I273" i="8"/>
  <c r="I119" i="2"/>
  <c r="I121" i="2" s="1"/>
  <c r="I87" i="2"/>
  <c r="H87" i="2"/>
  <c r="G162" i="10"/>
  <c r="G129" i="9"/>
  <c r="G131" i="9"/>
  <c r="G132" i="9" s="1"/>
  <c r="C126" i="1"/>
  <c r="D32" i="11"/>
  <c r="L124" i="10"/>
  <c r="L128" i="10" s="1"/>
  <c r="L123" i="10"/>
  <c r="L122" i="9"/>
  <c r="E126" i="1"/>
  <c r="F32" i="11"/>
  <c r="V106" i="1"/>
  <c r="G33" i="9"/>
  <c r="G37" i="9"/>
  <c r="N76" i="9"/>
  <c r="N80" i="9"/>
  <c r="V107" i="1"/>
  <c r="M124" i="10"/>
  <c r="M128" i="10" s="1"/>
  <c r="M123" i="10"/>
  <c r="M122" i="9"/>
  <c r="J87" i="2"/>
  <c r="L33" i="9"/>
  <c r="L37" i="9"/>
  <c r="F84" i="9"/>
  <c r="F41" i="2" s="1"/>
  <c r="F273" i="8"/>
  <c r="F119" i="2"/>
  <c r="F121" i="2" s="1"/>
  <c r="K123" i="10"/>
  <c r="K124" i="10"/>
  <c r="K128" i="10" s="1"/>
  <c r="K122" i="9"/>
  <c r="N96" i="2"/>
  <c r="J82" i="2"/>
  <c r="J86" i="2" s="1"/>
  <c r="J75" i="9"/>
  <c r="N33" i="9"/>
  <c r="N37" i="9"/>
  <c r="E82" i="2"/>
  <c r="E86" i="2" s="1"/>
  <c r="E91" i="2" s="1"/>
  <c r="E94" i="2" s="1"/>
  <c r="E75" i="9"/>
  <c r="N133" i="10" l="1"/>
  <c r="K133" i="10"/>
  <c r="D133" i="10"/>
  <c r="D144" i="10" s="1"/>
  <c r="H133" i="10"/>
  <c r="E133" i="10"/>
  <c r="J133" i="10"/>
  <c r="I133" i="10"/>
  <c r="M133" i="10"/>
  <c r="F133" i="10"/>
  <c r="D168" i="10"/>
  <c r="L133" i="10"/>
  <c r="D132" i="10"/>
  <c r="G133" i="10"/>
  <c r="D96" i="2"/>
  <c r="F162" i="10"/>
  <c r="F131" i="9"/>
  <c r="F132" i="9" s="1"/>
  <c r="F129" i="9"/>
  <c r="U103" i="1"/>
  <c r="X103" i="1"/>
  <c r="N122" i="9"/>
  <c r="N123" i="10"/>
  <c r="N124" i="10"/>
  <c r="N128" i="10" s="1"/>
  <c r="D7" i="10"/>
  <c r="D61" i="10" s="1"/>
  <c r="D8" i="10"/>
  <c r="D12" i="10" s="1"/>
  <c r="D14" i="10" s="1"/>
  <c r="D15" i="10" s="1"/>
  <c r="D36" i="9"/>
  <c r="J124" i="10"/>
  <c r="J128" i="10" s="1"/>
  <c r="J123" i="10"/>
  <c r="J122" i="9"/>
  <c r="D80" i="9"/>
  <c r="D76" i="9"/>
  <c r="D134" i="1"/>
  <c r="D257" i="8"/>
  <c r="B57" i="12" s="1"/>
  <c r="C57" i="12" s="1"/>
  <c r="E124" i="10"/>
  <c r="E128" i="10" s="1"/>
  <c r="E123" i="10"/>
  <c r="E177" i="10" s="1"/>
  <c r="E122" i="9"/>
  <c r="D129" i="9"/>
  <c r="D131" i="9"/>
  <c r="D132" i="9" s="1"/>
  <c r="D162" i="10"/>
  <c r="D163" i="10" s="1"/>
  <c r="D165" i="10" s="1"/>
  <c r="D166" i="10" s="1"/>
  <c r="E164" i="10" s="1"/>
  <c r="J91" i="2"/>
  <c r="J94" i="2" s="1"/>
  <c r="J96" i="2" s="1"/>
  <c r="N8" i="10"/>
  <c r="N12" i="10" s="1"/>
  <c r="N7" i="10"/>
  <c r="N36" i="9"/>
  <c r="F76" i="9"/>
  <c r="F80" i="9"/>
  <c r="C127" i="1"/>
  <c r="D89" i="1"/>
  <c r="I41" i="2"/>
  <c r="F96" i="2"/>
  <c r="F46" i="10"/>
  <c r="F43" i="9"/>
  <c r="F45" i="9"/>
  <c r="F46" i="9" s="1"/>
  <c r="L66" i="10"/>
  <c r="L70" i="10" s="1"/>
  <c r="L65" i="10"/>
  <c r="L79" i="9"/>
  <c r="L39" i="2"/>
  <c r="H162" i="10"/>
  <c r="H129" i="9"/>
  <c r="H131" i="9"/>
  <c r="H132" i="9" s="1"/>
  <c r="M96" i="2"/>
  <c r="N66" i="10"/>
  <c r="N70" i="10" s="1"/>
  <c r="N65" i="10"/>
  <c r="N79" i="9"/>
  <c r="N39" i="2"/>
  <c r="F87" i="1"/>
  <c r="E127" i="1"/>
  <c r="I162" i="10"/>
  <c r="I129" i="9"/>
  <c r="I131" i="9"/>
  <c r="I132" i="9" s="1"/>
  <c r="D7" i="11"/>
  <c r="D9" i="11" s="1"/>
  <c r="K46" i="10"/>
  <c r="E137" i="9"/>
  <c r="E138" i="9" s="1"/>
  <c r="C102" i="1"/>
  <c r="K43" i="9"/>
  <c r="K45" i="9"/>
  <c r="K46" i="9" s="1"/>
  <c r="H46" i="10"/>
  <c r="H43" i="9"/>
  <c r="H45" i="9"/>
  <c r="H46" i="9" s="1"/>
  <c r="F7" i="11"/>
  <c r="F9" i="11" s="1"/>
  <c r="K162" i="10"/>
  <c r="G137" i="9"/>
  <c r="G138" i="9" s="1"/>
  <c r="E102" i="1"/>
  <c r="K129" i="9"/>
  <c r="K131" i="9"/>
  <c r="K132" i="9" s="1"/>
  <c r="M162" i="10"/>
  <c r="M129" i="9"/>
  <c r="M131" i="9"/>
  <c r="M132" i="9" s="1"/>
  <c r="K66" i="10"/>
  <c r="K70" i="10" s="1"/>
  <c r="K65" i="10"/>
  <c r="K79" i="9"/>
  <c r="B68" i="12" s="1"/>
  <c r="C68" i="12" s="1"/>
  <c r="K39" i="2"/>
  <c r="E87" i="1"/>
  <c r="J7" i="10"/>
  <c r="J36" i="9"/>
  <c r="J8" i="10"/>
  <c r="J12" i="10" s="1"/>
  <c r="H76" i="9"/>
  <c r="H80" i="9"/>
  <c r="G41" i="2"/>
  <c r="C89" i="1"/>
  <c r="I46" i="10"/>
  <c r="I43" i="9"/>
  <c r="I45" i="9"/>
  <c r="I46" i="9" s="1"/>
  <c r="L7" i="10"/>
  <c r="L8" i="10"/>
  <c r="L12" i="10" s="1"/>
  <c r="L36" i="9"/>
  <c r="D126" i="1"/>
  <c r="E32" i="11"/>
  <c r="E46" i="10"/>
  <c r="E43" i="9"/>
  <c r="E45" i="9"/>
  <c r="E46" i="9" s="1"/>
  <c r="H91" i="2"/>
  <c r="H94" i="2" s="1"/>
  <c r="G8" i="10"/>
  <c r="G12" i="10" s="1"/>
  <c r="G7" i="10"/>
  <c r="G36" i="9"/>
  <c r="L162" i="10"/>
  <c r="L129" i="9"/>
  <c r="L131" i="9"/>
  <c r="L132" i="9" s="1"/>
  <c r="E76" i="9"/>
  <c r="E80" i="9"/>
  <c r="J76" i="9"/>
  <c r="J80" i="9"/>
  <c r="I76" i="9"/>
  <c r="I80" i="9"/>
  <c r="G76" i="9"/>
  <c r="G80" i="9"/>
  <c r="M8" i="10"/>
  <c r="M12" i="10" s="1"/>
  <c r="M7" i="10"/>
  <c r="M36" i="9"/>
  <c r="E96" i="2"/>
  <c r="I91" i="2"/>
  <c r="I94" i="2" s="1"/>
  <c r="M76" i="9"/>
  <c r="M80" i="9"/>
  <c r="G96" i="2"/>
  <c r="J162" i="10" l="1"/>
  <c r="J129" i="9"/>
  <c r="J131" i="9"/>
  <c r="J132" i="9" s="1"/>
  <c r="N129" i="9"/>
  <c r="N131" i="9"/>
  <c r="N132" i="9" s="1"/>
  <c r="N162" i="10"/>
  <c r="E131" i="9"/>
  <c r="E132" i="9" s="1"/>
  <c r="E162" i="10"/>
  <c r="E129" i="9"/>
  <c r="X104" i="1"/>
  <c r="U104" i="1"/>
  <c r="E127" i="10"/>
  <c r="E129" i="10"/>
  <c r="E130" i="10" s="1"/>
  <c r="D66" i="10"/>
  <c r="D70" i="10" s="1"/>
  <c r="D72" i="10" s="1"/>
  <c r="D73" i="10" s="1"/>
  <c r="D65" i="10"/>
  <c r="D119" i="10" s="1"/>
  <c r="D79" i="9"/>
  <c r="D39" i="2"/>
  <c r="D46" i="10"/>
  <c r="D47" i="10" s="1"/>
  <c r="D49" i="10" s="1"/>
  <c r="D50" i="10" s="1"/>
  <c r="E48" i="10" s="1"/>
  <c r="D43" i="9"/>
  <c r="D45" i="9"/>
  <c r="D46" i="9" s="1"/>
  <c r="E17" i="10"/>
  <c r="D52" i="10"/>
  <c r="K17" i="10"/>
  <c r="N17" i="10"/>
  <c r="D16" i="10"/>
  <c r="J17" i="10"/>
  <c r="D17" i="10"/>
  <c r="D28" i="10" s="1"/>
  <c r="L17" i="10"/>
  <c r="M17" i="10"/>
  <c r="H17" i="10"/>
  <c r="I17" i="10"/>
  <c r="F17" i="10"/>
  <c r="G17" i="10"/>
  <c r="I96" i="2"/>
  <c r="M46" i="10"/>
  <c r="M43" i="9"/>
  <c r="M45" i="9"/>
  <c r="M46" i="9" s="1"/>
  <c r="G143" i="9"/>
  <c r="E103" i="1"/>
  <c r="N46" i="10"/>
  <c r="N43" i="9"/>
  <c r="N45" i="9"/>
  <c r="N46" i="9" s="1"/>
  <c r="H65" i="10"/>
  <c r="H66" i="10"/>
  <c r="H70" i="10" s="1"/>
  <c r="H79" i="9"/>
  <c r="H39" i="2"/>
  <c r="M66" i="10"/>
  <c r="M70" i="10" s="1"/>
  <c r="M65" i="10"/>
  <c r="M79" i="9"/>
  <c r="M39" i="2"/>
  <c r="I66" i="10"/>
  <c r="I70" i="10" s="1"/>
  <c r="I65" i="10"/>
  <c r="I79" i="9"/>
  <c r="D87" i="1"/>
  <c r="I39" i="2"/>
  <c r="J66" i="10"/>
  <c r="J70" i="10" s="1"/>
  <c r="J65" i="10"/>
  <c r="J79" i="9"/>
  <c r="J39" i="2"/>
  <c r="H96" i="2"/>
  <c r="L46" i="10"/>
  <c r="L43" i="9"/>
  <c r="L45" i="9"/>
  <c r="L46" i="9" s="1"/>
  <c r="J46" i="10"/>
  <c r="J43" i="9"/>
  <c r="J45" i="9"/>
  <c r="J46" i="9" s="1"/>
  <c r="E142" i="9"/>
  <c r="F43" i="11"/>
  <c r="F46" i="11"/>
  <c r="F37" i="11"/>
  <c r="F38" i="11" s="1"/>
  <c r="F42" i="11"/>
  <c r="N104" i="10"/>
  <c r="N40" i="2"/>
  <c r="F88" i="1"/>
  <c r="G19" i="1"/>
  <c r="N70" i="2"/>
  <c r="N65" i="2"/>
  <c r="N69" i="2"/>
  <c r="N63" i="2"/>
  <c r="N66" i="2"/>
  <c r="N64" i="2"/>
  <c r="N68" i="2"/>
  <c r="N67" i="2"/>
  <c r="N86" i="9"/>
  <c r="N88" i="9"/>
  <c r="N97" i="2"/>
  <c r="E143" i="9"/>
  <c r="C103" i="1"/>
  <c r="L104" i="10"/>
  <c r="L40" i="2"/>
  <c r="L63" i="2"/>
  <c r="L70" i="2"/>
  <c r="L68" i="2"/>
  <c r="L67" i="2"/>
  <c r="L69" i="2"/>
  <c r="L66" i="2"/>
  <c r="L64" i="2"/>
  <c r="L65" i="2"/>
  <c r="L86" i="9"/>
  <c r="L88" i="9"/>
  <c r="L89" i="9" s="1"/>
  <c r="L97" i="2"/>
  <c r="E66" i="10"/>
  <c r="E70" i="10" s="1"/>
  <c r="E65" i="10"/>
  <c r="E79" i="9"/>
  <c r="E39" i="2"/>
  <c r="G65" i="10"/>
  <c r="G66" i="10"/>
  <c r="G70" i="10" s="1"/>
  <c r="G79" i="9"/>
  <c r="C87" i="1"/>
  <c r="G39" i="2"/>
  <c r="D167" i="10"/>
  <c r="D171" i="10" s="1"/>
  <c r="D37" i="11"/>
  <c r="D38" i="11" s="1"/>
  <c r="D43" i="11"/>
  <c r="D46" i="11"/>
  <c r="D42" i="11"/>
  <c r="D127" i="1"/>
  <c r="G142" i="9"/>
  <c r="F65" i="10"/>
  <c r="F66" i="10"/>
  <c r="F70" i="10" s="1"/>
  <c r="F79" i="9"/>
  <c r="F39" i="2"/>
  <c r="G46" i="10"/>
  <c r="G43" i="9"/>
  <c r="G45" i="9"/>
  <c r="G46" i="9" s="1"/>
  <c r="E7" i="11"/>
  <c r="E9" i="11" s="1"/>
  <c r="B28" i="12"/>
  <c r="C28" i="12" s="1"/>
  <c r="K104" i="10"/>
  <c r="F137" i="9"/>
  <c r="F138" i="9" s="1"/>
  <c r="K40" i="2"/>
  <c r="C98" i="1"/>
  <c r="E98" i="1" s="1"/>
  <c r="C120" i="1"/>
  <c r="V109" i="1"/>
  <c r="D145" i="2"/>
  <c r="C19" i="2"/>
  <c r="C20" i="2" s="1"/>
  <c r="D143" i="2"/>
  <c r="D102" i="1"/>
  <c r="C34" i="1"/>
  <c r="C35" i="1" s="1"/>
  <c r="E88" i="1"/>
  <c r="F19" i="1"/>
  <c r="K69" i="2"/>
  <c r="K66" i="2"/>
  <c r="K68" i="2"/>
  <c r="K64" i="2"/>
  <c r="K70" i="2"/>
  <c r="K63" i="2"/>
  <c r="K65" i="2"/>
  <c r="K67" i="2"/>
  <c r="K86" i="9"/>
  <c r="K88" i="9"/>
  <c r="K97" i="2"/>
  <c r="D156" i="2" s="1"/>
  <c r="D51" i="10"/>
  <c r="D55" i="10" s="1"/>
  <c r="L75" i="10" l="1"/>
  <c r="D74" i="10"/>
  <c r="F75" i="10"/>
  <c r="M75" i="10"/>
  <c r="J75" i="10"/>
  <c r="I75" i="10"/>
  <c r="N75" i="10"/>
  <c r="D75" i="10"/>
  <c r="D86" i="10" s="1"/>
  <c r="E71" i="10" s="1"/>
  <c r="E72" i="10" s="1"/>
  <c r="G75" i="10"/>
  <c r="H75" i="10"/>
  <c r="E75" i="10"/>
  <c r="B6" i="12"/>
  <c r="C6" i="12" s="1"/>
  <c r="K75" i="10"/>
  <c r="D110" i="10"/>
  <c r="D101" i="2" s="1"/>
  <c r="E131" i="10"/>
  <c r="D40" i="2"/>
  <c r="D69" i="2"/>
  <c r="D86" i="9"/>
  <c r="D64" i="2"/>
  <c r="D66" i="2"/>
  <c r="D88" i="9"/>
  <c r="D89" i="9" s="1"/>
  <c r="D65" i="2"/>
  <c r="D70" i="2"/>
  <c r="D68" i="2"/>
  <c r="D63" i="2"/>
  <c r="D104" i="10"/>
  <c r="D105" i="10" s="1"/>
  <c r="D67" i="2"/>
  <c r="D97" i="2"/>
  <c r="E13" i="10"/>
  <c r="E14" i="10" s="1"/>
  <c r="E11" i="10"/>
  <c r="E15" i="10" s="1"/>
  <c r="K18" i="10" s="1"/>
  <c r="U105" i="1"/>
  <c r="X105" i="1"/>
  <c r="E119" i="10"/>
  <c r="I104" i="10"/>
  <c r="D88" i="1"/>
  <c r="E19" i="1"/>
  <c r="I40" i="2"/>
  <c r="I65" i="2"/>
  <c r="I64" i="2"/>
  <c r="I69" i="2"/>
  <c r="I66" i="2"/>
  <c r="I70" i="2"/>
  <c r="I68" i="2"/>
  <c r="I63" i="2"/>
  <c r="I67" i="2"/>
  <c r="I86" i="9"/>
  <c r="I88" i="9"/>
  <c r="D44" i="11"/>
  <c r="C129" i="1" s="1"/>
  <c r="D49" i="11"/>
  <c r="C128" i="1"/>
  <c r="E43" i="11"/>
  <c r="E46" i="11"/>
  <c r="E37" i="11"/>
  <c r="E42" i="11"/>
  <c r="O182" i="10"/>
  <c r="N182" i="10"/>
  <c r="M182" i="10"/>
  <c r="L182" i="10"/>
  <c r="G104" i="10"/>
  <c r="C88" i="1"/>
  <c r="D19" i="1"/>
  <c r="G40" i="2"/>
  <c r="G63" i="2"/>
  <c r="G65" i="2"/>
  <c r="G69" i="2"/>
  <c r="G68" i="2"/>
  <c r="G70" i="2"/>
  <c r="G64" i="2"/>
  <c r="G66" i="2"/>
  <c r="G67" i="2"/>
  <c r="G86" i="9"/>
  <c r="G88" i="9"/>
  <c r="G97" i="2"/>
  <c r="M18" i="10"/>
  <c r="E18" i="10"/>
  <c r="E28" i="10" s="1"/>
  <c r="F18" i="10"/>
  <c r="N18" i="10"/>
  <c r="L18" i="10"/>
  <c r="H18" i="10"/>
  <c r="E16" i="10"/>
  <c r="E52" i="10"/>
  <c r="J104" i="10"/>
  <c r="J40" i="2"/>
  <c r="J68" i="2"/>
  <c r="J67" i="2"/>
  <c r="J64" i="2"/>
  <c r="J66" i="2"/>
  <c r="J70" i="2"/>
  <c r="J63" i="2"/>
  <c r="J65" i="2"/>
  <c r="J69" i="2"/>
  <c r="J86" i="9"/>
  <c r="J88" i="9"/>
  <c r="J89" i="9" s="1"/>
  <c r="J97" i="2"/>
  <c r="F143" i="9"/>
  <c r="D103" i="1"/>
  <c r="F142" i="9"/>
  <c r="D149" i="2"/>
  <c r="H104" i="10"/>
  <c r="H40" i="2"/>
  <c r="H66" i="2"/>
  <c r="H69" i="2"/>
  <c r="H63" i="2"/>
  <c r="H68" i="2"/>
  <c r="H64" i="2"/>
  <c r="H70" i="2"/>
  <c r="H65" i="2"/>
  <c r="H67" i="2"/>
  <c r="H86" i="9"/>
  <c r="H88" i="9"/>
  <c r="H89" i="9" s="1"/>
  <c r="L71" i="2"/>
  <c r="L72" i="2" s="1"/>
  <c r="N71" i="2"/>
  <c r="N72" i="2" s="1"/>
  <c r="F49" i="11"/>
  <c r="F44" i="11"/>
  <c r="E129" i="1" s="1"/>
  <c r="E128" i="1"/>
  <c r="K182" i="10"/>
  <c r="J182" i="10"/>
  <c r="I182" i="10"/>
  <c r="H182" i="10"/>
  <c r="F104" i="10"/>
  <c r="F40" i="2"/>
  <c r="F68" i="2"/>
  <c r="F65" i="2"/>
  <c r="F64" i="2"/>
  <c r="F66" i="2"/>
  <c r="F70" i="2"/>
  <c r="F63" i="2"/>
  <c r="F67" i="2"/>
  <c r="F69" i="2"/>
  <c r="F86" i="9"/>
  <c r="F88" i="9"/>
  <c r="F89" i="9" s="1"/>
  <c r="F97" i="2"/>
  <c r="M104" i="10"/>
  <c r="M40" i="2"/>
  <c r="M64" i="2"/>
  <c r="M63" i="2"/>
  <c r="M68" i="2"/>
  <c r="M69" i="2"/>
  <c r="M66" i="2"/>
  <c r="M65" i="2"/>
  <c r="M70" i="2"/>
  <c r="M67" i="2"/>
  <c r="M86" i="9"/>
  <c r="M88" i="9"/>
  <c r="M89" i="9" s="1"/>
  <c r="M97" i="2"/>
  <c r="D172" i="10"/>
  <c r="D173" i="10" s="1"/>
  <c r="B65" i="12"/>
  <c r="C65" i="12" s="1"/>
  <c r="K89" i="9"/>
  <c r="D152" i="2" s="1"/>
  <c r="F20" i="1"/>
  <c r="D151" i="2"/>
  <c r="K71" i="2"/>
  <c r="K72" i="2" s="1"/>
  <c r="D155" i="2" s="1"/>
  <c r="D56" i="10"/>
  <c r="D57" i="10" s="1"/>
  <c r="G182" i="10"/>
  <c r="F182" i="10"/>
  <c r="D182" i="10"/>
  <c r="E104" i="10"/>
  <c r="E182" i="10"/>
  <c r="E40" i="2"/>
  <c r="E63" i="2"/>
  <c r="E69" i="2"/>
  <c r="E68" i="2"/>
  <c r="E66" i="2"/>
  <c r="E64" i="2"/>
  <c r="E65" i="2"/>
  <c r="E70" i="2"/>
  <c r="E67" i="2"/>
  <c r="E86" i="9"/>
  <c r="E88" i="9"/>
  <c r="E89" i="9" s="1"/>
  <c r="E97" i="2"/>
  <c r="N89" i="9"/>
  <c r="G20" i="1"/>
  <c r="H97" i="2"/>
  <c r="I97" i="2"/>
  <c r="I18" i="10" l="1"/>
  <c r="G18" i="10"/>
  <c r="J18" i="10"/>
  <c r="E69" i="10"/>
  <c r="E73" i="10" s="1"/>
  <c r="J134" i="10"/>
  <c r="H134" i="10"/>
  <c r="N134" i="10"/>
  <c r="F134" i="10"/>
  <c r="E134" i="10"/>
  <c r="E144" i="10" s="1"/>
  <c r="E132" i="10"/>
  <c r="M134" i="10"/>
  <c r="E168" i="10"/>
  <c r="I134" i="10"/>
  <c r="G134" i="10"/>
  <c r="K134" i="10"/>
  <c r="E145" i="10"/>
  <c r="L134" i="10"/>
  <c r="X106" i="1"/>
  <c r="U106" i="1"/>
  <c r="D107" i="10"/>
  <c r="D108" i="10" s="1"/>
  <c r="E106" i="10" s="1"/>
  <c r="D71" i="2"/>
  <c r="D72" i="2" s="1"/>
  <c r="E54" i="10"/>
  <c r="D59" i="10"/>
  <c r="E170" i="10"/>
  <c r="D175" i="10"/>
  <c r="B53" i="12"/>
  <c r="C53" i="12" s="1"/>
  <c r="E38" i="11"/>
  <c r="I89" i="9"/>
  <c r="E20" i="1"/>
  <c r="M71" i="2"/>
  <c r="M72" i="2" s="1"/>
  <c r="F13" i="10"/>
  <c r="F14" i="10" s="1"/>
  <c r="E30" i="10"/>
  <c r="E61" i="10"/>
  <c r="F11" i="10"/>
  <c r="F15" i="10" s="1"/>
  <c r="I71" i="2"/>
  <c r="I72" i="2" s="1"/>
  <c r="E71" i="2"/>
  <c r="E72" i="2" s="1"/>
  <c r="D90" i="11"/>
  <c r="D174" i="10"/>
  <c r="G89" i="9"/>
  <c r="D20" i="1"/>
  <c r="F71" i="2"/>
  <c r="F72" i="2" s="1"/>
  <c r="J71" i="2"/>
  <c r="J72" i="2" s="1"/>
  <c r="G71" i="2"/>
  <c r="G72" i="2" s="1"/>
  <c r="D88" i="11"/>
  <c r="D58" i="10"/>
  <c r="F45" i="11"/>
  <c r="E130" i="1" s="1"/>
  <c r="H71" i="2"/>
  <c r="H72" i="2" s="1"/>
  <c r="E29" i="10"/>
  <c r="E49" i="11"/>
  <c r="E44" i="11"/>
  <c r="D129" i="1" s="1"/>
  <c r="D128" i="1"/>
  <c r="C43" i="1"/>
  <c r="D45" i="11"/>
  <c r="C130" i="1" s="1"/>
  <c r="J76" i="10" l="1"/>
  <c r="G76" i="10"/>
  <c r="K76" i="10"/>
  <c r="F76" i="10"/>
  <c r="N76" i="10"/>
  <c r="L76" i="10"/>
  <c r="D109" i="10"/>
  <c r="D113" i="10" s="1"/>
  <c r="D114" i="10" s="1"/>
  <c r="X107" i="1"/>
  <c r="U107" i="1"/>
  <c r="M76" i="10"/>
  <c r="E74" i="10"/>
  <c r="E76" i="10"/>
  <c r="E86" i="10" s="1"/>
  <c r="E87" i="10" s="1"/>
  <c r="G185" i="10" s="1"/>
  <c r="F127" i="10"/>
  <c r="F129" i="10"/>
  <c r="F130" i="10" s="1"/>
  <c r="E146" i="10"/>
  <c r="E110" i="10"/>
  <c r="E184" i="10" s="1"/>
  <c r="H76" i="10"/>
  <c r="I76" i="10"/>
  <c r="F185" i="10"/>
  <c r="D185" i="10"/>
  <c r="L19" i="10"/>
  <c r="J19" i="10"/>
  <c r="N19" i="10"/>
  <c r="M19" i="10"/>
  <c r="K19" i="10"/>
  <c r="I19" i="10"/>
  <c r="H19" i="10"/>
  <c r="G19" i="10"/>
  <c r="F19" i="10"/>
  <c r="F28" i="10" s="1"/>
  <c r="F16" i="10"/>
  <c r="F52" i="10"/>
  <c r="E45" i="11"/>
  <c r="E60" i="10"/>
  <c r="E62" i="10"/>
  <c r="E47" i="10"/>
  <c r="E185" i="10" l="1"/>
  <c r="E101" i="2"/>
  <c r="F131" i="10"/>
  <c r="F69" i="10"/>
  <c r="E88" i="10"/>
  <c r="E120" i="10" s="1"/>
  <c r="D89" i="11"/>
  <c r="D116" i="10"/>
  <c r="D103" i="2"/>
  <c r="D106" i="2"/>
  <c r="E176" i="10"/>
  <c r="E178" i="10"/>
  <c r="E163" i="10"/>
  <c r="F71" i="10"/>
  <c r="F72" i="10" s="1"/>
  <c r="F73" i="10" s="1"/>
  <c r="D115" i="10"/>
  <c r="X108" i="1"/>
  <c r="V111" i="1" s="1"/>
  <c r="U108" i="1"/>
  <c r="G13" i="10"/>
  <c r="G14" i="10" s="1"/>
  <c r="F61" i="10"/>
  <c r="G11" i="10"/>
  <c r="F30" i="10"/>
  <c r="B54" i="12"/>
  <c r="C54" i="12" s="1"/>
  <c r="C47" i="1"/>
  <c r="D130" i="1"/>
  <c r="E49" i="10"/>
  <c r="E50" i="10" s="1"/>
  <c r="F48" i="10" s="1"/>
  <c r="F29" i="10"/>
  <c r="E105" i="10" l="1"/>
  <c r="E118" i="10"/>
  <c r="D104" i="2"/>
  <c r="D45" i="2"/>
  <c r="D186" i="10"/>
  <c r="E112" i="10"/>
  <c r="D117" i="10"/>
  <c r="D44" i="2" s="1"/>
  <c r="G15" i="10"/>
  <c r="L20" i="10" s="1"/>
  <c r="E165" i="10"/>
  <c r="E166" i="10" s="1"/>
  <c r="F164" i="10" s="1"/>
  <c r="E167" i="10"/>
  <c r="E171" i="10" s="1"/>
  <c r="E172" i="10" s="1"/>
  <c r="E90" i="11" s="1"/>
  <c r="F135" i="10"/>
  <c r="F144" i="10" s="1"/>
  <c r="I135" i="10"/>
  <c r="N135" i="10"/>
  <c r="J135" i="10"/>
  <c r="H135" i="10"/>
  <c r="G135" i="10"/>
  <c r="M135" i="10"/>
  <c r="L135" i="10"/>
  <c r="F168" i="10"/>
  <c r="K135" i="10"/>
  <c r="F132" i="10"/>
  <c r="F145" i="10"/>
  <c r="E107" i="10"/>
  <c r="E108" i="10" s="1"/>
  <c r="F106" i="10" s="1"/>
  <c r="E51" i="10"/>
  <c r="E55" i="10" s="1"/>
  <c r="H77" i="10"/>
  <c r="G77" i="10"/>
  <c r="M77" i="10"/>
  <c r="N77" i="10"/>
  <c r="L77" i="10"/>
  <c r="K77" i="10"/>
  <c r="I77" i="10"/>
  <c r="F77" i="10"/>
  <c r="F86" i="10" s="1"/>
  <c r="J77" i="10"/>
  <c r="F74" i="10"/>
  <c r="F110" i="10"/>
  <c r="F60" i="10"/>
  <c r="F62" i="10"/>
  <c r="F47" i="10"/>
  <c r="M20" i="10" l="1"/>
  <c r="N20" i="10"/>
  <c r="G16" i="10"/>
  <c r="E174" i="10"/>
  <c r="H20" i="10"/>
  <c r="G20" i="10"/>
  <c r="G28" i="10" s="1"/>
  <c r="G29" i="10" s="1"/>
  <c r="I20" i="10"/>
  <c r="J20" i="10"/>
  <c r="K20" i="10"/>
  <c r="E173" i="10"/>
  <c r="F170" i="10" s="1"/>
  <c r="G52" i="10"/>
  <c r="G129" i="10"/>
  <c r="G130" i="10" s="1"/>
  <c r="F177" i="10"/>
  <c r="G127" i="10"/>
  <c r="F146" i="10"/>
  <c r="E109" i="10"/>
  <c r="G71" i="10"/>
  <c r="G72" i="10" s="1"/>
  <c r="F119" i="10"/>
  <c r="G69" i="10"/>
  <c r="G73" i="10" s="1"/>
  <c r="F88" i="10"/>
  <c r="E56" i="10"/>
  <c r="F87" i="10"/>
  <c r="F49" i="10"/>
  <c r="F50" i="10" s="1"/>
  <c r="G48" i="10" s="1"/>
  <c r="F51" i="10"/>
  <c r="I184" i="10"/>
  <c r="F101" i="2"/>
  <c r="G131" i="10" l="1"/>
  <c r="H11" i="10"/>
  <c r="H13" i="10"/>
  <c r="H14" i="10" s="1"/>
  <c r="F176" i="10"/>
  <c r="F163" i="10"/>
  <c r="F178" i="10"/>
  <c r="J136" i="10"/>
  <c r="L136" i="10"/>
  <c r="G168" i="10"/>
  <c r="H136" i="10"/>
  <c r="N136" i="10"/>
  <c r="K136" i="10"/>
  <c r="M136" i="10"/>
  <c r="G132" i="10"/>
  <c r="G136" i="10"/>
  <c r="G144" i="10" s="1"/>
  <c r="G145" i="10" s="1"/>
  <c r="I136" i="10"/>
  <c r="E175" i="10"/>
  <c r="G30" i="10"/>
  <c r="G60" i="10" s="1"/>
  <c r="G61" i="10"/>
  <c r="G47" i="10"/>
  <c r="F118" i="10"/>
  <c r="F120" i="10"/>
  <c r="F105" i="10"/>
  <c r="D183" i="10"/>
  <c r="D187" i="10" s="1"/>
  <c r="F183" i="10"/>
  <c r="G183" i="10"/>
  <c r="E113" i="10"/>
  <c r="E183" i="10"/>
  <c r="M78" i="10"/>
  <c r="L78" i="10"/>
  <c r="J78" i="10"/>
  <c r="N78" i="10"/>
  <c r="K78" i="10"/>
  <c r="I78" i="10"/>
  <c r="G78" i="10"/>
  <c r="G86" i="10" s="1"/>
  <c r="G87" i="10" s="1"/>
  <c r="H78" i="10"/>
  <c r="G110" i="10"/>
  <c r="G74" i="10"/>
  <c r="E88" i="11"/>
  <c r="E58" i="10"/>
  <c r="K185" i="10"/>
  <c r="J185" i="10"/>
  <c r="H185" i="10"/>
  <c r="I185" i="10"/>
  <c r="E57" i="10"/>
  <c r="H15" i="10" l="1"/>
  <c r="G62" i="10"/>
  <c r="F165" i="10"/>
  <c r="F166" i="10" s="1"/>
  <c r="G164" i="10" s="1"/>
  <c r="H127" i="10"/>
  <c r="H129" i="10"/>
  <c r="H130" i="10" s="1"/>
  <c r="G177" i="10"/>
  <c r="G146" i="10"/>
  <c r="M185" i="10"/>
  <c r="O185" i="10"/>
  <c r="N185" i="10"/>
  <c r="L185" i="10"/>
  <c r="E114" i="10"/>
  <c r="M184" i="10"/>
  <c r="G101" i="2"/>
  <c r="H71" i="10"/>
  <c r="H72" i="10" s="1"/>
  <c r="H69" i="10"/>
  <c r="H73" i="10" s="1"/>
  <c r="G119" i="10"/>
  <c r="G88" i="10"/>
  <c r="D188" i="10"/>
  <c r="D189" i="10"/>
  <c r="G49" i="10"/>
  <c r="G50" i="10" s="1"/>
  <c r="H48" i="10" s="1"/>
  <c r="F54" i="10"/>
  <c r="F55" i="10" s="1"/>
  <c r="E59" i="10"/>
  <c r="F107" i="10"/>
  <c r="F108" i="10" s="1"/>
  <c r="G106" i="10" s="1"/>
  <c r="H131" i="10" l="1"/>
  <c r="N137" i="10" s="1"/>
  <c r="K21" i="10"/>
  <c r="H21" i="10"/>
  <c r="H28" i="10" s="1"/>
  <c r="H16" i="10"/>
  <c r="J21" i="10"/>
  <c r="I21" i="10"/>
  <c r="N21" i="10"/>
  <c r="L21" i="10"/>
  <c r="M21" i="10"/>
  <c r="H52" i="10"/>
  <c r="H29" i="10"/>
  <c r="G51" i="10"/>
  <c r="H168" i="10"/>
  <c r="M137" i="10"/>
  <c r="J137" i="10"/>
  <c r="K137" i="10"/>
  <c r="F167" i="10"/>
  <c r="F171" i="10" s="1"/>
  <c r="F172" i="10" s="1"/>
  <c r="G178" i="10"/>
  <c r="G163" i="10"/>
  <c r="G176" i="10"/>
  <c r="E89" i="11"/>
  <c r="E106" i="2"/>
  <c r="E103" i="2"/>
  <c r="E116" i="10"/>
  <c r="F56" i="10"/>
  <c r="G118" i="10"/>
  <c r="G120" i="10"/>
  <c r="G105" i="10"/>
  <c r="J79" i="10"/>
  <c r="I79" i="10"/>
  <c r="N79" i="10"/>
  <c r="M79" i="10"/>
  <c r="L79" i="10"/>
  <c r="K79" i="10"/>
  <c r="H79" i="10"/>
  <c r="H86" i="10" s="1"/>
  <c r="H110" i="10"/>
  <c r="H101" i="2" s="1"/>
  <c r="H74" i="10"/>
  <c r="B9" i="12"/>
  <c r="C9" i="12" s="1"/>
  <c r="F109" i="10"/>
  <c r="E186" i="10"/>
  <c r="E187" i="10" s="1"/>
  <c r="E115" i="10"/>
  <c r="H132" i="10" l="1"/>
  <c r="H137" i="10"/>
  <c r="H144" i="10" s="1"/>
  <c r="I137" i="10"/>
  <c r="L137" i="10"/>
  <c r="I13" i="10"/>
  <c r="I14" i="10" s="1"/>
  <c r="I11" i="10"/>
  <c r="I15" i="10" s="1"/>
  <c r="J22" i="10" s="1"/>
  <c r="H61" i="10"/>
  <c r="H30" i="10"/>
  <c r="G165" i="10"/>
  <c r="G166" i="10" s="1"/>
  <c r="H164" i="10" s="1"/>
  <c r="F173" i="10"/>
  <c r="F90" i="11"/>
  <c r="F174" i="10"/>
  <c r="I129" i="10"/>
  <c r="I130" i="10" s="1"/>
  <c r="I127" i="10"/>
  <c r="I131" i="10" s="1"/>
  <c r="H177" i="10"/>
  <c r="H145" i="10"/>
  <c r="H146" i="10"/>
  <c r="F88" i="11"/>
  <c r="F58" i="10"/>
  <c r="I71" i="10"/>
  <c r="I72" i="10" s="1"/>
  <c r="H119" i="10"/>
  <c r="I69" i="10"/>
  <c r="H88" i="10"/>
  <c r="F57" i="10"/>
  <c r="F112" i="10"/>
  <c r="F113" i="10" s="1"/>
  <c r="E117" i="10"/>
  <c r="E44" i="2" s="1"/>
  <c r="G107" i="10"/>
  <c r="G108" i="10" s="1"/>
  <c r="H106" i="10" s="1"/>
  <c r="E104" i="2"/>
  <c r="E45" i="2"/>
  <c r="K22" i="10"/>
  <c r="I22" i="10"/>
  <c r="I28" i="10" s="1"/>
  <c r="I29" i="10" s="1"/>
  <c r="L22" i="10"/>
  <c r="N22" i="10"/>
  <c r="M22" i="10"/>
  <c r="I52" i="10"/>
  <c r="I16" i="10"/>
  <c r="H87" i="10"/>
  <c r="E188" i="10"/>
  <c r="E189" i="10" s="1"/>
  <c r="K183" i="10"/>
  <c r="J183" i="10"/>
  <c r="I183" i="10"/>
  <c r="H183" i="10"/>
  <c r="H60" i="10" l="1"/>
  <c r="H62" i="10"/>
  <c r="H47" i="10"/>
  <c r="H49" i="10" s="1"/>
  <c r="H50" i="10" s="1"/>
  <c r="I48" i="10" s="1"/>
  <c r="I132" i="10"/>
  <c r="I168" i="10"/>
  <c r="M138" i="10"/>
  <c r="L138" i="10"/>
  <c r="I138" i="10"/>
  <c r="I144" i="10" s="1"/>
  <c r="N138" i="10"/>
  <c r="K138" i="10"/>
  <c r="J138" i="10"/>
  <c r="G170" i="10"/>
  <c r="F175" i="10"/>
  <c r="H176" i="10"/>
  <c r="H178" i="10"/>
  <c r="H163" i="10"/>
  <c r="G167" i="10"/>
  <c r="G109" i="10"/>
  <c r="H51" i="10"/>
  <c r="G54" i="10"/>
  <c r="G55" i="10" s="1"/>
  <c r="F59" i="10"/>
  <c r="F186" i="10"/>
  <c r="F187" i="10" s="1"/>
  <c r="J13" i="10"/>
  <c r="J14" i="10" s="1"/>
  <c r="I61" i="10"/>
  <c r="J11" i="10"/>
  <c r="I30" i="10"/>
  <c r="H118" i="10"/>
  <c r="H120" i="10"/>
  <c r="H105" i="10"/>
  <c r="F114" i="10"/>
  <c r="F115" i="10" s="1"/>
  <c r="I73" i="10"/>
  <c r="J15" i="10" l="1"/>
  <c r="H165" i="10"/>
  <c r="H166" i="10" s="1"/>
  <c r="I164" i="10" s="1"/>
  <c r="H167" i="10"/>
  <c r="J129" i="10"/>
  <c r="J130" i="10" s="1"/>
  <c r="I146" i="10"/>
  <c r="J127" i="10"/>
  <c r="J131" i="10" s="1"/>
  <c r="I177" i="10"/>
  <c r="G171" i="10"/>
  <c r="I145" i="10"/>
  <c r="G112" i="10"/>
  <c r="G113" i="10" s="1"/>
  <c r="F117" i="10"/>
  <c r="F44" i="2" s="1"/>
  <c r="F188" i="10"/>
  <c r="F189" i="10" s="1"/>
  <c r="N23" i="10"/>
  <c r="M23" i="10"/>
  <c r="L23" i="10"/>
  <c r="K23" i="10"/>
  <c r="J23" i="10"/>
  <c r="J28" i="10" s="1"/>
  <c r="J52" i="10"/>
  <c r="J16" i="10"/>
  <c r="L183" i="10"/>
  <c r="O183" i="10"/>
  <c r="M183" i="10"/>
  <c r="N183" i="10"/>
  <c r="F89" i="11"/>
  <c r="F103" i="2"/>
  <c r="F106" i="2"/>
  <c r="F116" i="10"/>
  <c r="G56" i="10"/>
  <c r="G57" i="10" s="1"/>
  <c r="J29" i="10"/>
  <c r="H107" i="10"/>
  <c r="H108" i="10" s="1"/>
  <c r="I106" i="10" s="1"/>
  <c r="N80" i="10"/>
  <c r="L80" i="10"/>
  <c r="M80" i="10"/>
  <c r="K80" i="10"/>
  <c r="J80" i="10"/>
  <c r="I80" i="10"/>
  <c r="I86" i="10" s="1"/>
  <c r="I74" i="10"/>
  <c r="I110" i="10"/>
  <c r="I101" i="2" s="1"/>
  <c r="I87" i="10"/>
  <c r="I60" i="10"/>
  <c r="I62" i="10"/>
  <c r="I47" i="10"/>
  <c r="G172" i="10" l="1"/>
  <c r="J168" i="10"/>
  <c r="K139" i="10"/>
  <c r="M139" i="10"/>
  <c r="J132" i="10"/>
  <c r="L139" i="10"/>
  <c r="J139" i="10"/>
  <c r="J144" i="10" s="1"/>
  <c r="N139" i="10"/>
  <c r="I178" i="10"/>
  <c r="I176" i="10"/>
  <c r="I163" i="10"/>
  <c r="H109" i="10"/>
  <c r="J71" i="10"/>
  <c r="J72" i="10" s="1"/>
  <c r="I119" i="10"/>
  <c r="J69" i="10"/>
  <c r="I88" i="10"/>
  <c r="G88" i="11"/>
  <c r="G58" i="10"/>
  <c r="K13" i="10"/>
  <c r="K14" i="10" s="1"/>
  <c r="K11" i="10"/>
  <c r="J61" i="10"/>
  <c r="J30" i="10"/>
  <c r="G186" i="10"/>
  <c r="G187" i="10" s="1"/>
  <c r="I49" i="10"/>
  <c r="I50" i="10" s="1"/>
  <c r="J48" i="10" s="1"/>
  <c r="H54" i="10"/>
  <c r="H55" i="10" s="1"/>
  <c r="G59" i="10"/>
  <c r="F104" i="2"/>
  <c r="F45" i="2"/>
  <c r="G114" i="10"/>
  <c r="I51" i="10" l="1"/>
  <c r="K129" i="10"/>
  <c r="K130" i="10" s="1"/>
  <c r="K127" i="10"/>
  <c r="K131" i="10" s="1"/>
  <c r="J146" i="10"/>
  <c r="J177" i="10"/>
  <c r="J145" i="10"/>
  <c r="G90" i="11"/>
  <c r="G174" i="10"/>
  <c r="I165" i="10"/>
  <c r="I166" i="10" s="1"/>
  <c r="J164" i="10" s="1"/>
  <c r="I167" i="10"/>
  <c r="G173" i="10"/>
  <c r="G89" i="11"/>
  <c r="G106" i="2"/>
  <c r="G103" i="2"/>
  <c r="G188" i="10"/>
  <c r="G189" i="10" s="1"/>
  <c r="G115" i="10"/>
  <c r="J62" i="10"/>
  <c r="J60" i="10"/>
  <c r="J47" i="10"/>
  <c r="G116" i="10"/>
  <c r="K15" i="10"/>
  <c r="I118" i="10"/>
  <c r="I120" i="10"/>
  <c r="I105" i="10"/>
  <c r="H56" i="10"/>
  <c r="H58" i="10" s="1"/>
  <c r="J73" i="10"/>
  <c r="H170" i="10" l="1"/>
  <c r="H171" i="10" s="1"/>
  <c r="G175" i="10"/>
  <c r="J163" i="10"/>
  <c r="J176" i="10"/>
  <c r="J178" i="10"/>
  <c r="N140" i="10"/>
  <c r="L140" i="10"/>
  <c r="K140" i="10"/>
  <c r="K144" i="10" s="1"/>
  <c r="M140" i="10"/>
  <c r="K168" i="10"/>
  <c r="K132" i="10"/>
  <c r="H57" i="10"/>
  <c r="I54" i="10" s="1"/>
  <c r="I55" i="10" s="1"/>
  <c r="J49" i="10"/>
  <c r="J50" i="10" s="1"/>
  <c r="K48" i="10" s="1"/>
  <c r="H186" i="10"/>
  <c r="H187" i="10" s="1"/>
  <c r="M24" i="10"/>
  <c r="L24" i="10"/>
  <c r="K24" i="10"/>
  <c r="K28" i="10" s="1"/>
  <c r="K29" i="10" s="1"/>
  <c r="N24" i="10"/>
  <c r="K52" i="10"/>
  <c r="K16" i="10"/>
  <c r="H112" i="10"/>
  <c r="H113" i="10" s="1"/>
  <c r="G117" i="10"/>
  <c r="G44" i="2" s="1"/>
  <c r="L81" i="10"/>
  <c r="K81" i="10"/>
  <c r="M81" i="10"/>
  <c r="J81" i="10"/>
  <c r="J86" i="10" s="1"/>
  <c r="N81" i="10"/>
  <c r="J110" i="10"/>
  <c r="J101" i="2" s="1"/>
  <c r="J74" i="10"/>
  <c r="J87" i="10"/>
  <c r="G104" i="2"/>
  <c r="G45" i="2"/>
  <c r="I107" i="10"/>
  <c r="I108" i="10" s="1"/>
  <c r="J106" i="10" s="1"/>
  <c r="H88" i="11"/>
  <c r="K177" i="10" l="1"/>
  <c r="F62" i="11" s="1"/>
  <c r="E137" i="1" s="1"/>
  <c r="L127" i="10"/>
  <c r="L129" i="10"/>
  <c r="L130" i="10" s="1"/>
  <c r="K146" i="10"/>
  <c r="J51" i="10"/>
  <c r="K145" i="10"/>
  <c r="J165" i="10"/>
  <c r="J166" i="10" s="1"/>
  <c r="K164" i="10" s="1"/>
  <c r="H59" i="10"/>
  <c r="H172" i="10"/>
  <c r="H173" i="10" s="1"/>
  <c r="H114" i="10"/>
  <c r="H115" i="10" s="1"/>
  <c r="H188" i="10"/>
  <c r="H189" i="10" s="1"/>
  <c r="L13" i="10"/>
  <c r="L14" i="10" s="1"/>
  <c r="K61" i="10"/>
  <c r="D62" i="11" s="1"/>
  <c r="C137" i="1" s="1"/>
  <c r="L11" i="10"/>
  <c r="L15" i="10" s="1"/>
  <c r="K30" i="10"/>
  <c r="K71" i="10"/>
  <c r="K72" i="10" s="1"/>
  <c r="K69" i="10"/>
  <c r="J119" i="10"/>
  <c r="J88" i="10"/>
  <c r="I56" i="10"/>
  <c r="I57" i="10" s="1"/>
  <c r="I109" i="10"/>
  <c r="L131" i="10" l="1"/>
  <c r="J167" i="10"/>
  <c r="H90" i="11"/>
  <c r="H174" i="10"/>
  <c r="K163" i="10"/>
  <c r="K178" i="10"/>
  <c r="K176" i="10"/>
  <c r="H175" i="10"/>
  <c r="I170" i="10"/>
  <c r="I171" i="10" s="1"/>
  <c r="I112" i="10"/>
  <c r="I113" i="10" s="1"/>
  <c r="H117" i="10"/>
  <c r="H44" i="2" s="1"/>
  <c r="N25" i="10"/>
  <c r="M25" i="10"/>
  <c r="L25" i="10"/>
  <c r="L28" i="10" s="1"/>
  <c r="L29" i="10" s="1"/>
  <c r="L52" i="10"/>
  <c r="L16" i="10"/>
  <c r="K73" i="10"/>
  <c r="I186" i="10"/>
  <c r="I187" i="10" s="1"/>
  <c r="H89" i="11"/>
  <c r="H103" i="2"/>
  <c r="H106" i="2"/>
  <c r="H116" i="10"/>
  <c r="I88" i="11"/>
  <c r="I58" i="10"/>
  <c r="J54" i="10"/>
  <c r="J55" i="10" s="1"/>
  <c r="I59" i="10"/>
  <c r="K62" i="10"/>
  <c r="K60" i="10"/>
  <c r="K47" i="10"/>
  <c r="J120" i="10"/>
  <c r="J118" i="10"/>
  <c r="J105" i="10"/>
  <c r="K165" i="10" l="1"/>
  <c r="K166" i="10" s="1"/>
  <c r="L164" i="10" s="1"/>
  <c r="K167" i="10"/>
  <c r="I172" i="10"/>
  <c r="I90" i="11" s="1"/>
  <c r="L168" i="10"/>
  <c r="L132" i="10"/>
  <c r="M141" i="10"/>
  <c r="L141" i="10"/>
  <c r="L144" i="10" s="1"/>
  <c r="L145" i="10" s="1"/>
  <c r="N141" i="10"/>
  <c r="N82" i="10"/>
  <c r="L82" i="10"/>
  <c r="K82" i="10"/>
  <c r="K86" i="10" s="1"/>
  <c r="K87" i="10" s="1"/>
  <c r="M82" i="10"/>
  <c r="K74" i="10"/>
  <c r="K110" i="10"/>
  <c r="K101" i="2" s="1"/>
  <c r="M13" i="10"/>
  <c r="M14" i="10" s="1"/>
  <c r="L61" i="10"/>
  <c r="M11" i="10"/>
  <c r="L30" i="10"/>
  <c r="J107" i="10"/>
  <c r="J108" i="10" s="1"/>
  <c r="K106" i="10" s="1"/>
  <c r="H104" i="2"/>
  <c r="H45" i="2"/>
  <c r="J56" i="10"/>
  <c r="J88" i="11" s="1"/>
  <c r="K49" i="10"/>
  <c r="K50" i="10" s="1"/>
  <c r="L48" i="10" s="1"/>
  <c r="I188" i="10"/>
  <c r="J186" i="10" s="1"/>
  <c r="J187" i="10" s="1"/>
  <c r="I114" i="10"/>
  <c r="I116" i="10" s="1"/>
  <c r="M15" i="10" l="1"/>
  <c r="J58" i="10"/>
  <c r="I115" i="10"/>
  <c r="I173" i="10"/>
  <c r="I174" i="10"/>
  <c r="M129" i="10"/>
  <c r="M130" i="10" s="1"/>
  <c r="L177" i="10"/>
  <c r="L146" i="10"/>
  <c r="M127" i="10"/>
  <c r="I104" i="2"/>
  <c r="I45" i="2"/>
  <c r="J112" i="10"/>
  <c r="I117" i="10"/>
  <c r="I44" i="2" s="1"/>
  <c r="N26" i="10"/>
  <c r="M26" i="10"/>
  <c r="M28" i="10" s="1"/>
  <c r="M16" i="10"/>
  <c r="M52" i="10"/>
  <c r="I189" i="10"/>
  <c r="J57" i="10"/>
  <c r="L62" i="10"/>
  <c r="L60" i="10"/>
  <c r="L47" i="10"/>
  <c r="L71" i="10"/>
  <c r="L72" i="10" s="1"/>
  <c r="C40" i="1"/>
  <c r="C39" i="1"/>
  <c r="L69" i="10"/>
  <c r="K119" i="10"/>
  <c r="E62" i="11" s="1"/>
  <c r="D137" i="1" s="1"/>
  <c r="C41" i="1"/>
  <c r="K88" i="10"/>
  <c r="J188" i="10"/>
  <c r="K186" i="10" s="1"/>
  <c r="K187" i="10" s="1"/>
  <c r="M29" i="10"/>
  <c r="K51" i="10"/>
  <c r="I89" i="11"/>
  <c r="I103" i="2"/>
  <c r="I106" i="2"/>
  <c r="J109" i="10"/>
  <c r="L73" i="10" l="1"/>
  <c r="M131" i="10"/>
  <c r="N142" i="10" s="1"/>
  <c r="M142" i="10"/>
  <c r="M144" i="10" s="1"/>
  <c r="M145" i="10" s="1"/>
  <c r="M132" i="10"/>
  <c r="M168" i="10"/>
  <c r="L178" i="10"/>
  <c r="L176" i="10"/>
  <c r="L163" i="10"/>
  <c r="J170" i="10"/>
  <c r="J171" i="10" s="1"/>
  <c r="J172" i="10" s="1"/>
  <c r="I175" i="10"/>
  <c r="J113" i="10"/>
  <c r="K120" i="10"/>
  <c r="K118" i="10"/>
  <c r="B10" i="12" s="1"/>
  <c r="C10" i="12" s="1"/>
  <c r="B74" i="12"/>
  <c r="K105" i="10"/>
  <c r="N83" i="10"/>
  <c r="M83" i="10"/>
  <c r="L83" i="10"/>
  <c r="L86" i="10" s="1"/>
  <c r="L87" i="10" s="1"/>
  <c r="L110" i="10"/>
  <c r="L101" i="2" s="1"/>
  <c r="L74" i="10"/>
  <c r="L49" i="10"/>
  <c r="L50" i="10" s="1"/>
  <c r="M48" i="10" s="1"/>
  <c r="K189" i="10"/>
  <c r="K188" i="10"/>
  <c r="L186" i="10" s="1"/>
  <c r="L187" i="10" s="1"/>
  <c r="K54" i="10"/>
  <c r="K55" i="10" s="1"/>
  <c r="J59" i="10"/>
  <c r="N13" i="10"/>
  <c r="N14" i="10" s="1"/>
  <c r="M61" i="10"/>
  <c r="N11" i="10"/>
  <c r="M30" i="10"/>
  <c r="J189" i="10"/>
  <c r="J173" i="10" l="1"/>
  <c r="J90" i="11"/>
  <c r="J174" i="10"/>
  <c r="L165" i="10"/>
  <c r="L166" i="10" s="1"/>
  <c r="M164" i="10" s="1"/>
  <c r="N129" i="10"/>
  <c r="N130" i="10" s="1"/>
  <c r="N127" i="10"/>
  <c r="M177" i="10"/>
  <c r="M146" i="10"/>
  <c r="C74" i="12"/>
  <c r="C42" i="1"/>
  <c r="N15" i="10"/>
  <c r="L188" i="10"/>
  <c r="M186" i="10" s="1"/>
  <c r="M187" i="10" s="1"/>
  <c r="K56" i="10"/>
  <c r="K57" i="10" s="1"/>
  <c r="K107" i="10"/>
  <c r="K108" i="10" s="1"/>
  <c r="L106" i="10" s="1"/>
  <c r="K109" i="10"/>
  <c r="M60" i="10"/>
  <c r="M62" i="10"/>
  <c r="M47" i="10"/>
  <c r="M71" i="10"/>
  <c r="M72" i="10" s="1"/>
  <c r="L119" i="10"/>
  <c r="M69" i="10"/>
  <c r="L88" i="10"/>
  <c r="L51" i="10"/>
  <c r="J114" i="10"/>
  <c r="N131" i="10" l="1"/>
  <c r="L167" i="10"/>
  <c r="M163" i="10"/>
  <c r="M178" i="10"/>
  <c r="M176" i="10"/>
  <c r="K170" i="10"/>
  <c r="K171" i="10" s="1"/>
  <c r="J175" i="10"/>
  <c r="L54" i="10"/>
  <c r="L55" i="10" s="1"/>
  <c r="K59" i="10"/>
  <c r="D50" i="11" s="1"/>
  <c r="J89" i="11"/>
  <c r="J103" i="2"/>
  <c r="J106" i="2"/>
  <c r="J116" i="10"/>
  <c r="L189" i="10"/>
  <c r="J115" i="10"/>
  <c r="N27" i="10"/>
  <c r="N28" i="10" s="1"/>
  <c r="N29" i="10" s="1"/>
  <c r="N16" i="10"/>
  <c r="D63" i="11" s="1"/>
  <c r="C136" i="1" s="1"/>
  <c r="N52" i="10"/>
  <c r="M188" i="10"/>
  <c r="N186" i="10" s="1"/>
  <c r="N187" i="10" s="1"/>
  <c r="M189" i="10"/>
  <c r="L118" i="10"/>
  <c r="L120" i="10"/>
  <c r="L105" i="10"/>
  <c r="K58" i="10"/>
  <c r="M73" i="10"/>
  <c r="M49" i="10"/>
  <c r="M50" i="10" s="1"/>
  <c r="N48" i="10" s="1"/>
  <c r="K172" i="10" l="1"/>
  <c r="K174" i="10" s="1"/>
  <c r="F54" i="11" s="1"/>
  <c r="E110" i="1" s="1"/>
  <c r="K173" i="10"/>
  <c r="M165" i="10"/>
  <c r="M166" i="10" s="1"/>
  <c r="N164" i="10" s="1"/>
  <c r="N132" i="10"/>
  <c r="F63" i="11" s="1"/>
  <c r="E136" i="1" s="1"/>
  <c r="N143" i="10"/>
  <c r="N144" i="10" s="1"/>
  <c r="N145" i="10" s="1"/>
  <c r="N168" i="10"/>
  <c r="N188" i="10"/>
  <c r="O186" i="10" s="1"/>
  <c r="O187" i="10" s="1"/>
  <c r="J104" i="2"/>
  <c r="J45" i="2"/>
  <c r="K112" i="10"/>
  <c r="K113" i="10" s="1"/>
  <c r="J117" i="10"/>
  <c r="J44" i="2" s="1"/>
  <c r="N84" i="10"/>
  <c r="M84" i="10"/>
  <c r="M86" i="10" s="1"/>
  <c r="M110" i="10"/>
  <c r="M101" i="2" s="1"/>
  <c r="M74" i="10"/>
  <c r="D54" i="11"/>
  <c r="D52" i="11"/>
  <c r="D53" i="11"/>
  <c r="D51" i="11"/>
  <c r="L107" i="10"/>
  <c r="L108" i="10" s="1"/>
  <c r="M106" i="10" s="1"/>
  <c r="N61" i="10"/>
  <c r="N30" i="10"/>
  <c r="M51" i="10"/>
  <c r="L56" i="10"/>
  <c r="L57" i="10" s="1"/>
  <c r="N146" i="10" l="1"/>
  <c r="N177" i="10"/>
  <c r="M167" i="10"/>
  <c r="K175" i="10"/>
  <c r="F50" i="11" s="1"/>
  <c r="L170" i="10"/>
  <c r="L171" i="10" s="1"/>
  <c r="M54" i="10"/>
  <c r="M55" i="10" s="1"/>
  <c r="L59" i="10"/>
  <c r="D58" i="11"/>
  <c r="C131" i="1" s="1"/>
  <c r="D59" i="11"/>
  <c r="C115" i="1" s="1"/>
  <c r="D56" i="11"/>
  <c r="C112" i="1" s="1"/>
  <c r="C110" i="1"/>
  <c r="N60" i="10"/>
  <c r="D61" i="11" s="1"/>
  <c r="C116" i="1" s="1"/>
  <c r="N62" i="10"/>
  <c r="N47" i="10"/>
  <c r="K114" i="10"/>
  <c r="N71" i="10"/>
  <c r="N72" i="10" s="1"/>
  <c r="N69" i="10"/>
  <c r="M119" i="10"/>
  <c r="M88" i="10"/>
  <c r="M87" i="10"/>
  <c r="L109" i="10"/>
  <c r="N189" i="10"/>
  <c r="L58" i="10"/>
  <c r="K88" i="11"/>
  <c r="D57" i="11" s="1"/>
  <c r="C113" i="1" s="1"/>
  <c r="O188" i="10"/>
  <c r="D191" i="10" s="1"/>
  <c r="B51" i="12" s="1"/>
  <c r="C51" i="12" s="1"/>
  <c r="O189" i="10" l="1"/>
  <c r="N163" i="10"/>
  <c r="N178" i="10"/>
  <c r="N176" i="10"/>
  <c r="F61" i="11" s="1"/>
  <c r="E116" i="1" s="1"/>
  <c r="L172" i="10"/>
  <c r="L174" i="10" s="1"/>
  <c r="F52" i="11"/>
  <c r="F58" i="11" s="1"/>
  <c r="E131" i="1" s="1"/>
  <c r="F53" i="11"/>
  <c r="F59" i="11" s="1"/>
  <c r="E115" i="1" s="1"/>
  <c r="F51" i="11"/>
  <c r="D190" i="10"/>
  <c r="C138" i="1" s="1"/>
  <c r="K103" i="2"/>
  <c r="K116" i="10"/>
  <c r="K115" i="10"/>
  <c r="N73" i="10"/>
  <c r="M120" i="10"/>
  <c r="M118" i="10"/>
  <c r="M105" i="10"/>
  <c r="N49" i="10"/>
  <c r="N50" i="10" s="1"/>
  <c r="N51" i="10"/>
  <c r="M56" i="10"/>
  <c r="L173" i="10" l="1"/>
  <c r="F56" i="11"/>
  <c r="E112" i="1" s="1"/>
  <c r="K90" i="11"/>
  <c r="F57" i="11" s="1"/>
  <c r="E113" i="1" s="1"/>
  <c r="N165" i="10"/>
  <c r="N166" i="10" s="1"/>
  <c r="N167" i="10"/>
  <c r="L112" i="10"/>
  <c r="L113" i="10" s="1"/>
  <c r="K117" i="10"/>
  <c r="E54" i="11"/>
  <c r="D146" i="2"/>
  <c r="K45" i="2"/>
  <c r="K104" i="2"/>
  <c r="M107" i="10"/>
  <c r="M108" i="10" s="1"/>
  <c r="N106" i="10" s="1"/>
  <c r="M57" i="10"/>
  <c r="N85" i="10"/>
  <c r="N86" i="10" s="1"/>
  <c r="N110" i="10"/>
  <c r="N101" i="2" s="1"/>
  <c r="N74" i="10"/>
  <c r="E63" i="11" s="1"/>
  <c r="D136" i="1" s="1"/>
  <c r="M58" i="10"/>
  <c r="M170" i="10" l="1"/>
  <c r="M171" i="10" s="1"/>
  <c r="L175" i="10"/>
  <c r="C38" i="1"/>
  <c r="D110" i="1"/>
  <c r="N119" i="10"/>
  <c r="B76" i="12"/>
  <c r="C76" i="12" s="1"/>
  <c r="B73" i="12"/>
  <c r="C73" i="12" s="1"/>
  <c r="N88" i="10"/>
  <c r="E50" i="11"/>
  <c r="K44" i="2"/>
  <c r="M109" i="10"/>
  <c r="L114" i="10"/>
  <c r="L115" i="10" s="1"/>
  <c r="N87" i="10"/>
  <c r="B7" i="12" s="1"/>
  <c r="C7" i="12" s="1"/>
  <c r="N54" i="10"/>
  <c r="N55" i="10" s="1"/>
  <c r="M59" i="10"/>
  <c r="M172" i="10" l="1"/>
  <c r="M174" i="10" s="1"/>
  <c r="M112" i="10"/>
  <c r="M113" i="10" s="1"/>
  <c r="L117" i="10"/>
  <c r="L44" i="2" s="1"/>
  <c r="N56" i="10"/>
  <c r="N118" i="10"/>
  <c r="E61" i="11" s="1"/>
  <c r="D116" i="1" s="1"/>
  <c r="N120" i="10"/>
  <c r="N105" i="10"/>
  <c r="L103" i="2"/>
  <c r="L106" i="2"/>
  <c r="L116" i="10"/>
  <c r="E52" i="11"/>
  <c r="E58" i="11" s="1"/>
  <c r="E53" i="11"/>
  <c r="E59" i="11" s="1"/>
  <c r="D115" i="1" s="1"/>
  <c r="E51" i="11"/>
  <c r="M173" i="10" l="1"/>
  <c r="N170" i="10"/>
  <c r="N171" i="10" s="1"/>
  <c r="M175" i="10"/>
  <c r="N107" i="10"/>
  <c r="N108" i="10" s="1"/>
  <c r="D55" i="11"/>
  <c r="C111" i="1" s="1"/>
  <c r="D79" i="11"/>
  <c r="D80" i="11" s="1"/>
  <c r="D81" i="11" s="1"/>
  <c r="D82" i="11" s="1"/>
  <c r="N58" i="10"/>
  <c r="D131" i="1"/>
  <c r="C143" i="1"/>
  <c r="N57" i="10"/>
  <c r="N59" i="10" s="1"/>
  <c r="K105" i="2"/>
  <c r="K106" i="2" s="1"/>
  <c r="C44" i="1"/>
  <c r="K89" i="11"/>
  <c r="E56" i="11"/>
  <c r="F72" i="11"/>
  <c r="D72" i="11"/>
  <c r="E72" i="11"/>
  <c r="L45" i="2"/>
  <c r="L104" i="2"/>
  <c r="M114" i="10"/>
  <c r="M116" i="10" s="1"/>
  <c r="N109" i="10" l="1"/>
  <c r="M115" i="10"/>
  <c r="N172" i="10"/>
  <c r="N173" i="10" s="1"/>
  <c r="N175" i="10" s="1"/>
  <c r="D83" i="11"/>
  <c r="D84" i="11"/>
  <c r="C145" i="1" s="1"/>
  <c r="C144" i="1"/>
  <c r="B75" i="12"/>
  <c r="C75" i="12" s="1"/>
  <c r="E57" i="11"/>
  <c r="M104" i="2"/>
  <c r="M45" i="2"/>
  <c r="N112" i="10"/>
  <c r="N113" i="10" s="1"/>
  <c r="M117" i="10"/>
  <c r="M44" i="2" s="1"/>
  <c r="D60" i="11"/>
  <c r="C114" i="1" s="1"/>
  <c r="M106" i="2"/>
  <c r="M103" i="2"/>
  <c r="D107" i="2"/>
  <c r="D112" i="1"/>
  <c r="C45" i="1"/>
  <c r="N174" i="10" l="1"/>
  <c r="F60" i="11" s="1"/>
  <c r="E114" i="1" s="1"/>
  <c r="F79" i="11"/>
  <c r="F80" i="11" s="1"/>
  <c r="F81" i="11" s="1"/>
  <c r="F82" i="11" s="1"/>
  <c r="F55" i="11"/>
  <c r="E111" i="1" s="1"/>
  <c r="D108" i="2"/>
  <c r="C46" i="1"/>
  <c r="C142" i="1"/>
  <c r="D113" i="1"/>
  <c r="N114" i="10"/>
  <c r="E144" i="1" l="1"/>
  <c r="F83" i="11"/>
  <c r="F84" i="11"/>
  <c r="E145" i="1" s="1"/>
  <c r="N106" i="2"/>
  <c r="N103" i="2"/>
  <c r="E55" i="11"/>
  <c r="D111" i="1" s="1"/>
  <c r="E79" i="11"/>
  <c r="E80" i="11" s="1"/>
  <c r="E81" i="11" s="1"/>
  <c r="E82" i="11" s="1"/>
  <c r="B71" i="12"/>
  <c r="C71" i="12" s="1"/>
  <c r="N116" i="10"/>
  <c r="N115" i="10"/>
  <c r="N117" i="10" s="1"/>
  <c r="N44" i="2" s="1"/>
  <c r="E60" i="11" l="1"/>
  <c r="N104" i="2"/>
  <c r="D110" i="2" s="1"/>
  <c r="D157" i="2" s="1"/>
  <c r="N45" i="2"/>
  <c r="E83" i="11"/>
  <c r="E84" i="11"/>
  <c r="D145" i="1" s="1"/>
  <c r="D144" i="1"/>
  <c r="B77" i="12"/>
  <c r="A2" i="1" s="1"/>
  <c r="C77" i="12"/>
  <c r="C50" i="1" l="1"/>
  <c r="C52" i="1"/>
  <c r="C139" i="1"/>
  <c r="D114" i="1"/>
  <c r="D109" i="2"/>
</calcChain>
</file>

<file path=xl/sharedStrings.xml><?xml version="1.0" encoding="utf-8"?>
<sst xmlns="http://schemas.openxmlformats.org/spreadsheetml/2006/main" count="5166" uniqueCount="1703">
  <si>
    <t>PMC PLATFORM — INVESTMENT COMMITTEE SUMMARY</t>
  </si>
  <si>
    <t>1. WHAT WE ARE BUYING</t>
  </si>
  <si>
    <t>Anchor platform</t>
  </si>
  <si>
    <t>Annual large tuck-ins, Years 1 to 7</t>
  </si>
  <si>
    <t>Year-3 mid-market addition</t>
  </si>
  <si>
    <t>Total acquired EBITDA</t>
  </si>
  <si>
    <t>Total acquisition enterprise value</t>
  </si>
  <si>
    <t>Blended entry multiple</t>
  </si>
  <si>
    <t>2. SCALE AND RESULT</t>
  </si>
  <si>
    <t>Year 3</t>
  </si>
  <si>
    <t>Year 5</t>
  </si>
  <si>
    <t>Year 7</t>
  </si>
  <si>
    <t>Year 10</t>
  </si>
  <si>
    <t>Managed units</t>
  </si>
  <si>
    <t>Properties</t>
  </si>
  <si>
    <t>Clients</t>
  </si>
  <si>
    <t>Recurring revenue</t>
  </si>
  <si>
    <t>Total platform revenue</t>
  </si>
  <si>
    <t>Consolidated platform EBITDA</t>
  </si>
  <si>
    <t>Platform EBITDA margin</t>
  </si>
  <si>
    <t>3. WHERE THE YEAR-7 EBITDA COMES FROM</t>
  </si>
  <si>
    <t>Acquired book — contracted EBITDA</t>
  </si>
  <si>
    <t>ACQUIRED / RECURRING</t>
  </si>
  <si>
    <t>Organic new business</t>
  </si>
  <si>
    <t>BUYER-CREATED / REVENUE</t>
  </si>
  <si>
    <t>Centralisation — seller payroll removed</t>
  </si>
  <si>
    <t>BUYER-CREATED / COST</t>
  </si>
  <si>
    <t xml:space="preserve">  less same-scope shared-services replacement</t>
  </si>
  <si>
    <t xml:space="preserve">  of which nearshore delivery saving (memo)</t>
  </si>
  <si>
    <t>MEMO — inside the two lines above</t>
  </si>
  <si>
    <t>Leadership redundancy — uncredited by decision</t>
  </si>
  <si>
    <t>[OQ] UNCREDITED UPSIDE</t>
  </si>
  <si>
    <t>New-function institutionalisation</t>
  </si>
  <si>
    <t>Organic-growth support capacity</t>
  </si>
  <si>
    <t>Transition overlap, complexity and integration</t>
  </si>
  <si>
    <t>Platform services — Layers 1 to 3, net</t>
  </si>
  <si>
    <t>HoldCo payroll and non-payroll G&amp;A</t>
  </si>
  <si>
    <t>CONSOLIDATED PLATFORM EBITDA — YEAR 7</t>
  </si>
  <si>
    <t>Bridge reconstruction difference — must be nil</t>
  </si>
  <si>
    <t>4. CAPITAL AND RETURNS</t>
  </si>
  <si>
    <t>Cumulative sponsor equity</t>
  </si>
  <si>
    <t>Senior debt at exit</t>
  </si>
  <si>
    <t>Total debt at exit</t>
  </si>
  <si>
    <t>Total debt / consolidated EBITDA</t>
  </si>
  <si>
    <t>Consolidated coverage ratio</t>
  </si>
  <si>
    <t>Exit enterprise value</t>
  </si>
  <si>
    <t>Equity proceeds at exit</t>
  </si>
  <si>
    <t>7-year MOIC</t>
  </si>
  <si>
    <t>True 7-year sponsor cash-flow IRR</t>
  </si>
  <si>
    <t>Multiple-arbitrage share of exit EV</t>
  </si>
  <si>
    <t>5. STATUS AND VERDICT</t>
  </si>
  <si>
    <t>Control status</t>
  </si>
  <si>
    <t>Evidence-constrained Year-7 EBITDA — switch ON</t>
  </si>
  <si>
    <t>Run Assumptions D8 = 1; see Control 19</t>
  </si>
  <si>
    <t>Diagnostic status</t>
  </si>
  <si>
    <t>Gate 1 verdict</t>
  </si>
  <si>
    <t>PAUSE PENDING NAMED EVIDENCE</t>
  </si>
  <si>
    <t>Top five assumptions by Year-7 EBITDA sensitivity</t>
  </si>
  <si>
    <t>1. Column-W shared-services spans [E] — four reference calls on properties per central controller, accountant and AP clerk</t>
  </si>
  <si>
    <t>2. ORG-20 target payroll structure [OQ] — one 6,000-unit target P&amp;L, payroll register and employee census by role</t>
  </si>
  <si>
    <t>3. Nearshore delivered cost index [A] 0.40x — a PMC-specific delivered quote; 0.46x comparable at Evidence &amp; Market C38</t>
  </si>
  <si>
    <t>4. Layer 1 to 3 pricing and adoption [A] — three owner willingness-to-pay conversations against the incumbent $42.45/unit</t>
  </si>
  <si>
    <t>5. Leadership redundancy and roster duplication [OQ] — uncredited; requires target roster evidence</t>
  </si>
  <si>
    <t>THE CENTRAL REQUIREMENT</t>
  </si>
  <si>
    <t>Target EBITDA per managed unit the strategy requires</t>
  </si>
  <si>
    <t>Implied normalized EBITDA margin on the evidenced revenue basis</t>
  </si>
  <si>
    <t>What this means</t>
  </si>
  <si>
    <t>INVESTMENT BASIS</t>
  </si>
  <si>
    <t>Anchor normalized EBITDA</t>
  </si>
  <si>
    <t>Anchor units at close</t>
  </si>
  <si>
    <t>Anchor properties at close</t>
  </si>
  <si>
    <t>Anchor clients at close</t>
  </si>
  <si>
    <t>Anchor entry multiple</t>
  </si>
  <si>
    <t>Anchor enterprise value</t>
  </si>
  <si>
    <t>Tuck-ins in the programme</t>
  </si>
  <si>
    <t>Seven annual large tuck-ins plus the declared Year-3 mid-market addition, sized in EBITDA as instructed.</t>
  </si>
  <si>
    <t>Blended annual revenue retention</t>
  </si>
  <si>
    <t>Implied average contract life</t>
  </si>
  <si>
    <t>OPERATING BUILD — BASE</t>
  </si>
  <si>
    <t>Metric</t>
  </si>
  <si>
    <t>Properties — derived from units</t>
  </si>
  <si>
    <t>Clients — derived from the programme</t>
  </si>
  <si>
    <t>Standalone acquired EBITDA</t>
  </si>
  <si>
    <t>Integrated DealCo EBITDA</t>
  </si>
  <si>
    <t>PMC-borne corporate FTE</t>
  </si>
  <si>
    <t>Corporate payroll per managed unit</t>
  </si>
  <si>
    <t>Owner-reimbursed onsite FTE — memo</t>
  </si>
  <si>
    <t>EXIT STATE — DERIVED, AGAINST THE PLANNING OBJECTIVES</t>
  </si>
  <si>
    <t>Measure</t>
  </si>
  <si>
    <t>Derived at exit</t>
  </si>
  <si>
    <t>Objective</t>
  </si>
  <si>
    <t>Variance</t>
  </si>
  <si>
    <t>Ceiling, not a target. Capacity binds in every case.</t>
  </si>
  <si>
    <t>Arithmetic consequence of units and units per property. Never entered.</t>
  </si>
  <si>
    <t>Derived from clients acquired per deal and retention. The objective scores it; it does not size anything.</t>
  </si>
  <si>
    <t>WATERFALL HELPER — drives IC chart 1; mutually exclusive steps, nearshore appears once</t>
  </si>
  <si>
    <t>Step</t>
  </si>
  <si>
    <t>Invisible base</t>
  </si>
  <si>
    <t>Value</t>
  </si>
  <si>
    <t>CASE COMPARISON — SAME PROGRAMME, SAME AT-CLOSE FACTS</t>
  </si>
  <si>
    <t>Acquired contracted EBITDA</t>
  </si>
  <si>
    <t>Downside</t>
  </si>
  <si>
    <t>Base</t>
  </si>
  <si>
    <t>Upside</t>
  </si>
  <si>
    <t>Year-7 platform EBITDA</t>
  </si>
  <si>
    <t>Centralisation before nearshore</t>
  </si>
  <si>
    <t>Shortfall to the $10m target</t>
  </si>
  <si>
    <t>Nearshore delivery saving</t>
  </si>
  <si>
    <t>Headroom to the 50,000-unit ceiling</t>
  </si>
  <si>
    <t>The ceiling is an operating-capacity constraint common to all three cases. Once full, the platform stops accepting incremental business.</t>
  </si>
  <si>
    <t>Institutionalisation</t>
  </si>
  <si>
    <t>Deferred / unserved pipeline units at Year 7</t>
  </si>
  <si>
    <t>Organic wins the platform could not serve within the ceiling. Contracted acquired units are never dropped.</t>
  </si>
  <si>
    <t>Organic-growth support</t>
  </si>
  <si>
    <t>MINIMUM TARGET EBITDA MARGIN for the ceiling to hold</t>
  </si>
  <si>
    <t>The minimum target quality at which the instructed EBITDA sizes and the 50,000-unit ceiling coexist. One cell on Assumptions.</t>
  </si>
  <si>
    <t>Transition, complexity, integration</t>
  </si>
  <si>
    <t>Minimum target EBITDA per managed unit</t>
  </si>
  <si>
    <t>Platform services, net</t>
  </si>
  <si>
    <t>Target EBITDA per unit at the current margin</t>
  </si>
  <si>
    <t>HoldCo payroll and G&amp;A</t>
  </si>
  <si>
    <t>Managed units at Year 7</t>
  </si>
  <si>
    <t>Peak annual equity cure</t>
  </si>
  <si>
    <t>Waterfall reconstruction difference — must be nil</t>
  </si>
  <si>
    <t>7-year IRR</t>
  </si>
  <si>
    <t>10-year TVPI</t>
  </si>
  <si>
    <t>7-year MOIC at the common 9.5x platform multiple</t>
  </si>
  <si>
    <t>Holds valuation constant so operating performance is not confused with pricing.</t>
  </si>
  <si>
    <t>Minimum DealCo DSCR on CFADS</t>
  </si>
  <si>
    <t>EVIDENCE-CONSTRAINED COUNTERFACTUAL</t>
  </si>
  <si>
    <t>Evidence switch</t>
  </si>
  <si>
    <t>Displayed state of the workbook.</t>
  </si>
  <si>
    <t>Base Year-7 EBITDA with product and unsupported savings removed</t>
  </si>
  <si>
    <t>First-order memo on the same programme, price and financing. Switch the flag on Assumptions to run it properly, which also removes organic wins and their compounding.</t>
  </si>
  <si>
    <t>Platform services net contribution in Base at Year 7</t>
  </si>
  <si>
    <t>Net of incumbent overlap, direct COGS, third-party tooling, named delivery labour and implementation.</t>
  </si>
  <si>
    <t>Net centralisation and leadership saving in Base at Year 7</t>
  </si>
  <si>
    <t>The roll-up mechanic: local payroll removed, less the replacement shared-services cost and transition overlap, plus bounded leadership redundancy.</t>
  </si>
  <si>
    <t>VALUATION DEPENDENCE</t>
  </si>
  <si>
    <t>Acquired-earnings value at actual entry multiples</t>
  </si>
  <si>
    <t>Each vintage at the multiple actually paid for it, not a blanket anchor multiple.</t>
  </si>
  <si>
    <t>Buyer-created earnings value at the stated convention</t>
  </si>
  <si>
    <t>Source-specific enterprise value</t>
  </si>
  <si>
    <t>Platform exit enterprise value</t>
  </si>
  <si>
    <t>VALUE FROM MULTIPLE ARBITRAGE</t>
  </si>
  <si>
    <t>Arbitrage as a share of exit EV</t>
  </si>
  <si>
    <t>7-year MOIC at source-specific valuation</t>
  </si>
  <si>
    <t>The no-arbitrage return. If this fails while the platform-multiple return passes, the case is a re-rating bet.</t>
  </si>
  <si>
    <t>Base — acquired-book cost contribution, Y7 (before organic-growth support)</t>
  </si>
  <si>
    <t>Seller payroll removed less same-scope replacement less the institutional functions the platform must add. Base case only. Equal-scope leverage is on Org &amp; Capacity D252 and D253.</t>
  </si>
  <si>
    <t>Base — organic-growth support, Y7</t>
  </si>
  <si>
    <t>Corporate capacity for buyer-created organic units, which arrive with no local organisation to eliminate. Belongs to organic-growth economics, not to the acquired-book cost case.</t>
  </si>
  <si>
    <t>Base — combined shared-services bridge, Y7</t>
  </si>
  <si>
    <t>Reported alongside the acquired-book contribution above, never instead of it.</t>
  </si>
  <si>
    <t>FUNDING</t>
  </si>
  <si>
    <t>Debt shortfall funded by equity</t>
  </si>
  <si>
    <t>Senior debt is the lower of the leverage test and the binding CFADS debt-service test.</t>
  </si>
  <si>
    <t>Senior leverage at exit</t>
  </si>
  <si>
    <t>Minimum cash across the first 36 months</t>
  </si>
  <si>
    <t>HoldCo platform reserve, separate from owner and trust cash.</t>
  </si>
  <si>
    <t>DIAGNOSTIC STATUS</t>
  </si>
  <si>
    <t>Reported EBITDA, MOIC and IRR above are diagnostic outputs of the current assumption set. They are not underwritable while the compensation scalar, the column W shared-services spans and the target organisation remain unevidenced. Acquisition economics and the column W spans are never changed to move a control.</t>
  </si>
  <si>
    <t>GATES</t>
  </si>
  <si>
    <t>Sponsor hurdle IRR</t>
  </si>
  <si>
    <t>Base clears the hurdle</t>
  </si>
  <si>
    <t>Base clears the hurdle at source-specific valuation</t>
  </si>
  <si>
    <t>First-order supportable anchor multiple</t>
  </si>
  <si>
    <t>Screening metric. Holds the operating path, cures and exit proceeds fixed.</t>
  </si>
  <si>
    <t>Price support verdict</t>
  </si>
  <si>
    <t>Gate 1 status</t>
  </si>
  <si>
    <t>Top evidence gaps</t>
  </si>
  <si>
    <t>BASE CASE BRIDGE — FROM ACQUIRED COMPANY ECONOMICS TO PLATFORM ECONOMICS</t>
  </si>
  <si>
    <t>Every source appears in exactly one category. The tags are display; Controls 62 and 65 reconstruct the same economics from engine primitives.</t>
  </si>
  <si>
    <t>YEAR-7 BRIDGE — BASE</t>
  </si>
  <si>
    <t>Origin</t>
  </si>
  <si>
    <t>Recurrence</t>
  </si>
  <si>
    <t>Type</t>
  </si>
  <si>
    <t>ACQUIRED</t>
  </si>
  <si>
    <t>RECURRING</t>
  </si>
  <si>
    <t>REVENUE</t>
  </si>
  <si>
    <t>BUYER-CREATED</t>
  </si>
  <si>
    <t>Seller payroll removed by centralisation</t>
  </si>
  <si>
    <t>COST SAVING</t>
  </si>
  <si>
    <t>Same-scope shared-services replacement</t>
  </si>
  <si>
    <t>COST</t>
  </si>
  <si>
    <t>Transition overlap</t>
  </si>
  <si>
    <t>EPISODIC</t>
  </si>
  <si>
    <t>Customer-complexity payroll</t>
  </si>
  <si>
    <t>Integration pods</t>
  </si>
  <si>
    <t>Other integration savings</t>
  </si>
  <si>
    <t>Platform services — Layers 1 to 3, net of delivery</t>
  </si>
  <si>
    <t>HoldCo payroll</t>
  </si>
  <si>
    <t>HoldCo non-payroll G&amp;A</t>
  </si>
  <si>
    <t>Tagged rows reconstruct the total — must be nil</t>
  </si>
  <si>
    <t>Nearshore delivery saving is inside the replacement line above and is never a separate bridge row</t>
  </si>
  <si>
    <t>Value creation by category, Year 7</t>
  </si>
  <si>
    <t>Acquired, recurring</t>
  </si>
  <si>
    <t>Buyer-created revenue</t>
  </si>
  <si>
    <t>Buyer-created cost savings</t>
  </si>
  <si>
    <t>Buyer-created cost</t>
  </si>
  <si>
    <t>Episodic</t>
  </si>
  <si>
    <t>1. OPERATING SNAPSHOT</t>
  </si>
  <si>
    <t>Line</t>
  </si>
  <si>
    <t>Close</t>
  </si>
  <si>
    <t>Year 1</t>
  </si>
  <si>
    <t>Year 2</t>
  </si>
  <si>
    <t>Year 4</t>
  </si>
  <si>
    <t>Year 6</t>
  </si>
  <si>
    <t>Year 8</t>
  </si>
  <si>
    <t>Year 9</t>
  </si>
  <si>
    <t>units</t>
  </si>
  <si>
    <t>[C]</t>
  </si>
  <si>
    <t>props</t>
  </si>
  <si>
    <t>clients</t>
  </si>
  <si>
    <t>[OQ]</t>
  </si>
  <si>
    <t>Equivalent regimes above baseline</t>
  </si>
  <si>
    <t>regimes</t>
  </si>
  <si>
    <t>[E]</t>
  </si>
  <si>
    <t>$</t>
  </si>
  <si>
    <t>FTE</t>
  </si>
  <si>
    <t>[F/C]</t>
  </si>
  <si>
    <t>Recurring capex</t>
  </si>
  <si>
    <t>[A]</t>
  </si>
  <si>
    <t>Net debt</t>
  </si>
  <si>
    <t>2. STANDALONE EBITDA BY ACQUISITION COHORT  (before any buyer-created economics)</t>
  </si>
  <si>
    <t>Anchor</t>
  </si>
  <si>
    <t>Vintage Year 1</t>
  </si>
  <si>
    <t>Vintage Year 2</t>
  </si>
  <si>
    <t>Vintage Year 3</t>
  </si>
  <si>
    <t>Vintage Year 4</t>
  </si>
  <si>
    <t>Vintage Year 5</t>
  </si>
  <si>
    <t>Vintage Year 6</t>
  </si>
  <si>
    <t>Vintage Year 7</t>
  </si>
  <si>
    <t>Total standalone EBITDA</t>
  </si>
  <si>
    <t>Reconciliation to Operating Case</t>
  </si>
  <si>
    <t>3. COHORT EBITDA AFTER ALLOCATED SHARED SERVICES  —  DIAGNOSTIC ALLOCATION, NOT THE LIVE GROUP CALCULATION</t>
  </si>
  <si>
    <t>Group platform cost allocated pro rata on retained EBITDA so each deal can be seen standing on its own. The allocation is a diagnostic; the live group calculation is section 4.</t>
  </si>
  <si>
    <t>Total after allocated shared services</t>
  </si>
  <si>
    <t>Reconciliation to consolidated platform EBITDA</t>
  </si>
  <si>
    <t>4. GROUP EBITDA BRIDGE — ACTUAL MODEL ECONOMICS</t>
  </si>
  <si>
    <t>Contracted acquired EBITDA — all cohorts</t>
  </si>
  <si>
    <t>Buyer-created organic new business</t>
  </si>
  <si>
    <t>Local payroll removed by centralisation</t>
  </si>
  <si>
    <t>Replacement shared-services payroll</t>
  </si>
  <si>
    <t>Transition-overlap duplicated payroll</t>
  </si>
  <si>
    <t>[D]</t>
  </si>
  <si>
    <t>Leadership redundancy saving</t>
  </si>
  <si>
    <t>Layer 2 delivery payroll</t>
  </si>
  <si>
    <t>Integration pod cost</t>
  </si>
  <si>
    <t>EBITDA after shared services, before products</t>
  </si>
  <si>
    <t>Layer 1 net contribution</t>
  </si>
  <si>
    <t>Layer 2 net contribution before delivery payroll</t>
  </si>
  <si>
    <t>Layer 3 net contribution</t>
  </si>
  <si>
    <t>Product implementation cost</t>
  </si>
  <si>
    <t>INTEGRATED DEALCO EBITDA</t>
  </si>
  <si>
    <t>Incremental HoldCo payroll</t>
  </si>
  <si>
    <t>CONSOLIDATED PLATFORM EBITDA</t>
  </si>
  <si>
    <t>EBITDA less capex</t>
  </si>
  <si>
    <t>5. SPONSOR CASH AND RETURN BRIDGE</t>
  </si>
  <si>
    <t>Acquisition equity funded</t>
  </si>
  <si>
    <t>Transaction and integration cost</t>
  </si>
  <si>
    <t>Operating equity cure</t>
  </si>
  <si>
    <t>Cumulative sponsor capital</t>
  </si>
  <si>
    <t>Exit proceeds</t>
  </si>
  <si>
    <t>Net sponsor cash flow</t>
  </si>
  <si>
    <t>x</t>
  </si>
  <si>
    <t>7-year IRR on the annual cash flows</t>
  </si>
  <si>
    <t>%</t>
  </si>
  <si>
    <t>Reconciliation to Transaction &amp; Liquidity cumulative equity</t>
  </si>
  <si>
    <t>6. WORKFORCE HEADCOUNT BY GROUP</t>
  </si>
  <si>
    <t>Local / regional — retained inside acquired businesses</t>
  </si>
  <si>
    <t>Shared services / platform operations</t>
  </si>
  <si>
    <t>Incremental HoldCo seats</t>
  </si>
  <si>
    <t>Customer-complexity overlay</t>
  </si>
  <si>
    <t>Layer 2 delivery</t>
  </si>
  <si>
    <t>PMC-BORNE CORPORATE FTE</t>
  </si>
  <si>
    <t>Owner-reimbursed onsite — memo, never PMC EBITDA</t>
  </si>
  <si>
    <t>Units per PMC-borne corporate FTE</t>
  </si>
  <si>
    <t>7. FULLY LOADED PAYROLL BY GROUP</t>
  </si>
  <si>
    <t>Retained local payroll — inside acquired EBITDA</t>
  </si>
  <si>
    <t>HoldCo replacement seats — not charged, memo</t>
  </si>
  <si>
    <t>TOTAL PMC-BORNE PAYROLL CHARGED</t>
  </si>
  <si>
    <t>Owner-reimbursed onsite payroll — memo</t>
  </si>
  <si>
    <t>Weighted burden multiple implied</t>
  </si>
  <si>
    <t>8. YEAR-7 DIAGNOSIS AND RECONCILIATIONS</t>
  </si>
  <si>
    <t>Units</t>
  </si>
  <si>
    <t>Grade</t>
  </si>
  <si>
    <t>Base Year 7</t>
  </si>
  <si>
    <t>Contracted acquired EBITDA</t>
  </si>
  <si>
    <t>$ / x</t>
  </si>
  <si>
    <t>Net shared-services and integration impact</t>
  </si>
  <si>
    <t>Platform services net contribution</t>
  </si>
  <si>
    <t>Incremental HoldCo payroll and G&amp;A</t>
  </si>
  <si>
    <t>Target</t>
  </si>
  <si>
    <t>Shortfall to target</t>
  </si>
  <si>
    <t>Consolidated EBITDA per unit required to reach target</t>
  </si>
  <si>
    <t>Against the actual EBITDA per unit below.</t>
  </si>
  <si>
    <t>Actual consolidated EBITDA per unit</t>
  </si>
  <si>
    <t>Acquired EBITDA margin standalone</t>
  </si>
  <si>
    <t>Platform EBITDA margin, built bottom-up</t>
  </si>
  <si>
    <t>Margin expansion from platform economics</t>
  </si>
  <si>
    <t>Cohort standalone reconciliation</t>
  </si>
  <si>
    <t>Zero by construction.</t>
  </si>
  <si>
    <t>Cohort allocation reconciliation</t>
  </si>
  <si>
    <t>Group EBITDA bridge reconciliation</t>
  </si>
  <si>
    <t>Sponsor cash reconciliation</t>
  </si>
  <si>
    <t>Workforce payroll reconciliation</t>
  </si>
  <si>
    <t>EVIDENCE AND MARKET</t>
  </si>
  <si>
    <t>Owner GL, PMA fee architecture, density rules, the named target universe and the compensation source register. Everything downstream reads from here; nothing here reads from anywhere else.</t>
  </si>
  <si>
    <t>1. OWNER GENERAL LEDGER — Forum on San Felipe, Jan–Jul 2026, Pinnacle / Cushman &amp; Wakefield</t>
  </si>
  <si>
    <t>Provided by Galium Capital. Proves what the owner pays. It does not reveal the manager delivery cost, so it evidences gross revenue architecture and willingness to pay, never retained margin.</t>
  </si>
  <si>
    <t>PMA residential units</t>
  </si>
  <si>
    <t>Executed Forum PMA, section 1.2</t>
  </si>
  <si>
    <t>GL software and service billing units</t>
  </si>
  <si>
    <t>$566.72/$1.54 and $570.40/$1.55 both resolve to 368. Open with Galium.</t>
  </si>
  <si>
    <t>Months in the YTD extract</t>
  </si>
  <si>
    <t>January to July 2026, accrual basis</t>
  </si>
  <si>
    <t>Annualisation factor</t>
  </si>
  <si>
    <t>Fee category</t>
  </si>
  <si>
    <t>Classification</t>
  </si>
  <si>
    <t>YTD GL</t>
  </si>
  <si>
    <t>Annualised</t>
  </si>
  <si>
    <t>$/PMA unit/yr</t>
  </si>
  <si>
    <t>Note</t>
  </si>
  <si>
    <t>Core management fee</t>
  </si>
  <si>
    <t>Core recurring fee</t>
  </si>
  <si>
    <t>[F]</t>
  </si>
  <si>
    <t>Account 4223-000.</t>
  </si>
  <si>
    <t>Benefits and payroll administration</t>
  </si>
  <si>
    <t>Inherited retained service</t>
  </si>
  <si>
    <t>Account 4158-000. Three percent of onsite payroll under the PMA.</t>
  </si>
  <si>
    <t>Revenue-management pricing advisory</t>
  </si>
  <si>
    <t>$1.55 per unit per month. Direct overlap with buyer-created Layer 2.</t>
  </si>
  <si>
    <t>Training and operating platform</t>
  </si>
  <si>
    <t>$1.54 per unit per month. Direct overlap with buyer-created Layer 1.</t>
  </si>
  <si>
    <t>Applications and IT support</t>
  </si>
  <si>
    <t>$140 per month under the PMA.</t>
  </si>
  <si>
    <t>IT infrastructure and email licensing</t>
  </si>
  <si>
    <t>Annual charge, not annualised.</t>
  </si>
  <si>
    <t>Yardi licensing</t>
  </si>
  <si>
    <t>Third-party pass-through</t>
  </si>
  <si>
    <t>$4.45 per unit per month. Software licensing incurred by the manager for the property. Zero retained margin by construction.</t>
  </si>
  <si>
    <t>2. EVIDENCED REVENUE ARCHITECTURE — drives Assumptions</t>
  </si>
  <si>
    <t>Core management fee per unit per year</t>
  </si>
  <si>
    <t>$/unit</t>
  </si>
  <si>
    <t>Replaces the $484 placeholder. Observed.</t>
  </si>
  <si>
    <t>Inherited retained-service revenue per unit</t>
  </si>
  <si>
    <t>Gross billed for services the manager delivers. Upper bound before delivery cost, never margin.</t>
  </si>
  <si>
    <t>Third-party pass-through per unit</t>
  </si>
  <si>
    <t>In revenue, never in EBITDA contribution. Zero manager margin.</t>
  </si>
  <si>
    <t>Episodic project / construction / consulting fees per unit</t>
  </si>
  <si>
    <t>The PMA permits a 5% project-management fee and $135/hour consulting. Absent from this extract. Zero in Base until target history supports it.</t>
  </si>
  <si>
    <t>Total RECURRING billed to the owner per unit — excludes episodic</t>
  </si>
  <si>
    <t>Platform-like services the incumbent already bills</t>
  </si>
  <si>
    <t>Revenue management, training and IT support. Buyer-created Layers 1 and 2 displace these rather than adding to them.</t>
  </si>
  <si>
    <t>RealPage AI revenue-management software</t>
  </si>
  <si>
    <t>Third-party tooling</t>
  </si>
  <si>
    <t>$24.04 per unit per year. The Layer 2 delivery cost should not sit below this.</t>
  </si>
  <si>
    <t>Recurring buyer-created service revenue per unit</t>
  </si>
  <si>
    <t>Nil in Base. Exists so that project, construction and other episodic revenue can never enter the recurring base through one combined interface line. Episodic sits at C24 and is reported separately throughout.</t>
  </si>
  <si>
    <t>3. PMA FEE ARCHITECTURE — classification from four executed agreements</t>
  </si>
  <si>
    <t>Reference and classification only. Not a live engine. Future target GL and PMA data overwrite the generic assumptions on the next tab.</t>
  </si>
  <si>
    <t>Revenue concept</t>
  </si>
  <si>
    <t>Economic treatment</t>
  </si>
  <si>
    <t>Evidence</t>
  </si>
  <si>
    <t>1. Core management fee</t>
  </si>
  <si>
    <t>Recurring PMC revenue</t>
  </si>
  <si>
    <t>Percentage of collected revenue, subject to property minimums. 2.25%-3.0% across the four PMAs.</t>
  </si>
  <si>
    <t>2. Inherited retained recurring services</t>
  </si>
  <si>
    <t>Recurring PMC revenue, delivery cost unknown</t>
  </si>
  <si>
    <t>Benefits administration, revenue management, training, IT support. Evidenced in all four PMAs and now in the Forum GL.</t>
  </si>
  <si>
    <t>3. Third-party pass-through and owner reimbursements</t>
  </si>
  <si>
    <t>Never PMC revenue</t>
  </si>
  <si>
    <t>Yardi and RealPage licensing, onsite payroll reimbursement. The platform administers; it does not margin on it.</t>
  </si>
  <si>
    <t>4. Episodic project and construction fees</t>
  </si>
  <si>
    <t>Recurring only if target history supports it</t>
  </si>
  <si>
    <t>5% project-management fee, $135/hour consulting, repair supervision. Zero in Base.</t>
  </si>
  <si>
    <t>5. Incentive fees</t>
  </si>
  <si>
    <t>Zero until contracted and earned</t>
  </si>
  <si>
    <t>Dayrise and Greystar both carry incentive structures. No speculative credit.</t>
  </si>
  <si>
    <t>6. Buyer-created Layers 1 to 3</t>
  </si>
  <si>
    <t>Buyer-created; zeroed by the evidence switch</t>
  </si>
  <si>
    <t>Must net inherited overlapping scope. The owner dollar cannot be monetised twice.</t>
  </si>
  <si>
    <t>Nearshore delivered employment cost index — evidence reference</t>
  </si>
  <si>
    <t>Abacus real-estate engagement: seven-person dedicated team invoiced at $401,264 against $878,020 estimated in Miami, 54% saving, covering accounting manager, FP&amp;A, treasury, staff accountant/AP and compliance. [C] comparable. Not the Base operating assumption; Org &amp; Capacity D25 carries the 0.40x Jack decision, and this index governs the evidence-constrained case.</t>
  </si>
  <si>
    <t>4. DENSITY OPERATING RULES</t>
  </si>
  <si>
    <t>Density drives field supervision, local recruiting and training, client coverage, vendor and compliance coverage and travel. It does NOT drive property accounting, AP/AR/payroll or centralised technology, which are property, entity and transaction driven.</t>
  </si>
  <si>
    <t>Acquisition class</t>
  </si>
  <si>
    <t>Units per city</t>
  </si>
  <si>
    <t>RPM span</t>
  </si>
  <si>
    <t>Maint. span</t>
  </si>
  <si>
    <t>Support x</t>
  </si>
  <si>
    <t>Use</t>
  </si>
  <si>
    <t>Infill</t>
  </si>
  <si>
    <t>Dense. &gt;=500 units per city, ideally &gt;=750</t>
  </si>
  <si>
    <t>Inside existing RPM, vendor and shared-services geometry.</t>
  </si>
  <si>
    <t>Clustered</t>
  </si>
  <si>
    <t>Base. 350-600 units per city</t>
  </si>
  <si>
    <t>Base operating pattern. Several adjacent clusters.</t>
  </si>
  <si>
    <t>Extension</t>
  </si>
  <si>
    <t>Dispersed. &lt;350 or a new market</t>
  </si>
  <si>
    <t>New regional, vendor, compliance and training infrastructure.</t>
  </si>
  <si>
    <t>Observed density tier</t>
  </si>
  <si>
    <t>Examples</t>
  </si>
  <si>
    <t>Base x</t>
  </si>
  <si>
    <t>Single-market / ultra-dense</t>
  </si>
  <si>
    <t>&gt;=1,000</t>
  </si>
  <si>
    <t>Elford; Thrive; Billingsley; 5812</t>
  </si>
  <si>
    <t>Highly concentrated</t>
  </si>
  <si>
    <t>600-999</t>
  </si>
  <si>
    <t>Richdale; Sentinel Peak; S2; Savoy</t>
  </si>
  <si>
    <t>Regionally clustered</t>
  </si>
  <si>
    <t>350-599</t>
  </si>
  <si>
    <t>Oakwood; Tipton; NRP; Valiant; Luma</t>
  </si>
  <si>
    <t>Dispersed</t>
  </si>
  <si>
    <t>150-349</t>
  </si>
  <si>
    <t>Sunridge; Peak Capital; Cirrus</t>
  </si>
  <si>
    <t>Scattered</t>
  </si>
  <si>
    <t>&lt;150</t>
  </si>
  <si>
    <t>Green Alpha; Woda Cooper</t>
  </si>
  <si>
    <t>5. NAMED TARGET UNIVERSE — Dallas and Columbus sub-30k cohorts</t>
  </si>
  <si>
    <t>Reference data so an Acquisition Schedule placeholder becomes a real target without rebuilding the workbook. Listing-derived, graded [C].</t>
  </si>
  <si>
    <t>Company</t>
  </si>
  <si>
    <t>Market</t>
  </si>
  <si>
    <t>Communities</t>
  </si>
  <si>
    <t>Cities</t>
  </si>
  <si>
    <t>Units/city</t>
  </si>
  <si>
    <t>Density tier / caveat</t>
  </si>
  <si>
    <t>Sentinel Real Estate</t>
  </si>
  <si>
    <t>Dallas</t>
  </si>
  <si>
    <t>Westdale</t>
  </si>
  <si>
    <t>Highly concentrated; owner-operator likely</t>
  </si>
  <si>
    <t>Mill Creek Residential</t>
  </si>
  <si>
    <t>Valiant Residential</t>
  </si>
  <si>
    <t>Kairoi Residential</t>
  </si>
  <si>
    <t>Gables Residential</t>
  </si>
  <si>
    <t>Atlantic Pacific Companies</t>
  </si>
  <si>
    <t>AMLI Residential</t>
  </si>
  <si>
    <t>Highly concentrated; owner-operator</t>
  </si>
  <si>
    <t>Portico Property Management</t>
  </si>
  <si>
    <t>Sentinel Peak Capital Partners</t>
  </si>
  <si>
    <t>Highly concentrated; investment affiliation</t>
  </si>
  <si>
    <t>CAF Management</t>
  </si>
  <si>
    <t>LDG Development</t>
  </si>
  <si>
    <t>Highly concentrated; developer affiliation</t>
  </si>
  <si>
    <t>Management Support</t>
  </si>
  <si>
    <t>S2 Residential</t>
  </si>
  <si>
    <t>Highly concentrated; potential fee manager</t>
  </si>
  <si>
    <t>Cirrus Asset Management</t>
  </si>
  <si>
    <t>Dayrise Residential</t>
  </si>
  <si>
    <t>Regionally clustered; PMA evidence counterparty</t>
  </si>
  <si>
    <t>The Richdale Group</t>
  </si>
  <si>
    <t>Luma Residential</t>
  </si>
  <si>
    <t>Regionally clustered; 160+ employees</t>
  </si>
  <si>
    <t>Anterra Management</t>
  </si>
  <si>
    <t>Regionally clustered; target-scale salary evidence</t>
  </si>
  <si>
    <t>Billingsley Company</t>
  </si>
  <si>
    <t>Ultra-dense; owner-operator likely</t>
  </si>
  <si>
    <t>Green Alpha Property Management</t>
  </si>
  <si>
    <t>W3 Luxury Living</t>
  </si>
  <si>
    <t>Savoy Companies</t>
  </si>
  <si>
    <t>Highly concentrated; hybrid</t>
  </si>
  <si>
    <t>Price Realty Corporation</t>
  </si>
  <si>
    <t>Coastal Ridge Real Estate</t>
  </si>
  <si>
    <t>Columbus</t>
  </si>
  <si>
    <t>Regionally clustered; Columbus HQ</t>
  </si>
  <si>
    <t>Birge &amp; Held</t>
  </si>
  <si>
    <t>The NRP Group</t>
  </si>
  <si>
    <t>Regionally clustered; affordable / developer</t>
  </si>
  <si>
    <t>The Connor Group</t>
  </si>
  <si>
    <t>Regionally clustered; owner-operator</t>
  </si>
  <si>
    <t>Towne Properties</t>
  </si>
  <si>
    <t>TGM Communities</t>
  </si>
  <si>
    <t>Barrett &amp; Stokely</t>
  </si>
  <si>
    <t>Oakwood Management</t>
  </si>
  <si>
    <t>Regionally clustered; 12,000+ self-reported</t>
  </si>
  <si>
    <t>KMG Prestige</t>
  </si>
  <si>
    <t>Dispersed; affordable-heavy</t>
  </si>
  <si>
    <t>Lifestyle Communities</t>
  </si>
  <si>
    <t>Mid-America Management</t>
  </si>
  <si>
    <t>5812 Investment Group</t>
  </si>
  <si>
    <t>Link Real Estate Group</t>
  </si>
  <si>
    <t>Highly concentrated; Columbus HQ</t>
  </si>
  <si>
    <t>CASTO</t>
  </si>
  <si>
    <t>Highly concentrated; mixed-use affiliation</t>
  </si>
  <si>
    <t>Woda Cooper Companies</t>
  </si>
  <si>
    <t>Scattered; affordable</t>
  </si>
  <si>
    <t>Thrive Companies</t>
  </si>
  <si>
    <t>Ultra-dense; owner/developer likely</t>
  </si>
  <si>
    <t>Elford Asset Management</t>
  </si>
  <si>
    <t>Ultra-dense; very small scale</t>
  </si>
  <si>
    <t>6. COMPENSATION AND BURDEN SOURCE REGISTER</t>
  </si>
  <si>
    <t>Source</t>
  </si>
  <si>
    <t>What it supports</t>
  </si>
  <si>
    <t>URL / note</t>
  </si>
  <si>
    <t>IRS Publication 15 (2026)</t>
  </si>
  <si>
    <t>Social Security 6.2%, Medicare 1.45%, FUTA</t>
  </si>
  <si>
    <t>https://www.irs.gov/publications/p15</t>
  </si>
  <si>
    <t>SSA Contribution and Benefit Base</t>
  </si>
  <si>
    <t>2026 Social Security taxable maximum $184,500</t>
  </si>
  <si>
    <t>https://www.ssa.gov/OACT/cola/cbb.html</t>
  </si>
  <si>
    <t>IRS retirement plan limits</t>
  </si>
  <si>
    <t>2026 qualified-plan compensation limit $360,000</t>
  </si>
  <si>
    <t>https://www.irs.gov/retirement-plans</t>
  </si>
  <si>
    <t>KFF 2025 Employer Health Benefits Survey</t>
  </si>
  <si>
    <t>Premium benchmark and large-firm employer share</t>
  </si>
  <si>
    <t>https://www.kff.org/health-costs/</t>
  </si>
  <si>
    <t>Mercer 2025 National Survey of Employer-Sponsored Health Plans</t>
  </si>
  <si>
    <t>Total health benefit cost per enrolled employee</t>
  </si>
  <si>
    <t>https://www.mercer.com/</t>
  </si>
  <si>
    <t>Justworks PEO pricing</t>
  </si>
  <si>
    <t>PEO administration per FTE per year</t>
  </si>
  <si>
    <t>https://www.justworks.com/pricing</t>
  </si>
  <si>
    <t>Executed Dayrise PMA — Tate Tanglewood</t>
  </si>
  <si>
    <t>344-unit staffing exhibit, 7 onsite roles; 1:49 units per FTE</t>
  </si>
  <si>
    <t>Project file</t>
  </si>
  <si>
    <t>NAA Staffing Considerations</t>
  </si>
  <si>
    <t>Onsite staffing rule and survey band</t>
  </si>
  <si>
    <t>https://www.naahq.org/</t>
  </si>
  <si>
    <t>Anterra Management (7,648 units, 16 cities)</t>
  </si>
  <si>
    <t>Property Manager $68-70k; ACM $22-26/hr</t>
  </si>
  <si>
    <t>Glassdoor / employer postings</t>
  </si>
  <si>
    <t>LUMA Residential (7,741 units, 17 cities)</t>
  </si>
  <si>
    <t>Multi-site luxury PM $85k+ plus bonus</t>
  </si>
  <si>
    <t>Employer posting</t>
  </si>
  <si>
    <t>Unnamed DFW operator</t>
  </si>
  <si>
    <t>Regional Property Manager $86-100k</t>
  </si>
  <si>
    <t>Captured posting</t>
  </si>
  <si>
    <t>The Connor Group (15,969 units)</t>
  </si>
  <si>
    <t>Regional Vice President $150-225k plus equity</t>
  </si>
  <si>
    <t>Reference ceiling only; ownership model differs</t>
  </si>
  <si>
    <t>Harvard JCHS / Yardi Matrix</t>
  </si>
  <si>
    <t>Market fragmentation and portfolio-size distribution</t>
  </si>
  <si>
    <t>https://www.jchs.harvard.edu/</t>
  </si>
  <si>
    <t>Apartments.com / CoStar Dallas and Columbus</t>
  </si>
  <si>
    <t>Named cohorts above; communities, cities, units</t>
  </si>
  <si>
    <t>Listing-derived; not complete portfolios</t>
  </si>
  <si>
    <t>ASSUMPTIONS AND CASES</t>
  </si>
  <si>
    <t>Three operating cases run simultaneously. The acquisition programme and every at-close target fact are identical across them; only post-close operating outcomes vary.</t>
  </si>
  <si>
    <t>Blue on yellow is the only thing to edit. Green is linked to the evidence tab or derived. Constraints drive the model; objectives are scored against and drive nothing.</t>
  </si>
  <si>
    <t>Provenance</t>
  </si>
  <si>
    <t>CASE CONTROL</t>
  </si>
  <si>
    <t>Case</t>
  </si>
  <si>
    <t>ASSUMPTION</t>
  </si>
  <si>
    <t>Case index</t>
  </si>
  <si>
    <t>EVIDENCE-CONSTRAINED SWITCH  (1 = strip unevidenced economics from all three cases)</t>
  </si>
  <si>
    <t>Zeroes buyer-created organic wins, other integration savings, local payroll elimination, leadership redundancy, all three layers, adoption and implementation. Replacement shared-services cost, HoldCo cost and transition overlap are retained as required operating costs. Inherited contracted revenue and the acquisition programme are unchanged.</t>
  </si>
  <si>
    <t>HORIZON AND HARD CONSTRAINTS — these drive the model</t>
  </si>
  <si>
    <t>Target year</t>
  </si>
  <si>
    <t>year</t>
  </si>
  <si>
    <t>JACK DECISION</t>
  </si>
  <si>
    <t>Exit year</t>
  </si>
  <si>
    <t>Long-hold scenario year</t>
  </si>
  <si>
    <t>Managed-unit ceiling at the target year</t>
  </si>
  <si>
    <t>Hard planning constraint. Common to all three cases because at-close facts are frozen.</t>
  </si>
  <si>
    <t>Average units per property</t>
  </si>
  <si>
    <t>Authoritative Base across all cases. The 200 / 225 / 250 work remains a sensitivity on Org &amp; Capacity, not an alternate Base.</t>
  </si>
  <si>
    <t>Implied properties at the ceiling</t>
  </si>
  <si>
    <t>properties</t>
  </si>
  <si>
    <t>Derived, not entered. The managed-unit ceiling divided by units per property. Actual properties at exit are reported downstream and are the arithmetic consequence of units, never a separate assumption.</t>
  </si>
  <si>
    <t>[C] COMPARABLE</t>
  </si>
  <si>
    <t>Exit EBITDA basis (1 reported / 2 exit run-rate)</t>
  </si>
  <si>
    <t>flag</t>
  </si>
  <si>
    <t>Acquisition closing fraction of year</t>
  </si>
  <si>
    <t>PLANNING OBJECTIVES — the model is scored against these; they drive nothing</t>
  </si>
  <si>
    <t>Objective — consolidated platform EBITDA after HoldCo</t>
  </si>
  <si>
    <t>Design objective, not a driver. The programme is constrained by the unit ceiling and target quality, so the shortfall is a finding and is never engineered away.</t>
  </si>
  <si>
    <t>Objective — clients at the exit year</t>
  </si>
  <si>
    <t>Scored against, never used to size anything. Actual clients are derived from clients acquired per deal and retention, and are reported on the Operating Case, Business Plan and IC Summary.</t>
  </si>
  <si>
    <t>DEAL-LEVEL ACQUISITION FACTS — frozen across operating cases</t>
  </si>
  <si>
    <t>Forum GL. [F] on the evidence tab; applied to unidentified targets it is a comparable.</t>
  </si>
  <si>
    <t>In revenue, never in EBITDA contribution.</t>
  </si>
  <si>
    <t>Episodic project and consulting fees per unit</t>
  </si>
  <si>
    <t>Zero in Base until target history supports it.</t>
  </si>
  <si>
    <t>ORG-20  Target payroll structure — payroll share of operating cost</t>
  </si>
  <si>
    <t>PRINCIPAL DECISION, 4 Sep 2026, set at 75%. Replaces the former non-payroll share of revenue. Target compensation is solved to this share of the acquired cost base rather than assumed from platform benchmarks. Total payroll share alone does not determine centralisation value: the dollars must sit in the roles the platform can actually eliminate. Resolving it requires a P&amp;L and trial balance, a payroll register, an employee census by role and title with loaded employer cost, outsourced finance, legal and compliance spend, benefit and payroll-tax costs, and intercompany allocations — prioritising a 6,000-unit target because that is the repeated tuck-in archetype. Frozen across operating cases; applies to acquired targets only, never to HoldCo or shared services, which carry full platform rates.</t>
  </si>
  <si>
    <t>Target normalized EBITDA per managed unit at close</t>
  </si>
  <si>
    <t>PRIMARY INPUT. With units per property and the evidenced revenue per unit, this is the only target-quality assumption in the model. Units, properties and the EBITDA margin are all derived from it. Set to the acquisition-quality screen: the minimum EBITDA per unit at which the instructed cadence, EBITDA sizes and 50,000-unit ceiling coexist. A screening criterion requiring target GL evidence, never an observed fact.</t>
  </si>
  <si>
    <t>OPEN QUESTION</t>
  </si>
  <si>
    <t>Implied target normalized EBITDA margin</t>
  </si>
  <si>
    <t>Set to the acquisition-quality screen derived on Operating Case: the minimum normalized margin at which the instructed cadence, EBITDA sizes and 50,000-unit ceiling coexist. It is a screening criterion for the target universe requiring target GL evidence, never an observed fact. One common at-close acquisition assumption. The same company is purchased in every case, so Downside and Upside read the Base cell by formula and cannot diverge. Acquisition quality is tested in the sensitivity block on Returns, never inside an operating scenario.</t>
  </si>
  <si>
    <t>Anchor acquired EBITDA</t>
  </si>
  <si>
    <t>Instructed minimum. Live on the EBITDA-led basis.</t>
  </si>
  <si>
    <t>Acquired EBITDA — large tuck-in</t>
  </si>
  <si>
    <t>One per year, as instructed.</t>
  </si>
  <si>
    <t>Acquired EBITDA — small tuck-in</t>
  </si>
  <si>
    <t>Filler size. Available but not used in the live Base programme because the unit ceiling leaves no room; the schedule reports this explicitly.</t>
  </si>
  <si>
    <t>Acquired EBITDA — mid-market addition</t>
  </si>
  <si>
    <t>Year 3 only. At or above the $800k pricing threshold, so it prices off the larger-target convention at 6.0x.</t>
  </si>
  <si>
    <t>Entry-multiple band threshold — acquired EBITDA</t>
  </si>
  <si>
    <t>A target BELOW this EBITDA prices off the smaller-target convention; at or above it, off the larger-target convention. Applied automatically by deal size. No deal in the live programme sits on the boundary, so the convention carries no knife-edge risk.</t>
  </si>
  <si>
    <t>The anchor is priced explicitly and does not use the band.</t>
  </si>
  <si>
    <t>Entry multiple — targets below the threshold</t>
  </si>
  <si>
    <t>Principal decision. The banker indication for smaller businesses was approximately 3-4x; 4.0x sits at the top of that range. The sensitivity band below is applied on Returns, never as an operating scenario.</t>
  </si>
  <si>
    <t>Pricing sensitivity band — below the threshold</t>
  </si>
  <si>
    <t>High 4.5x / Base 4.0x / Low 3.5x, applied on Returns as a purchase-price sensitivity. Graded [A]: the 4.5x high case sits above the 3-4x banker indication for smaller businesses and is not supported by it.</t>
  </si>
  <si>
    <t>Entry multiple — targets at or above the threshold</t>
  </si>
  <si>
    <t>Principal decision. Larger targets are competitively priced and do not clear at 3-4x.</t>
  </si>
  <si>
    <t>Clients acquired with the anchor</t>
  </si>
  <si>
    <t>Clients acquired per tuck-in</t>
  </si>
  <si>
    <t>Set so retained clients land near the 30 instruction at Year 7 after change-of-control loss and ordinary churn.</t>
  </si>
  <si>
    <t>Baseline reporting regimes across the portfolio</t>
  </si>
  <si>
    <t>Distinct owner reporting and approval regimes, not client count. Only complexity above the baseline creates incremental FTE.</t>
  </si>
  <si>
    <t>ESTIMATE</t>
  </si>
  <si>
    <t>Distinct regimes per 10 clients</t>
  </si>
  <si>
    <t>Regime complexity factor for bespoke regimes</t>
  </si>
  <si>
    <t>POST-CLOSE OPERATING OUTCOMES — these are what the cases vary</t>
  </si>
  <si>
    <t>Share of revenue — institutional, 30-day termination</t>
  </si>
  <si>
    <t>Annual retention — institutional</t>
  </si>
  <si>
    <t>Share of revenue — regional owner, 60-90 day</t>
  </si>
  <si>
    <t>Annual retention — regional owner</t>
  </si>
  <si>
    <t>Share of revenue — developer / lease-up, term</t>
  </si>
  <si>
    <t>Annual retention — developer / lease-up</t>
  </si>
  <si>
    <t>Incremental change-of-control loss at close</t>
  </si>
  <si>
    <t>Gross new-business wins — the target standalone capability</t>
  </si>
  <si>
    <t>What the acquired PMC wins on its own each year: developer relationships, referrals, local reputation. This is capability being purchased, so the evidence switch does NOT remove it. A PMC with roughly 9% annual contract churn needs wins of this order simply to hold its book.</t>
  </si>
  <si>
    <t>Gross new-business wins — platform uplift</t>
  </si>
  <si>
    <t>Incremental wins the target could not have achieved alone: dedicated business-development capacity, institutional owner reporting, balance sheet and credibility for larger mandates, developer lease-up assignments. Buyer-created, so the evidence switch zeroes it.</t>
  </si>
  <si>
    <t>Other integration savings — procurement, insurance, vendor</t>
  </si>
  <si>
    <t>Share of acquired EBITDA. Separate from the named leadership and role-centralisation savings, which are built bottom-up.</t>
  </si>
  <si>
    <t>Synergy phasing — year of close</t>
  </si>
  <si>
    <t>Synergy phasing — first full year</t>
  </si>
  <si>
    <t>Synergy phasing — second full year onward</t>
  </si>
  <si>
    <t>Integration cost per deal</t>
  </si>
  <si>
    <t>One-off at close. Scope excludes pod payroll and transition overlap, both of which are charged separately.</t>
  </si>
  <si>
    <t>Fixed transaction cost per close</t>
  </si>
  <si>
    <t>OPEN. Placeholder pending legal, QoE and insurance quotes.</t>
  </si>
  <si>
    <t>Transaction costs as share of EV</t>
  </si>
  <si>
    <t>PLATFORM SERVICES — LAYERS 1 TO 3</t>
  </si>
  <si>
    <t>Layer 1 platform fee per unit per year</t>
  </si>
  <si>
    <t>Layer 2 module revenue per unit per year</t>
  </si>
  <si>
    <t>Layer 3 gainshare per unit per year</t>
  </si>
  <si>
    <t>Revenue management, training and IT support, from the Forum GL.</t>
  </si>
  <si>
    <t>Share of Layers 1 and 2 that displaces incumbent scope</t>
  </si>
  <si>
    <t>Netted off before delivery cost. The same owner dollar cannot be monetised twice.</t>
  </si>
  <si>
    <t>Layer 1 direct COGS share</t>
  </si>
  <si>
    <t>Layer 2 third-party tooling per adopted unit</t>
  </si>
  <si>
    <t>Observed RealPage cost. Delivery labour is named separately on Org &amp; Capacity.</t>
  </si>
  <si>
    <t>[F] FACT</t>
  </si>
  <si>
    <t>Layer 3 direct COGS share</t>
  </si>
  <si>
    <t>Adoption at full ramp</t>
  </si>
  <si>
    <t>Years to full adoption</t>
  </si>
  <si>
    <t>years</t>
  </si>
  <si>
    <t>Product implementation cost per unit onboarded</t>
  </si>
  <si>
    <t>Recurring buyer-created revenue, separate from the episodic line at row 30. Nil in Base.</t>
  </si>
  <si>
    <t>TRANSITION AND CAPACITY</t>
  </si>
  <si>
    <t>Payroll overlap window</t>
  </si>
  <si>
    <t>User convention, do not revert.</t>
  </si>
  <si>
    <t>First-year payroll overlap share</t>
  </si>
  <si>
    <t>Second-year overlap factor</t>
  </si>
  <si>
    <t>Deals one integration pod can absorb per year</t>
  </si>
  <si>
    <t>deals</t>
  </si>
  <si>
    <t>Fully loaded cost per integration pod</t>
  </si>
  <si>
    <t>HoldCo non-payroll G&amp;A — year 1</t>
  </si>
  <si>
    <t>Technology, insurance, professional fees, premises. Payroll is built bottom-up and is not in this line.</t>
  </si>
  <si>
    <t>HoldCo non-payroll G&amp;A growth</t>
  </si>
  <si>
    <t>Annual compensation inflation</t>
  </si>
  <si>
    <t>Recurring corporate capex per managed unit</t>
  </si>
  <si>
    <t>PMC-funded working capital per managed unit</t>
  </si>
  <si>
    <t>Leadership redundancy credited in the underwriting</t>
  </si>
  <si>
    <t>JACK PRINCIPAL DECISION, 7 Sep 2026. Set to nil. No synergy credit may exist unless the seller cost eliminated is explicitly represented in the bottom-up seller organisation and is not already consumed by another savings line. The two-seat redundancy is not so represented. The schedule below it is retained as an uncredited [OQ] upside; seller leadership seats must not be invented to preserve it. The separate roster-duplication analysis of approximately $2.99m is likewise ununderwritten pending target roster evidence.</t>
  </si>
  <si>
    <t>CAPITAL STRUCTURE, COVENANTS AND EXIT</t>
  </si>
  <si>
    <t>Maximum senior leverage on DealCo EBITDA</t>
  </si>
  <si>
    <t>Minimum lender DSCR on cash available for debt service</t>
  </si>
  <si>
    <t>Binding. Debt funded is the lower of the leverage test and this CFADS test.</t>
  </si>
  <si>
    <t>Target senior debt share of acquisition EV</t>
  </si>
  <si>
    <t>A target, not an entitlement. Frozen across cases because it is a deal fact.</t>
  </si>
  <si>
    <t>Senior debt interest rate</t>
  </si>
  <si>
    <t>Senior amortisation, share of each vintage original principal</t>
  </si>
  <si>
    <t>Seller note share of acquisition EV</t>
  </si>
  <si>
    <t>Seller note interest rate</t>
  </si>
  <si>
    <t>Seller note maturity from its own vintage</t>
  </si>
  <si>
    <t>Minimum cash balance — HoldCo reserve</t>
  </si>
  <si>
    <t>Platform reserve. Separate from property-owner and trust cash, which never appears in this model.</t>
  </si>
  <si>
    <t>Effective cash tax rate</t>
  </si>
  <si>
    <t>Exit multiple</t>
  </si>
  <si>
    <t>Valuation sensitivity, not an operating outcome.</t>
  </si>
  <si>
    <t>Common platform exit multiple for the operating comparison</t>
  </si>
  <si>
    <t>Multiple applied to buyer-created EBITDA</t>
  </si>
  <si>
    <t>Buyer-created earnings were never purchased and carry no acquisition multiple.</t>
  </si>
  <si>
    <t>Exit costs as share of EV</t>
  </si>
  <si>
    <t>FORMATTING LEGEND</t>
  </si>
  <si>
    <t>Blue on yellow</t>
  </si>
  <si>
    <t>hardcoded input — the only cells to edit</t>
  </si>
  <si>
    <t>Black</t>
  </si>
  <si>
    <t>formula referencing this sheet only</t>
  </si>
  <si>
    <t>Green</t>
  </si>
  <si>
    <t>formula referencing another sheet</t>
  </si>
  <si>
    <t>Red</t>
  </si>
  <si>
    <t>link to an external file — none should exist in this workbook</t>
  </si>
  <si>
    <t>Grey</t>
  </si>
  <si>
    <t>note or commentary</t>
  </si>
  <si>
    <t>#,##0;(#,##0);-</t>
  </si>
  <si>
    <t>numbers; negatives in parentheses, zero as a hyphen</t>
  </si>
  <si>
    <t>#,##0.0%;(#,##0.0%);-</t>
  </si>
  <si>
    <t>percentages</t>
  </si>
  <si>
    <t>#,##0.00x;(#,##0.00x);-</t>
  </si>
  <si>
    <t>multiples</t>
  </si>
  <si>
    <t>Century Gothic 8pt</t>
  </si>
  <si>
    <t>throughout; no merged cells, no wrapped text</t>
  </si>
  <si>
    <t>ACQUISITION SCHEDULE — ONE ROW PER DEAL</t>
  </si>
  <si>
    <t>Every field is an at-close fact and is identical in Downside, Base and Upside. Operating cases change what happens after close, never the company that was bought.</t>
  </si>
  <si>
    <t>Deal ID</t>
  </si>
  <si>
    <t>Target / type</t>
  </si>
  <si>
    <t>Class</t>
  </si>
  <si>
    <t>Close yr</t>
  </si>
  <si>
    <t>Acq EBITDA</t>
  </si>
  <si>
    <t>Revenue*</t>
  </si>
  <si>
    <t>Margin*</t>
  </si>
  <si>
    <t>Units*</t>
  </si>
  <si>
    <t>Props*</t>
  </si>
  <si>
    <t>Clients*</t>
  </si>
  <si>
    <t>Regimes</t>
  </si>
  <si>
    <t>Entry x</t>
  </si>
  <si>
    <t>EV</t>
  </si>
  <si>
    <t>Senior</t>
  </si>
  <si>
    <t>Seller note</t>
  </si>
  <si>
    <t>Integr. cost</t>
  </si>
  <si>
    <t>Txn cost</t>
  </si>
  <si>
    <t>Ldrs acq</t>
  </si>
  <si>
    <t>Retained</t>
  </si>
  <si>
    <t>Redundant</t>
  </si>
  <si>
    <t>Density x</t>
  </si>
  <si>
    <t>Units x dens</t>
  </si>
  <si>
    <t>ANCHOR</t>
  </si>
  <si>
    <t>Backbone platform</t>
  </si>
  <si>
    <t>TK01</t>
  </si>
  <si>
    <t>Large tuck-in</t>
  </si>
  <si>
    <t>TK02</t>
  </si>
  <si>
    <t>TK03</t>
  </si>
  <si>
    <t>TK04</t>
  </si>
  <si>
    <t>Mid-market addition</t>
  </si>
  <si>
    <t>TK05</t>
  </si>
  <si>
    <t>TK06</t>
  </si>
  <si>
    <t>TK07</t>
  </si>
  <si>
    <t>TK08</t>
  </si>
  <si>
    <t>TOTAL</t>
  </si>
  <si>
    <t>PROGRAMME BY YEAR</t>
  </si>
  <si>
    <t>Y1</t>
  </si>
  <si>
    <t>Y2</t>
  </si>
  <si>
    <t>Y3</t>
  </si>
  <si>
    <t>Y4</t>
  </si>
  <si>
    <t>Y5</t>
  </si>
  <si>
    <t>Y6</t>
  </si>
  <si>
    <t>Y7</t>
  </si>
  <si>
    <t>Y8</t>
  </si>
  <si>
    <t>Y9</t>
  </si>
  <si>
    <t>Y10</t>
  </si>
  <si>
    <t>Deals closed</t>
  </si>
  <si>
    <t>Acquired EBITDA at acquisition</t>
  </si>
  <si>
    <t>Acquired recurring revenue</t>
  </si>
  <si>
    <t>Units acquired</t>
  </si>
  <si>
    <t>Properties acquired</t>
  </si>
  <si>
    <t>Clients acquired</t>
  </si>
  <si>
    <t>Regimes acquired</t>
  </si>
  <si>
    <t>Acquisition enterprise value</t>
  </si>
  <si>
    <t>Senior debt target</t>
  </si>
  <si>
    <t>Seller notes issued</t>
  </si>
  <si>
    <t>Integration cost</t>
  </si>
  <si>
    <t>Transaction cost</t>
  </si>
  <si>
    <t>Senior leaders acquired</t>
  </si>
  <si>
    <t>Senior leaders retained locally</t>
  </si>
  <si>
    <t>Redundant senior leaders</t>
  </si>
  <si>
    <t>Integration pods required</t>
  </si>
  <si>
    <t>pods</t>
  </si>
  <si>
    <t>Weighted market-support multiplier</t>
  </si>
  <si>
    <t>INDEPENDENT RECONSTRUCTION FROM PRIMITIVES  (controls read these; none reads the column it is testing)</t>
  </si>
  <si>
    <t>Seller notes rebuilt from EV x share</t>
  </si>
  <si>
    <t>Integration cost rebuilt from close count</t>
  </si>
  <si>
    <t>Transaction cost rebuilt from close count and EV</t>
  </si>
  <si>
    <t>Roll-up versus reconstruction — must be nil</t>
  </si>
  <si>
    <t>Maximum reconstruction difference across all years</t>
  </si>
  <si>
    <t>PROGRAMME CONSTRAINT DIAGNOSTIC — cadence and the Year-7 managed-unit ceiling</t>
  </si>
  <si>
    <t>The ceiling is a Year-7 MANAGED-unit constraint, not a cap on cumulative units ever purchased. Attrition, change-of-control loss and vintage retention sit between the two, so gross acquired units are shown as a memo only.</t>
  </si>
  <si>
    <t>Large tuck-ins in the programme</t>
  </si>
  <si>
    <t>n / units</t>
  </si>
  <si>
    <t>Years in the acquisition window</t>
  </si>
  <si>
    <t>One large deal per year satisfied</t>
  </si>
  <si>
    <t>Cumulative gross units acquired — memo only</t>
  </si>
  <si>
    <t>The ceiling is a Year-7 MANAGED-unit constraint. Gross units acquired are a memo only; the headroom test and filler capacity are computed on Operating Case where retained units live.</t>
  </si>
  <si>
    <t>Units-weighted from each deal acquisition class. Applied on Org &amp; Capacity only to field supervision, local recruiting and training, client coverage and travel — never to property accounting, AP/AR or centralised technology.</t>
  </si>
  <si>
    <t>ANCHOR QoE AND CONTRACT DURABILITY</t>
  </si>
  <si>
    <t>Durability is underwritten on retained recurring revenue, contract rights, concentration and EBITDA contribution. No synthetic client gross profit is invented until a target GL supports direct cost allocation.</t>
  </si>
  <si>
    <t>CONTRACT DURABILITY BY PMA CATEGORY</t>
  </si>
  <si>
    <t>Downside retention</t>
  </si>
  <si>
    <t>Base retention</t>
  </si>
  <si>
    <t>Upside retention</t>
  </si>
  <si>
    <t>Institutional owner</t>
  </si>
  <si>
    <t>% / %</t>
  </si>
  <si>
    <t>[C]/[A]</t>
  </si>
  <si>
    <t>30-day termination without cause; assignment consent required</t>
  </si>
  <si>
    <t>Regional owner</t>
  </si>
  <si>
    <t>60-90 day termination; change-of-control consent</t>
  </si>
  <si>
    <t>Developer / lease-up</t>
  </si>
  <si>
    <t>Term contract to stabilisation; assignment generally permitted</t>
  </si>
  <si>
    <t>Category shares sum to 100%</t>
  </si>
  <si>
    <t>Change-of-control loss at close</t>
  </si>
  <si>
    <t>ANCHOR ACQUISITION BASIS  (at-close facts, frozen across cases)</t>
  </si>
  <si>
    <t>Normalized EBITDA at close</t>
  </si>
  <si>
    <t>Recurring revenue at close</t>
  </si>
  <si>
    <t>Normalized EBITDA margin</t>
  </si>
  <si>
    <t>Units at close</t>
  </si>
  <si>
    <t>Properties at close</t>
  </si>
  <si>
    <t>Clients at close</t>
  </si>
  <si>
    <t>Entry multiple</t>
  </si>
  <si>
    <t>Enterprise value</t>
  </si>
  <si>
    <t>EV as a multiple of recurring revenue</t>
  </si>
  <si>
    <t>Largest client share of acquired revenue</t>
  </si>
  <si>
    <t>Equal-share proxy. Replace with the target client schedule.</t>
  </si>
  <si>
    <t>REVENUE AND DURABILITY — VINTAGE RETENTION BY CASE</t>
  </si>
  <si>
    <t>Net factor = retention x (1 + standalone wins + platform uplift). New business is separated into what the target wins on its own capability, which is purchased, and what the platform adds, which is buyer-created and switches off with the evidence flag.</t>
  </si>
  <si>
    <t>Revenue, EBITDA margin and EBITDA reconcile by construction. Third-party pass-through sits in revenue and is excluded from EBITDA contribution.</t>
  </si>
  <si>
    <t>DOWNSIDE</t>
  </si>
  <si>
    <t>Blended annual contract retention</t>
  </si>
  <si>
    <t>Gross annual contract churn</t>
  </si>
  <si>
    <t>Gross new-business wins — target standalone capability</t>
  </si>
  <si>
    <t>Net annual factor — standalone counterfactual</t>
  </si>
  <si>
    <t>NET ANNUAL FACTOR INSIDE THE PLATFORM</t>
  </si>
  <si>
    <t>Platform growth advantage over standalone</t>
  </si>
  <si>
    <t>pts</t>
  </si>
  <si>
    <t>Ownership must not make an acquired business grow more slowly than it would have alone. The advantage line is the platform contribution, and it can never be negative by construction because the uplift is additive.</t>
  </si>
  <si>
    <t>Close-year part-period factor</t>
  </si>
  <si>
    <t>Not a retention rate. A deal closing mid-year contributes only part of a full year of EBITDA in its close year, and the book that survives change of control is smaller. Half a year of ownership at 94 percent surviving change of control gives 47 percent of a full year. The anchor is grossed back to a full year because it is owned from day one.</t>
  </si>
  <si>
    <t>Contracted vintage — anchor at close</t>
  </si>
  <si>
    <t>Contracted vintage Year 1</t>
  </si>
  <si>
    <t>Contracted vintage Year 2</t>
  </si>
  <si>
    <t>Contracted vintage Year 3</t>
  </si>
  <si>
    <t>Contracted vintage Year 4</t>
  </si>
  <si>
    <t>Contracted vintage Year 5</t>
  </si>
  <si>
    <t>Contracted vintage Year 6</t>
  </si>
  <si>
    <t>Contracted vintage Year 7</t>
  </si>
  <si>
    <t>Contracted business only: change-of-control loss once at close, then contractual retention. No new business. This is what was purchased and it is what the source-specific valuation capitalises at the multiple actually paid.</t>
  </si>
  <si>
    <t>Organic wins on the anchor</t>
  </si>
  <si>
    <t>Organic wins on the Year 1 vintage</t>
  </si>
  <si>
    <t>Organic wins on the Year 2 vintage</t>
  </si>
  <si>
    <t>Organic wins on the Year 3 vintage</t>
  </si>
  <si>
    <t>Organic wins on the Year 4 vintage</t>
  </si>
  <si>
    <t>Organic wins on the Year 5 vintage</t>
  </si>
  <si>
    <t>Organic wins on the Year 6 vintage</t>
  </si>
  <si>
    <t>Organic wins on the Year 7 vintage</t>
  </si>
  <si>
    <t>Gross new business the book wins after close, contracted roll-forward removed. Buyer-created, subject to the capacity ceiling and zeroed by the evidence switch.</t>
  </si>
  <si>
    <t>CONTRACTED ACQUIRED EBITDA</t>
  </si>
  <si>
    <t>Contracted managed units</t>
  </si>
  <si>
    <t>Gross organic-win EBITDA before the ceiling</t>
  </si>
  <si>
    <t>Gross organic-win units before the ceiling</t>
  </si>
  <si>
    <t>Managed units before the capacity ceiling</t>
  </si>
  <si>
    <t>Organic capacity headroom</t>
  </si>
  <si>
    <t>Capacity constrains new business only. Contracted acquired units are never dropped; if the acquired book alone exceeded the ceiling that would be a programme failure, and a control tests for it.</t>
  </si>
  <si>
    <t>Served organic-win units</t>
  </si>
  <si>
    <t>Deferred / unserved pipeline units</t>
  </si>
  <si>
    <t>Organic capacity factor — applies to new business only</t>
  </si>
  <si>
    <t>BUYER-CREATED ORGANIC EBITDA</t>
  </si>
  <si>
    <t>Total retained EBITDA — contracted plus served organic</t>
  </si>
  <si>
    <t>Contracted retention factor versus acquired</t>
  </si>
  <si>
    <t>MANAGED UNITS</t>
  </si>
  <si>
    <t>Opening managed units</t>
  </si>
  <si>
    <t>Units acquired in the year</t>
  </si>
  <si>
    <t>Units lost to contract churn</t>
  </si>
  <si>
    <t>Units won — target standalone capability</t>
  </si>
  <si>
    <t>Units won — platform uplift</t>
  </si>
  <si>
    <t>Mid-year close timing and capacity deferral</t>
  </si>
  <si>
    <t>Net change in managed units</t>
  </si>
  <si>
    <t>Gross movement disclosure. Opening plus acquired, less churn, plus standalone wins, plus platform uplift. The final line is the residual between that simple roll and the vintage engine: acquisitions close mid-year and each vintage compounds from its own close date, and capacity deferral sits here once the ceiling binds. The retained line above is the live calculation.</t>
  </si>
  <si>
    <t>Retained properties</t>
  </si>
  <si>
    <t>Arithmetic from managed units and units per property, never an independent roll-forward.</t>
  </si>
  <si>
    <t>Managed units per client, acquired mix</t>
  </si>
  <si>
    <t>Retained clients</t>
  </si>
  <si>
    <t>Managed units divided by the acquired units-per-client density, so clients track the served book. Never the product of a contracted retention factor and an organic capacity factor, which have no joint meaning.</t>
  </si>
  <si>
    <t>Retained regimes</t>
  </si>
  <si>
    <t>Retained recurring revenue — excludes episodic</t>
  </si>
  <si>
    <t>of which third-party pass-through</t>
  </si>
  <si>
    <t>Realised EBITDA margin on recurring revenue</t>
  </si>
  <si>
    <t>Run-rate retained EBITDA at year end</t>
  </si>
  <si>
    <t>BASE</t>
  </si>
  <si>
    <t>UPSIDE</t>
  </si>
  <si>
    <t>ORG AND CAPACITY — WORKFORCE ECONOMICS</t>
  </si>
  <si>
    <t>Corporate payroll has no independent existence. It is the sum of the role build below, at salary-sensitive loaded cost.</t>
  </si>
  <si>
    <t>Owner-reimbursed onsite staff are legal employees but economically owner funded and never enter PMC EBITDA.</t>
  </si>
  <si>
    <t>1. ORGANISATION-BUILD DRIVERS  (ORG-01 to ORG-18)</t>
  </si>
  <si>
    <t>Code</t>
  </si>
  <si>
    <t>Driver</t>
  </si>
  <si>
    <t>Low</t>
  </si>
  <si>
    <t>High</t>
  </si>
  <si>
    <t>Source / note</t>
  </si>
  <si>
    <t>ORG-01</t>
  </si>
  <si>
    <t>Onsite staffing ratio</t>
  </si>
  <si>
    <t>units/FTE</t>
  </si>
  <si>
    <t>Executed Dayrise PMA: 344 units / 7 onsite roles. NAA planning range 45-50.</t>
  </si>
  <si>
    <t>ORG-02</t>
  </si>
  <si>
    <t>Regional property manager span</t>
  </si>
  <si>
    <t>props/RPM</t>
  </si>
  <si>
    <t>Planning band. Density-adjusted.</t>
  </si>
  <si>
    <t>ORG-03</t>
  </si>
  <si>
    <t>Regional maintenance span</t>
  </si>
  <si>
    <t>props/leader</t>
  </si>
  <si>
    <t>Density-adjusted.</t>
  </si>
  <si>
    <t>ORG-04</t>
  </si>
  <si>
    <t>Variable market-support multiplier</t>
  </si>
  <si>
    <t>Dense / base / dispersed. Applied only to density-eligible roles.</t>
  </si>
  <si>
    <t>ORG-05</t>
  </si>
  <si>
    <t>Property accountant span</t>
  </si>
  <si>
    <t>props/FTE</t>
  </si>
  <si>
    <t>[A/E]</t>
  </si>
  <si>
    <t>Property and entity driven. NOT density-adjusted.</t>
  </si>
  <si>
    <t>ORG-06</t>
  </si>
  <si>
    <t>VP / Director Ops activation</t>
  </si>
  <si>
    <t>VP layer begins above this scale. Read by R003 activation at E49 from v2.2.5.</t>
  </si>
  <si>
    <t>ORG-07</t>
  </si>
  <si>
    <t>VP / Director Ops incremental</t>
  </si>
  <si>
    <t>ORG-08</t>
  </si>
  <si>
    <t>CFO activation threshold</t>
  </si>
  <si>
    <t>Can remain outsourced below the threshold. Read by R005, R009 and R013 activations from v2.2.7.</t>
  </si>
  <si>
    <t>ORG-09</t>
  </si>
  <si>
    <t>Controller span</t>
  </si>
  <si>
    <t>ORG-10</t>
  </si>
  <si>
    <t>AP / AR / Payroll ratio</t>
  </si>
  <si>
    <t>FTE/property</t>
  </si>
  <si>
    <t>Approximately 1 FTE per 16.7 properties. Transaction driven, not density.</t>
  </si>
  <si>
    <t>ORG-11</t>
  </si>
  <si>
    <t>Treasury / FP&amp;A incremental</t>
  </si>
  <si>
    <t>Applies above the first 5,000 units. Read by R009 activation at E55 from v2.2.6.</t>
  </si>
  <si>
    <t>ORG-12</t>
  </si>
  <si>
    <t>HR / Recruiting / L&amp;D incremental</t>
  </si>
  <si>
    <t>Density-eligible: more markets increase recruiting cost.</t>
  </si>
  <si>
    <t>ORG-13</t>
  </si>
  <si>
    <t>Marketing / Revenue Mgmt to 10k</t>
  </si>
  <si>
    <t>ORG-14</t>
  </si>
  <si>
    <t>IT / PMS Admin / Data-BI</t>
  </si>
  <si>
    <t>Systems driven. NOT density-adjusted.</t>
  </si>
  <si>
    <t>ORG-15</t>
  </si>
  <si>
    <t>Compliance / Risk / Procurement / Legal</t>
  </si>
  <si>
    <t>Density-eligible: markets and asset complexity. Also the R013 activation and step base from v2.2.6, per the v1.8.0 mechanic.</t>
  </si>
  <si>
    <t>ORG-16</t>
  </si>
  <si>
    <t>Marketing / Revenue Mgmt above 10k</t>
  </si>
  <si>
    <t>ORG-17</t>
  </si>
  <si>
    <t>Business development span</t>
  </si>
  <si>
    <t>Density-eligible: local market relationships.</t>
  </si>
  <si>
    <t>ORG-18</t>
  </si>
  <si>
    <t>Corporate-layer activation floor</t>
  </si>
  <si>
    <t>Corporate-layer activation floor, named for HR and IT, which read it at E56 and E58. Compliance (R013) does not: the v1.8.0 mechanic activates it at its own first ORG-15 step of 3,750 units.</t>
  </si>
  <si>
    <t>ORG-21  Nearshore delivered cost — Base input (0.40x) and effective index at H25</t>
  </si>
  <si>
    <t>JACK PRINCIPAL DECISION, 7 Sep 2026: Base underwrites 0.40x delivered LATAM employment cost for R006, R007 and R008. Graded [A]; no PMC-specific delivered quote exists. SUPERVISOR RULING, 7 Sep 2026: under the evidence-constrained switch the delivered index reverts to the 0.46x [C] Abacus comparable at Evidence &amp; Market C38 — nearshore delivery is not zeroed, because a comparable exists, but the incremental 0.40x assumption disappears. Effective index in force is at H25.</t>
  </si>
  <si>
    <t>2. SALARY-SENSITIVE PAYROLL BURDEN  (BEN-01 to BEN-14) — replaces any flat multiple</t>
  </si>
  <si>
    <t>Burden is role-sensitive. A flat multiple overstates it on senior roles, where the wage base and qualified-comp cap bind, and understates it on junior roles.</t>
  </si>
  <si>
    <t>Input</t>
  </si>
  <si>
    <t>BEN-01</t>
  </si>
  <si>
    <t>Employer Social Security rate</t>
  </si>
  <si>
    <t>BEN-02</t>
  </si>
  <si>
    <t>Social Security wage base</t>
  </si>
  <si>
    <t>SSA contribution and benefit base 2026</t>
  </si>
  <si>
    <t>BEN-03</t>
  </si>
  <si>
    <t>Employer Medicare rate</t>
  </si>
  <si>
    <t>No wage cap</t>
  </si>
  <si>
    <t>BEN-04</t>
  </si>
  <si>
    <t>FUTA per employee</t>
  </si>
  <si>
    <t>Federal unemployment</t>
  </si>
  <si>
    <t>BEN-05</t>
  </si>
  <si>
    <t>State unemployment per corporate FTE</t>
  </si>
  <si>
    <t>State-specific planning allowance</t>
  </si>
  <si>
    <t>BEN-06</t>
  </si>
  <si>
    <t>Gross health benefit cost per enrolled employee</t>
  </si>
  <si>
    <t>Mercer / KFF basis</t>
  </si>
  <si>
    <t>BEN-07</t>
  </si>
  <si>
    <t>Employer share of gross health cost</t>
  </si>
  <si>
    <t>Large-firm premium share benchmark</t>
  </si>
  <si>
    <t>BEN-08</t>
  </si>
  <si>
    <t>Corporate health-plan take-up rate</t>
  </si>
  <si>
    <t>Eligibility and take-up benchmark</t>
  </si>
  <si>
    <t>BEN-09</t>
  </si>
  <si>
    <t>PPO / competitive-plan buffer</t>
  </si>
  <si>
    <t>Conservative plan-quality buffer</t>
  </si>
  <si>
    <t>BEN-11</t>
  </si>
  <si>
    <t>401(k) employer match rate</t>
  </si>
  <si>
    <t>Applied to base salary</t>
  </si>
  <si>
    <t>BEN-12</t>
  </si>
  <si>
    <t>Qualified-plan compensation cap</t>
  </si>
  <si>
    <t>IRS 2026 limit</t>
  </si>
  <si>
    <t>BEN-13</t>
  </si>
  <si>
    <t>$124 per FTE per month</t>
  </si>
  <si>
    <t>BEN-14</t>
  </si>
  <si>
    <t>Workers comp and other employment insurance per FTE</t>
  </si>
  <si>
    <t>Low-risk corporate-role allowance</t>
  </si>
  <si>
    <t>BEN-10</t>
  </si>
  <si>
    <t>Blended employer health cost per corporate FTE</t>
  </si>
  <si>
    <t>Formula</t>
  </si>
  <si>
    <t>BEN-06 x BEN-07 x BEN-08 x BEN-09</t>
  </si>
  <si>
    <t>3. STANDALONE TARGET ROLE ARCHITECTURE  (R001 to R014) — the org an acquired PMC carries</t>
  </si>
  <si>
    <t>CENTRALIZE removes the local cost once and adds a replacement shared-service cost once, with both paid during the overlap window. RETAIN LOCAL stays inside acquired EBITDA. NO CREDIT is never eliminated.</t>
  </si>
  <si>
    <t>Role ID</t>
  </si>
  <si>
    <t>Function</t>
  </si>
  <si>
    <t>Span / ratio</t>
  </si>
  <si>
    <t>Activation</t>
  </si>
  <si>
    <t>Base salary</t>
  </si>
  <si>
    <t>Bonus %</t>
  </si>
  <si>
    <t>Cash comp</t>
  </si>
  <si>
    <t>Loaded cost</t>
  </si>
  <si>
    <t>Treatment</t>
  </si>
  <si>
    <t>Location</t>
  </si>
  <si>
    <t>Density</t>
  </si>
  <si>
    <t>Units/FTE equiv</t>
  </si>
  <si>
    <t>Density elig.</t>
  </si>
  <si>
    <t>RETAIN</t>
  </si>
  <si>
    <t>CENTRAL</t>
  </si>
  <si>
    <t>NOCRED</t>
  </si>
  <si>
    <t>Base FTE</t>
  </si>
  <si>
    <t>Step base units</t>
  </si>
  <si>
    <t>Base FTE and step base reproduce the 5,000 / 10,000 / 20,000-unit benchmark organisation from the market and density work.</t>
  </si>
  <si>
    <t>SS units/FTE</t>
  </si>
  <si>
    <t>Seat granularity</t>
  </si>
  <si>
    <t>Nearshore share</t>
  </si>
  <si>
    <t>Permitted NS max</t>
  </si>
  <si>
    <t>R001</t>
  </si>
  <si>
    <t>Regional Property Managers</t>
  </si>
  <si>
    <t>RETAIN LOCAL</t>
  </si>
  <si>
    <t>LOCAL</t>
  </si>
  <si>
    <t>YES</t>
  </si>
  <si>
    <t>Property and market operations</t>
  </si>
  <si>
    <t>R002</t>
  </si>
  <si>
    <t>Regional Maintenance Director</t>
  </si>
  <si>
    <t>Regional facilities leadership</t>
  </si>
  <si>
    <t>R003</t>
  </si>
  <si>
    <t>VP / Director of Operations</t>
  </si>
  <si>
    <t>ORG-06 linked. Restores the pre-v2 specification (activation plus ORG-06/07 units per FTE). In isolation this takes the $750k tuck-ins to 106.52% of their own cost base.</t>
  </si>
  <si>
    <t>R004</t>
  </si>
  <si>
    <t>Founder / Head of Operations</t>
  </si>
  <si>
    <t>fixed</t>
  </si>
  <si>
    <t>NO CREDIT</t>
  </si>
  <si>
    <t>NO</t>
  </si>
  <si>
    <t>Handled by the leadership-redundancy schedule below, never by a generic percentage</t>
  </si>
  <si>
    <t>R005</t>
  </si>
  <si>
    <t>CFO</t>
  </si>
  <si>
    <t>activation</t>
  </si>
  <si>
    <t>CENTRALIZE</t>
  </si>
  <si>
    <t>SHARED</t>
  </si>
  <si>
    <t>Absent or outsourced below the threshold</t>
  </si>
  <si>
    <t>R006</t>
  </si>
  <si>
    <t>Controller / Accounting Manager</t>
  </si>
  <si>
    <t>Core accounting</t>
  </si>
  <si>
    <t>R007</t>
  </si>
  <si>
    <t>Property Accountants</t>
  </si>
  <si>
    <t>Prime shared-services and offshore candidate</t>
  </si>
  <si>
    <t>R008</t>
  </si>
  <si>
    <t>AP / AR / Payroll</t>
  </si>
  <si>
    <t>Transaction driven</t>
  </si>
  <si>
    <t>R009</t>
  </si>
  <si>
    <t>Treasury / FP&amp;A</t>
  </si>
  <si>
    <t>PLATFORM ROLE. Principal decision, 4 Sep 2026: acquired targets of this size do not carry a treasury or FP&amp;A function; it appears only at platform scale. Activation linked to ORG-08 at 10,000 units, above the largest acquired company. This overrides the v1.8.0 deal-level mechanic, which is recorded rather than restored. Seat granularity remains continuous, so the figure is FTE-equivalent capacity, not literal headcount.</t>
  </si>
  <si>
    <t>R010</t>
  </si>
  <si>
    <t>HR / Recruiting / L&amp;D</t>
  </si>
  <si>
    <t>People support</t>
  </si>
  <si>
    <t>R011</t>
  </si>
  <si>
    <t>Marketing / Revenue Management</t>
  </si>
  <si>
    <t>Becomes Layer 2 delivery; no elimination credit</t>
  </si>
  <si>
    <t>R012</t>
  </si>
  <si>
    <t>Platform systems</t>
  </si>
  <si>
    <t>R013</t>
  </si>
  <si>
    <t>PLATFORM ROLE. Principal decision, 4 Sep 2026: acquired targets of this size do not carry a dedicated compliance, risk, procurement or legal function. Activation linked to ORG-08 at 10,000 units. The v1.8.0 deal-level stepped mechanic is retired rather than restored; its encoding as base FTE minus one is withdrawn because the identity ROUNDDOWN(u/s)-1 = -1+CEILING((u-s)/s) breaks at exact multiples of s. Density eligibility is inert at platform scale.</t>
  </si>
  <si>
    <t>R014</t>
  </si>
  <si>
    <t>Business Development</t>
  </si>
  <si>
    <t>Restored to one commercial seat per acquired PMC from day one plus the ORG-17 unit span, per the pre-v2 role map. In isolation this takes the $750k tuck-ins to 105.10%; the anchor and TK04 stay below 100% at 92.98% and 88.55%.</t>
  </si>
  <si>
    <t>Implied burden multiple, weighted</t>
  </si>
  <si>
    <t>Range across roles rather than a single flat multiple. Senior roles are lower because the wage base and comp cap bind.</t>
  </si>
  <si>
    <t>Shared-services span per role. Each is separately evidenceable by reference call; the blended efficiency ratio below is now an OUTPUT of this column, not an input.</t>
  </si>
  <si>
    <t>Denominator for the seat-count rounding. 1 rounds each role up to whole seats, which is correct for a standalone company that cannot hire a fraction of a person. R009 Treasury / FP&amp;A is restored to the continuous v1.8.0 mechanic and is the only role carrying a granularity other than 1.</t>
  </si>
  <si>
    <t>PRINCIPAL DECISION, Jack, 4 Sep 2026: R006 Controller / Accounting Manager, R007 Property Accountants and R008 AP / AR / Payroll are delivered 100% nearshore. This overrides the earlier partial offshore-eligibility assumption for Controller. R009 Treasury / FP&amp;A and the R013 operating team are nearshore-eligible on the Abacus evidence and are exposed as scenarios rather than assumed. R010 HR and R012 IT are sensitivities. H003 Finance Leadership, H006 Legal / Risk / Compliance Leadership, every local and regional operating role and any function requiring U.S. fiduciary, banking, employment or legal authority remain onshore. Oversight is not charged twice: H003 and H006 are the U.S. review and control layer and are already charged in full.</t>
  </si>
  <si>
    <t>Owner-permission and data-residency cap on the nearshore share, by role. Where an owner refuses offshore handling of resident PII or trust-account access, the cap binds and the residual work is performed onshore at full U.S. loaded cost. It never suppresses the role or reduces the FTE required.</t>
  </si>
  <si>
    <t>4. HOLDCO AND PLATFORM ROLES  (H001 to H009) — replacement versus incremental</t>
  </si>
  <si>
    <t>Only the incremental share is charged above the shared-services organisation. A replacement seat is already paid for inside the acquired cost base and may not be charged twice.</t>
  </si>
  <si>
    <t>Role</t>
  </si>
  <si>
    <t>Activation units</t>
  </si>
  <si>
    <t>Incr. share</t>
  </si>
  <si>
    <t>H001</t>
  </si>
  <si>
    <t>Platform CEO / President</t>
  </si>
  <si>
    <t>Incremental</t>
  </si>
  <si>
    <t>Founder-led. Incremental from day one.</t>
  </si>
  <si>
    <t>H002</t>
  </si>
  <si>
    <t>VP Platform Operations / Integration</t>
  </si>
  <si>
    <t>Scale and integration seat.</t>
  </si>
  <si>
    <t>H003</t>
  </si>
  <si>
    <t>Finance Leadership and Controls</t>
  </si>
  <si>
    <t>RECONCILED v2.3.0. Charged as incremental. The seller controller layer it claimed to replace is already fully consumed: R006 seller payroll is eliminated inside the centralisation credit and R006 platform replacement payroll is charged in the same-scope shared-services block. No seller dollar remains to fund a third layer.</t>
  </si>
  <si>
    <t>H004</t>
  </si>
  <si>
    <t>Technology / Data / Product</t>
  </si>
  <si>
    <t>RECONCILED v2.3.0. Charged in full. The replacement half mapped to R012 IT / PMS Admin / Data-BI, whose seller pool is already consumed by the centralisation credit and whose platform replacement is already charged in shared services.</t>
  </si>
  <si>
    <t>H005</t>
  </si>
  <si>
    <t>People / HR / Training Leadership</t>
  </si>
  <si>
    <t>RECONCILED v2.3.0. Charged as incremental. Same reconciliation as H003 against R010 HR / Recruiting / L&amp;D: seller pool consumed, platform replacement already charged.</t>
  </si>
  <si>
    <t>H006</t>
  </si>
  <si>
    <t>Legal / Risk / Compliance Leadership</t>
  </si>
  <si>
    <t>RECONCILED, v2.2.8. Was Replacement at 0% incremental, noted as replacing acquired compliance leadership. Under the v2.2.7 principal decision no acquired target carries a compliance, risk, procurement or legal function, so there is nothing to replace. Treated as a distinct senior HoldCo seat above the R013 operating team, which is span-driven, and charged in full. The alternative reading, that H006 and R013 are one functional layer, would require removing H006 rather than leaving it uncharged.</t>
  </si>
  <si>
    <t>H007</t>
  </si>
  <si>
    <t>Corporate M&amp;A / Growth</t>
  </si>
  <si>
    <t>Acquisition capability the targets do not carry.</t>
  </si>
  <si>
    <t>H008</t>
  </si>
  <si>
    <t>Admin / PMO</t>
  </si>
  <si>
    <t>RECONCILED v2.3.0. Charged in full. Integration and transaction cost is charged separately as integration pods and ends when acquisition activity ends, so it cannot fund a permanent HoldCo seat.</t>
  </si>
  <si>
    <t>H009</t>
  </si>
  <si>
    <t>COO / Head of Operations</t>
  </si>
  <si>
    <t>Excluded</t>
  </si>
  <si>
    <t>EXCLUDED v2.3.0 as a regression. The agreed architecture makes H002 VP Platform Operations and H009 COO mutually exclusive — one seat, post-scale. v2.2.8 carried both. No later decision reversing that has been found. Its replacement treatment also double-counted against the separate leadership-redundancy credit, which already removes acquired operating leadership. Activation set beyond any modelled scale rather than deleted, so the exclusion stays visible.</t>
  </si>
  <si>
    <t>5. CUSTOMER-COMPLEXITY OVERLAY  (CUS-01 to CUS-06)</t>
  </si>
  <si>
    <t>Only reporting and approval complexity above the baseline regime creates incremental FTE. Thirty clients does not mean thirty regimes.</t>
  </si>
  <si>
    <t>Capacity</t>
  </si>
  <si>
    <t>CUS-02</t>
  </si>
  <si>
    <t>Client Success / Owner Relations</t>
  </si>
  <si>
    <t>eq. regimes/FTE</t>
  </si>
  <si>
    <t>Relationship and QBR cadence</t>
  </si>
  <si>
    <t>CUS-03</t>
  </si>
  <si>
    <t>Owner Reporting / Accounting Coordination</t>
  </si>
  <si>
    <t>Bespoke owner packages and budgets</t>
  </si>
  <si>
    <t>CUS-04</t>
  </si>
  <si>
    <t>Contract / Legal / Compliance</t>
  </si>
  <si>
    <t>PMA amendments and client-specific compliance</t>
  </si>
  <si>
    <t>CUS-05</t>
  </si>
  <si>
    <t>Senior Ops / QBR support</t>
  </si>
  <si>
    <t>Executive approvals and operating reviews</t>
  </si>
  <si>
    <t>6. LAYER 2 DELIVERY ROLES  (M201 to M203) — incremental delivery labour</t>
  </si>
  <si>
    <t>Named delivery labour replaces a blended delivery-cost percentage. These roles may never also receive acquisition-elimination credit.</t>
  </si>
  <si>
    <t>Module</t>
  </si>
  <si>
    <t>Adopted units/FTE</t>
  </si>
  <si>
    <t>M201</t>
  </si>
  <si>
    <t>Accounting / AP module</t>
  </si>
  <si>
    <t>adopted units/FTE</t>
  </si>
  <si>
    <t>Offshore-eligible</t>
  </si>
  <si>
    <t>M202</t>
  </si>
  <si>
    <t>Leasing / Renewals / Collections module</t>
  </si>
  <si>
    <t>M203</t>
  </si>
  <si>
    <t>Revenue Management module</t>
  </si>
  <si>
    <t>Onshore</t>
  </si>
  <si>
    <t>7. OWNER-REIMBURSED ONSITE ROLES  (O001 to O006) — memo, never PMC EBITDA</t>
  </si>
  <si>
    <t>Legal operating employees, economically owner funded. Shown because this is the base from which Layer 2 centralisation could create owner value — value the platform may not book without a separately priced contract.</t>
  </si>
  <si>
    <t>Basis</t>
  </si>
  <si>
    <t>O001</t>
  </si>
  <si>
    <t>Property Manager</t>
  </si>
  <si>
    <t>properties / FTE</t>
  </si>
  <si>
    <t>P</t>
  </si>
  <si>
    <t>[A/OQ]</t>
  </si>
  <si>
    <t>Owner reimbursed; excluded from PMC EBITDA.</t>
  </si>
  <si>
    <t>O002</t>
  </si>
  <si>
    <t>Assistant Property Manager</t>
  </si>
  <si>
    <t>O003</t>
  </si>
  <si>
    <t>Leasing Professional</t>
  </si>
  <si>
    <t>units / FTE</t>
  </si>
  <si>
    <t>U</t>
  </si>
  <si>
    <t>O004</t>
  </si>
  <si>
    <t>Maintenance Supervisor</t>
  </si>
  <si>
    <t>O005</t>
  </si>
  <si>
    <t>Maintenance Technician</t>
  </si>
  <si>
    <t>O006</t>
  </si>
  <si>
    <t>Porter / Grounds</t>
  </si>
  <si>
    <t>8. PLATFORM LEVERAGE</t>
  </si>
  <si>
    <t>ORG-19  Implied blended span leverage — DERIVED OUTPUT, no longer an input</t>
  </si>
  <si>
    <t>No longer drives anything. Computed from the per-role shared-services spans in column W against the same roles standalone spans in column O. Replaces the single unevidenced 1.60x multiplier: fourteen role-level spans, each separately falsifiable, in place of one scalar plug.</t>
  </si>
  <si>
    <t>Like-for-like FTE and payroll leverage are reported in section 10. The blended ratio above is a diagnostic and drives nothing.</t>
  </si>
  <si>
    <t>Above 1.00x centralisation removes more seats than it adds. Below 1.00x the pooled platform organisation is larger than the sum of the organisations it replaces, and the roll-up increases corporate headcount.</t>
  </si>
  <si>
    <t>9. DEAL-BY-DEAL STANDALONE TARGET ORGANISATION — each acquired PMC sized on its own units, properties and density</t>
  </si>
  <si>
    <t>Ten small companies each carry their own controller, accountants, AP and HR. Pooling them into one 50,000-unit organisation would understate duplicated cost and would let a Year-7 acquisition class re-rate the whole retained platform.</t>
  </si>
  <si>
    <t>Props</t>
  </si>
  <si>
    <t>RETAIN FTE</t>
  </si>
  <si>
    <t>RETAIN payroll</t>
  </si>
  <si>
    <t>CENTRAL FTE</t>
  </si>
  <si>
    <t>CENTRAL payroll</t>
  </si>
  <si>
    <t>NO-CREDIT FTE</t>
  </si>
  <si>
    <t>NO-CREDIT payroll</t>
  </si>
  <si>
    <t>Total payroll</t>
  </si>
  <si>
    <t>Cost base available</t>
  </si>
  <si>
    <t>Payroll / cost base</t>
  </si>
  <si>
    <t>Treatment sum check</t>
  </si>
  <si>
    <t>Unscaled payroll</t>
  </si>
  <si>
    <t>Payroll budget</t>
  </si>
  <si>
    <t>Loaded-cost scalar</t>
  </si>
  <si>
    <t>Variable empl. cost</t>
  </si>
  <si>
    <t>Salary-equiv. factor</t>
  </si>
  <si>
    <t>TOTAL AT CLOSE</t>
  </si>
  <si>
    <t>Standalone payroll versus the acquired cost base</t>
  </si>
  <si>
    <t>Vintage payroll by close year</t>
  </si>
  <si>
    <t>Y0</t>
  </si>
  <si>
    <t>Retained locally</t>
  </si>
  <si>
    <t>$ / FTE</t>
  </si>
  <si>
    <t>Centralised away</t>
  </si>
  <si>
    <t>No elimination credit</t>
  </si>
  <si>
    <t>Retained FTE</t>
  </si>
  <si>
    <t>Centralised FTE</t>
  </si>
  <si>
    <t>No-credit FTE</t>
  </si>
  <si>
    <t>Column S scales the LOADED employment cost, which contains salary, bonus, employer taxes, health, 401(k) match, PEO and workers compensation. It is not a salary discount. Column U reports the equivalent base-salary and bonus factor with the fixed and capped burden items held at platform assumptions, which is the number a payroll register can test; it assumes the Social Security cap does not re-bind at the solved salary.</t>
  </si>
  <si>
    <t>DOWNSIDE — WORKFORCE AND PAYROLL</t>
  </si>
  <si>
    <t>Contracted vintage retention factor — anchor</t>
  </si>
  <si>
    <t>Contracted vintage retention factor — Year 1</t>
  </si>
  <si>
    <t>Contracted vintage retention factor — Year 2</t>
  </si>
  <si>
    <t>Contracted vintage retention factor — Year 3</t>
  </si>
  <si>
    <t>Contracted vintage retention factor — Year 4</t>
  </si>
  <si>
    <t>Contracted vintage retention factor — Year 5</t>
  </si>
  <si>
    <t>Contracted vintage retention factor — Year 6</t>
  </si>
  <si>
    <t>Contracted vintage retention factor — Year 7</t>
  </si>
  <si>
    <t>Standalone target org FTE — retained locally</t>
  </si>
  <si>
    <t>Retained local payroll</t>
  </si>
  <si>
    <t>Standalone target org FTE — centralised away</t>
  </si>
  <si>
    <t>Standalone target org FTE — no elimination credit</t>
  </si>
  <si>
    <t>No-credit local payroll retained</t>
  </si>
  <si>
    <t>Replacement shared-services FTE</t>
  </si>
  <si>
    <t>HoldCo incremental-seat equivalents — economic, not physical seats</t>
  </si>
  <si>
    <t>HoldCo incremental payroll charged</t>
  </si>
  <si>
    <t>HoldCo replacement payroll — not charged, memo</t>
  </si>
  <si>
    <t>Customer-complexity FTE</t>
  </si>
  <si>
    <t>Adopted units</t>
  </si>
  <si>
    <t>Layer 2 delivery FTE</t>
  </si>
  <si>
    <t>Transition overlap — duplicated payroll</t>
  </si>
  <si>
    <t>Redundant senior leaders eliminated</t>
  </si>
  <si>
    <t>TOTAL PMC-BORNE CORPORATE FTE</t>
  </si>
  <si>
    <t>Owner-reimbursed onsite FTE — detailed roles</t>
  </si>
  <si>
    <t>Owner-reimbursed onsite FTE — 1:49 benchmark</t>
  </si>
  <si>
    <t>Detailed versus benchmark difference</t>
  </si>
  <si>
    <t>Owner-reimbursed onsite payroll — memo, never PMC EBITDA</t>
  </si>
  <si>
    <t>BASE — WORKFORCE AND PAYROLL</t>
  </si>
  <si>
    <t>UPSIDE — WORKFORCE AND PAYROLL</t>
  </si>
  <si>
    <t>10. SHARED-SERVICES DECOMPOSITION AT YEAR 7 — like-for-like, institutionalisation, organic growth</t>
  </si>
  <si>
    <t>Largest acquired company — units</t>
  </si>
  <si>
    <t>The replacement organisation serves 50,000 managed units while the standalone organisation it replaces served only the contracted acquired book, so a single ratio of one to the other is not like-for-like. A role is institutionalisation when its activation exceeds the largest acquired company, so that no target could ever have carried it. Computed here rather than inside SUMPRODUCT, which cannot array-evaluate MAX portably.</t>
  </si>
  <si>
    <t>(i) Seller-equivalent same-scope replacement of the contracted acquired book — FTE</t>
  </si>
  <si>
    <t>(i) Seller-equivalent same-scope replacement of the contracted acquired book — payroll</t>
  </si>
  <si>
    <t>(ii) New-function institutionalisation — CFO, Treasury/FP&amp;A, Compliance — FTE</t>
  </si>
  <si>
    <t>(ii) New-function institutionalisation — CFO, Treasury/FP&amp;A, Compliance — payroll</t>
  </si>
  <si>
    <t>(iii) Incremental capacity required by organically won units — FTE</t>
  </si>
  <si>
    <t>(iii) Incremental capacity required by organically won units — payroll</t>
  </si>
  <si>
    <t>Standalone centralised FTE at Year 7 — the comparator</t>
  </si>
  <si>
    <t>Retention-weighted seats the acquired businesses carried in centralisable roles.</t>
  </si>
  <si>
    <t>Scaled seller payroll removed at Year 7 — the comparator</t>
  </si>
  <si>
    <t>The numerator of the payroll-leverage ratio, at solved target compensation. Shown so the bridge below can be read without leaving the tab.</t>
  </si>
  <si>
    <t>EQUAL-SCOPE FTE LEVERAGE</t>
  </si>
  <si>
    <t>Headcount compression on functions the sellers actually performed. Treasury, FP&amp;A and compliance are excluded from both sides because no target carries them.</t>
  </si>
  <si>
    <t>EQUAL-SCOPE PAYROLL LEVERAGE</t>
  </si>
  <si>
    <t>Payroll compression on the same scope. Lower than FTE leverage because target compensation is solved down, so the seats removed cost less than the platform seats replacing them.</t>
  </si>
  <si>
    <t>Acquired-book cost contribution — before organic-growth support</t>
  </si>
  <si>
    <t>The acquisition and centralisation thesis on its own: seller payroll removed, less same-scope replacement, less the institutional functions the platform must add.</t>
  </si>
  <si>
    <t>Organic-growth support — corporate capacity for buyer-created units</t>
  </si>
  <si>
    <t>Belongs to organic-growth economics, not to the acquired-book cost case. Organically won units arrive with no local organisation to eliminate.</t>
  </si>
  <si>
    <t>Combined shared-services bridge at Year 7</t>
  </si>
  <si>
    <t>Reported at IC alongside the line above, never instead of it.</t>
  </si>
  <si>
    <t>Decomposition and bridge reconstruct — must be nil</t>
  </si>
  <si>
    <t>Rebuilt from the role table and the same spans, never from the lines being tested.</t>
  </si>
  <si>
    <t>Shared-services payroll at Year 7 before nearshore delivery — U.S. cost</t>
  </si>
  <si>
    <t>The same organisation priced entirely at U.S. loaded cost. The difference against row 184 is the nearshore delivery saving, and nothing else.</t>
  </si>
  <si>
    <t>Nearshore delivery saving at Year 7</t>
  </si>
  <si>
    <t>Equals the nearshored share of each role times the difference between U.S. and delivered cost, and nothing else. FTE and spans are identical on both sides.</t>
  </si>
  <si>
    <t>11. ROLE-BY-PERIOD ORG EVOLUTION — one date and one retention basis</t>
  </si>
  <si>
    <t>Standalone seats decay with the retention of the vintage that brought them; shared-services seats are sized on the units actually served in that year. Every row is measured at the same date, so the columns bridge.</t>
  </si>
  <si>
    <t>Gross target seats active</t>
  </si>
  <si>
    <t xml:space="preserve">  of which retained locally</t>
  </si>
  <si>
    <t xml:space="preserve">  of which eliminated through centralisation</t>
  </si>
  <si>
    <t>Seller-equivalent same-scope replacement</t>
  </si>
  <si>
    <t>Organic-growth capacity</t>
  </si>
  <si>
    <t xml:space="preserve">  shared services total — ties to row 183</t>
  </si>
  <si>
    <t>HoldCo incremental seats</t>
  </si>
  <si>
    <t>Bridge tie — must be nil</t>
  </si>
  <si>
    <t>11B. SELLER-SIDE ORGANISATION BY ROLE — retention-weighted FTE-equivalent, same basis as section 11</t>
  </si>
  <si>
    <t>Seats the acquired businesses carried, decaying with the retention of the vintage that brought them. RETAIN LOCAL and NO CREDIT roles stay; CENTRALIZE roles are the pool the platform eliminates.</t>
  </si>
  <si>
    <t>R001  Regional Property Managers</t>
  </si>
  <si>
    <t>R002  Regional Maintenance Director</t>
  </si>
  <si>
    <t>R003  VP / Director of Operations</t>
  </si>
  <si>
    <t>R004  Founder / Head of Operations</t>
  </si>
  <si>
    <t>R005  CFO</t>
  </si>
  <si>
    <t>R006  Controller / Accounting Manager</t>
  </si>
  <si>
    <t>R007  Property Accountants</t>
  </si>
  <si>
    <t>R008  AP / AR / Payroll</t>
  </si>
  <si>
    <t>R009  Treasury / FP&amp;A</t>
  </si>
  <si>
    <t>R010  HR / Recruiting / L&amp;D</t>
  </si>
  <si>
    <t>R011  Marketing / Revenue Management</t>
  </si>
  <si>
    <t>R012  IT / PMS Admin / Data-BI</t>
  </si>
  <si>
    <t>R013  Compliance / Risk / Procurement / Legal</t>
  </si>
  <si>
    <t>R014  Business Development</t>
  </si>
  <si>
    <t>Seller-side total — ties to section 11 gross target seats</t>
  </si>
  <si>
    <t>11C. PLATFORM ORGANISATION BY ROLE — shared services and HoldCo seats</t>
  </si>
  <si>
    <t>Shared-services seats are sized on total managed units at the column W spans. HoldCo seats are physical presence; the economic incremental-seat equivalent is row 185.</t>
  </si>
  <si>
    <t>Shared-services total — ties to row 183</t>
  </si>
  <si>
    <t>H001  Platform CEO / President</t>
  </si>
  <si>
    <t>seat</t>
  </si>
  <si>
    <t>H002  VP Platform Operations / Integration</t>
  </si>
  <si>
    <t>H003  Finance Leadership and Controls</t>
  </si>
  <si>
    <t>H004  Technology / Data / Product</t>
  </si>
  <si>
    <t>H005  People / HR / Training Leadership</t>
  </si>
  <si>
    <t>H006  Legal / Risk / Compliance Leadership</t>
  </si>
  <si>
    <t>H007  Corporate M&amp;A / Growth</t>
  </si>
  <si>
    <t>H008  Admin / PMO</t>
  </si>
  <si>
    <t>H009  COO / Head of Operations</t>
  </si>
  <si>
    <t>HoldCo physical seats — economic incremental equivalent on row 185</t>
  </si>
  <si>
    <t>OPERATING CASE — THREE CASES ON ONE FIXED ACQUISITION PROGRAMME</t>
  </si>
  <si>
    <t>Every case underwrites the identical acquisition schedule and identical at-close target facts. Only post-close operating outcomes differ.</t>
  </si>
  <si>
    <t>Standalone acquired EBITDA -&gt; integrated DealCo EBITDA -&gt; consolidated platform EBITDA, with every payroll movement named.</t>
  </si>
  <si>
    <t>STANDALONE ACQUIRED EBITDA — contracted, retention only</t>
  </si>
  <si>
    <t>Buyer-created organic new-business EBITDA</t>
  </si>
  <si>
    <t>Layer 1 revenue net of incumbent overlap</t>
  </si>
  <si>
    <t>Layer 1 direct COGS</t>
  </si>
  <si>
    <t>Layer 2 revenue net of incumbent overlap</t>
  </si>
  <si>
    <t>Layer 2 third-party tooling</t>
  </si>
  <si>
    <t>Layer 3 revenue</t>
  </si>
  <si>
    <t>Layer 3 direct COGS</t>
  </si>
  <si>
    <t>BUYER-CREATED EBITDA</t>
  </si>
  <si>
    <t>Exit run-rate platform EBITDA</t>
  </si>
  <si>
    <t>Recurring corporate capex</t>
  </si>
  <si>
    <t>Working capital balance</t>
  </si>
  <si>
    <t>Change in working capital</t>
  </si>
  <si>
    <t>EBITDA per managed unit</t>
  </si>
  <si>
    <t>Acquired EBITDA margin — what the targets earn standalone</t>
  </si>
  <si>
    <t>PLATFORM EBITDA MARGIN — on all platform revenue entering EBITDA</t>
  </si>
  <si>
    <t>ACQUISITION-QUALITY SCREEN AND TARGET DIAGNOSTICS</t>
  </si>
  <si>
    <t>Diagnostic only; none of it drives the schedule. The minimum target margin below is a screening criterion for the target universe, not a contradiction: the instructed cadence, EBITDA sizes and unit ceiling all coexist provided the targets are profitable enough.</t>
  </si>
  <si>
    <t>Platform EBITDA in the target year</t>
  </si>
  <si>
    <t>Shortfall to the target</t>
  </si>
  <si>
    <t>Managed units in the target year</t>
  </si>
  <si>
    <t>Consolidated EBITDA per unit required to reach the target</t>
  </si>
  <si>
    <t>Against the acquired standalone EBITDA per unit below. The gap is the required buyer-created contribution per unit.</t>
  </si>
  <si>
    <t>Acquired standalone EBITDA per unit at the target year</t>
  </si>
  <si>
    <t>Additional units required at the current EBITDA per unit</t>
  </si>
  <si>
    <t>Shown against the 50,000-unit ceiling. If this exceeds the headroom, extra scale cannot close the gap.</t>
  </si>
  <si>
    <t>HoldCo and platform cost reduction required</t>
  </si>
  <si>
    <t>The whole shortfall closed on cost alone, against total PMC-borne corporate payroll below.</t>
  </si>
  <si>
    <t>Managed units at the exit year</t>
  </si>
  <si>
    <t>Units before the ceiling — the screen basis</t>
  </si>
  <si>
    <t>Demand the platform could serve if capacity were unconstrained. The quality screen must use this, not capped units, or it would mechanically return the current margin whenever the ceiling binds.</t>
  </si>
  <si>
    <t>Managed-unit ceiling</t>
  </si>
  <si>
    <t>Headroom to the ceiling</t>
  </si>
  <si>
    <t>Retained Year-7 contribution of one small filler</t>
  </si>
  <si>
    <t>Priced on the same durability mechanics as a real acquisition: change-of-control loss once, then contractual retention over the assumed four-year hold from a Year-3 close. No shortcut factor.</t>
  </si>
  <si>
    <t>Small fillers that fit inside the headroom</t>
  </si>
  <si>
    <t>Programme verdict</t>
  </si>
  <si>
    <t>SCREEN — minimum target EBITDA margin for the ceiling to hold</t>
  </si>
  <si>
    <t>The acquisition-quality bar implied by the instructed programme and the ceiling. To execute the cadence and stay at or below the ceiling in the exit year, the target universe must collectively earn at least this normalized margin. It is a screening criterion, not an observed fact, and must be evidenced by target GL before it is relied on.</t>
  </si>
  <si>
    <t>SCREEN — minimum target EBITDA per managed unit</t>
  </si>
  <si>
    <t>Total PMC-borne corporate payroll at the target year</t>
  </si>
  <si>
    <t>TRANSACTION, DEBT, COVENANTS AND LIQUIDITY</t>
  </si>
  <si>
    <t>Borrower is DealCo. Senior debt funded is the lower of the leverage test and the binding CFADS debt-service test, at Close and at every subsequent vintage.</t>
  </si>
  <si>
    <t>Minimum cash is the HoldCo platform reserve. Property-owner and trust cash never appear in this model.</t>
  </si>
  <si>
    <t>New debt capacity is solved from actual prospective debt service: maximum total service at the covenant, less service already committed on existing vintages, divided by the same rate and amortisation the live schedule uses.</t>
  </si>
  <si>
    <t>DealCo EBITDA</t>
  </si>
  <si>
    <t>Cash available for debt service before financing</t>
  </si>
  <si>
    <t>Senior debt at the target share of EV</t>
  </si>
  <si>
    <t>Leverage capacity on DealCo EBITDA</t>
  </si>
  <si>
    <t>Maximum total debt service at the covenant</t>
  </si>
  <si>
    <t>Debt service already committed on existing vintages</t>
  </si>
  <si>
    <t>CFADS debt-service capacity for a new vintage</t>
  </si>
  <si>
    <t>SENIOR DEBT DRAWN</t>
  </si>
  <si>
    <t>Debt shortfall funded by sponsor equity</t>
  </si>
  <si>
    <t>Senior vintage Year 0 balance</t>
  </si>
  <si>
    <t>Senior vintage Year 1 balance</t>
  </si>
  <si>
    <t>Senior vintage Year 2 balance</t>
  </si>
  <si>
    <t>Senior vintage Year 3 balance</t>
  </si>
  <si>
    <t>Senior vintage Year 4 balance</t>
  </si>
  <si>
    <t>Senior vintage Year 5 balance</t>
  </si>
  <si>
    <t>Senior vintage Year 6 balance</t>
  </si>
  <si>
    <t>Senior vintage Year 7 balance</t>
  </si>
  <si>
    <t>Senior vintage Year 8 balance</t>
  </si>
  <si>
    <t>Senior vintage Year 9 balance</t>
  </si>
  <si>
    <t>Senior vintage Year 10 balance</t>
  </si>
  <si>
    <t>Senior debt closing balance</t>
  </si>
  <si>
    <t>Senior amortisation</t>
  </si>
  <si>
    <t>Senior interest</t>
  </si>
  <si>
    <t>Seller note vintage Year 0 balance</t>
  </si>
  <si>
    <t>Seller note vintage Year 1 balance</t>
  </si>
  <si>
    <t>Seller note vintage Year 2 balance</t>
  </si>
  <si>
    <t>Seller note vintage Year 3 balance</t>
  </si>
  <si>
    <t>Seller note vintage Year 4 balance</t>
  </si>
  <si>
    <t>Seller note vintage Year 5 balance</t>
  </si>
  <si>
    <t>Seller note vintage Year 6 balance</t>
  </si>
  <si>
    <t>Seller note vintage Year 7 balance</t>
  </si>
  <si>
    <t>Seller note vintage Year 8 balance</t>
  </si>
  <si>
    <t>Seller note vintage Year 9 balance</t>
  </si>
  <si>
    <t>Seller note vintage Year 10 balance</t>
  </si>
  <si>
    <t>Seller note closing balance</t>
  </si>
  <si>
    <t>Seller note repayment</t>
  </si>
  <si>
    <t>Seller note interest</t>
  </si>
  <si>
    <t>Pre-tax profit before NOL</t>
  </si>
  <si>
    <t>NOL opening balance</t>
  </si>
  <si>
    <t>NOL utilised</t>
  </si>
  <si>
    <t>NOL closing balance</t>
  </si>
  <si>
    <t>Cash tax</t>
  </si>
  <si>
    <t>Beginning cash</t>
  </si>
  <si>
    <t>Cash before equity cure</t>
  </si>
  <si>
    <t>Equity cure</t>
  </si>
  <si>
    <t>Ending cash</t>
  </si>
  <si>
    <t>DealCo DSCR on cash available for debt service</t>
  </si>
  <si>
    <t>Senior leverage on DealCo EBITDA</t>
  </si>
  <si>
    <t>Consolidated coverage — platform EBITDA less capex over all debt service</t>
  </si>
  <si>
    <t>36-MONTH LIQUIDITY BRIDGE — READ-ONLY DERIVATIVE OF THE BASE ANNUAL ENGINE</t>
  </si>
  <si>
    <t>Operating flows spread evenly across the four quarters of their year; acquisition, transaction and integration outflows sit in the closing quarter. It never feeds the annual engine.</t>
  </si>
  <si>
    <t>Quarter</t>
  </si>
  <si>
    <t>Q1</t>
  </si>
  <si>
    <t>Q2</t>
  </si>
  <si>
    <t>Q3</t>
  </si>
  <si>
    <t>Q4</t>
  </si>
  <si>
    <t>Q5</t>
  </si>
  <si>
    <t>Q6</t>
  </si>
  <si>
    <t>Q7</t>
  </si>
  <si>
    <t>Q8</t>
  </si>
  <si>
    <t>Q9</t>
  </si>
  <si>
    <t>Q10</t>
  </si>
  <si>
    <t>Q11</t>
  </si>
  <si>
    <t>Q12</t>
  </si>
  <si>
    <t>Platform EBITDA</t>
  </si>
  <si>
    <t>Interest, tax, capex and working capital</t>
  </si>
  <si>
    <t>Acquisition equity, transaction and integration outflow</t>
  </si>
  <si>
    <t>Scheduled debt service</t>
  </si>
  <si>
    <t>Quarterly equity cure</t>
  </si>
  <si>
    <t>Minimum cash across the 36 months</t>
  </si>
  <si>
    <t>Quarterly cures versus the first three annual years</t>
  </si>
  <si>
    <t>RETURNS, VALUATION DEPENDENCE AND PRICE SUPPORT</t>
  </si>
  <si>
    <t>Acquired earnings are valued at the multiple actually paid for them, vintage by vintage. Buyer-created earnings carry no acquisition multiple and are valued under an explicit convention. The residual is platform re-rating.</t>
  </si>
  <si>
    <t>EXIT EBITDA BASIS</t>
  </si>
  <si>
    <t>Reported platform EBITDA in the exit year</t>
  </si>
  <si>
    <t>Annualises deals closed mid-year. The basis switch on Assumptions selects which is capitalised; default is reported.</t>
  </si>
  <si>
    <t>EBITDA capitalised at exit</t>
  </si>
  <si>
    <t>SOURCE-SPECIFIC VALUATION — each vintage at the multiple actually paid</t>
  </si>
  <si>
    <t>Anchor vintage retained EBITDA at exit</t>
  </si>
  <si>
    <t>Vintage Year 1 retained EBITDA at exit</t>
  </si>
  <si>
    <t>Vintage Year 2 retained EBITDA at exit</t>
  </si>
  <si>
    <t>Vintage Year 3 retained EBITDA at exit</t>
  </si>
  <si>
    <t>Vintage Year 4 retained EBITDA at exit</t>
  </si>
  <si>
    <t>Vintage Year 5 retained EBITDA at exit</t>
  </si>
  <si>
    <t>Vintage Year 6 retained EBITDA at exit</t>
  </si>
  <si>
    <t>Vintage Year 7 retained EBITDA at exit</t>
  </si>
  <si>
    <t>Anchor value at its own entry multiple</t>
  </si>
  <si>
    <t>Weighted actual entry multiple for that vintage: vintage EV divided by vintage acquired EBITDA.</t>
  </si>
  <si>
    <t>Vintage Year 1 value at its own entry multiple</t>
  </si>
  <si>
    <t>Vintage Year 2 value at its own entry multiple</t>
  </si>
  <si>
    <t>Vintage Year 3 value at its own entry multiple</t>
  </si>
  <si>
    <t>Vintage Year 4 value at its own entry multiple</t>
  </si>
  <si>
    <t>Vintage Year 5 value at its own entry multiple</t>
  </si>
  <si>
    <t>Vintage Year 6 value at its own entry multiple</t>
  </si>
  <si>
    <t>Vintage Year 7 value at its own entry multiple</t>
  </si>
  <si>
    <t>Buyer-created EBITDA at exit</t>
  </si>
  <si>
    <t>HoldCo cost at exit</t>
  </si>
  <si>
    <t>Buyer-created earnings were never purchased, so they carry no acquisition multiple. The convention is an explicit input.</t>
  </si>
  <si>
    <t>SOURCE-SPECIFIC ENTERPRISE VALUE</t>
  </si>
  <si>
    <t>PREMIUM PLATFORM MULTIPLE — EVIDENCE ELIGIBILITY</t>
  </si>
  <si>
    <t>The high-single to low-double-digit platform multiple rests on a banker observation at roughly $10m of EBITDA. It is not evidence for the same multiple on a materially smaller platform.</t>
  </si>
  <si>
    <t>EBITDA scale at which the premium multiple was indicated</t>
  </si>
  <si>
    <t>Exit EBITDA as a share of that scale</t>
  </si>
  <si>
    <t>Premium multiple eligibility</t>
  </si>
  <si>
    <t>PLATFORM EXIT AND MULTIPLE ARBITRAGE</t>
  </si>
  <si>
    <t>EXIT ENTERPRISE VALUE</t>
  </si>
  <si>
    <t>Exit EV at the common platform multiple</t>
  </si>
  <si>
    <t>Holds valuation constant so the operating comparison is not confused with pricing.</t>
  </si>
  <si>
    <t>Blended implied multiple, source-specific</t>
  </si>
  <si>
    <t>EXIT PROCEEDS AND SPONSOR RETURNS</t>
  </si>
  <si>
    <t>Exit costs</t>
  </si>
  <si>
    <t>Net debt at exit</t>
  </si>
  <si>
    <t>Equity proceeds at source-specific valuation</t>
  </si>
  <si>
    <t>Equity proceeds at the common platform multiple</t>
  </si>
  <si>
    <t>Cumulative sponsor equity to exit</t>
  </si>
  <si>
    <t>True annual cash-flow IRR reconstructed from sponsor equity cures through Year 7 plus Year-7 exit proceeds. Downside is N/A when there is no positive cash flow.</t>
  </si>
  <si>
    <t>7-year MOIC at the common platform multiple</t>
  </si>
  <si>
    <t>10-year TVPI — hold, no sale</t>
  </si>
  <si>
    <t>PURCHASE-PRICE SENSITIVITY — valuation only, independent of the operating cases</t>
  </si>
  <si>
    <t>The live schedule is priced at Base. A common acquisition programme cannot simultaneously pay three prices, so the band is a valuation sensitivity. States read from the driver on Assumptions: 4.5x / 4.0x / 3.5x. Graded [A] because the 4.5x high case sits above the approximately 3-4x banker indication for smaller businesses.</t>
  </si>
  <si>
    <t>Below-threshold entry multiple state</t>
  </si>
  <si>
    <t>High +0.5x</t>
  </si>
  <si>
    <t>Low -0.5x</t>
  </si>
  <si>
    <t>Entry multiple applied to below-threshold deals</t>
  </si>
  <si>
    <t>Acquisition EV of below-threshold deals at that price</t>
  </si>
  <si>
    <t>Change in acquisition EV versus Base pricing</t>
  </si>
  <si>
    <t>Below-threshold acquisitions in the live programme</t>
  </si>
  <si>
    <t>Base 7-year MOIC re-struck for that price change</t>
  </si>
  <si>
    <t>Classified with the identical below-threshold test the live schedule uses, so the sensitivity and the schedule can never disagree about which band a deal falls in. Reports N/A when no acquisition sits below the threshold.</t>
  </si>
  <si>
    <t>First-order: the price change flows to sponsor equity. Exit proceeds and the operating path are held constant.</t>
  </si>
  <si>
    <t>PRICE SUPPORT — FIRST-ORDER SUPPORTABLE ANCHOR BID</t>
  </si>
  <si>
    <t>First-order. Holds the operating path, cure schedule and exit proceeds fixed and asks what entry equity clears the hurdle. A screening metric, not a full re-solve.</t>
  </si>
  <si>
    <t>Hurdle IRR</t>
  </si>
  <si>
    <t>Present value of cures and exit proceeds at the hurdle</t>
  </si>
  <si>
    <t>Supportable sponsor equity at close</t>
  </si>
  <si>
    <t>Maximum supportable anchor EV</t>
  </si>
  <si>
    <t>FIRST-ORDER SUPPORTABLE ANCHOR MULTIPLE</t>
  </si>
  <si>
    <t>Bid gap versus the input multiple</t>
  </si>
  <si>
    <t>7-YEAR SPONSOR CASH-FLOW IRR HELPER — upstream reconstruction</t>
  </si>
  <si>
    <t>Sponsor net annual cash flow — Downside, exit year driven</t>
  </si>
  <si>
    <t>Sponsor net annual cash flow — Base, exit year driven</t>
  </si>
  <si>
    <t>Sponsor net annual cash flow — Upside, exit year driven</t>
  </si>
  <si>
    <t>CONTROLS</t>
  </si>
  <si>
    <t>Every critical control independently reconstructs its answer from primitives. None validates a line against itself.</t>
  </si>
  <si>
    <t>Control</t>
  </si>
  <si>
    <t>Status</t>
  </si>
  <si>
    <t>Blocking</t>
  </si>
  <si>
    <t>By design</t>
  </si>
  <si>
    <t>Needs evidence</t>
  </si>
  <si>
    <t>Needs decision</t>
  </si>
  <si>
    <t>Seller note, integration and transaction cost rebuilt from primitives</t>
  </si>
  <si>
    <t>Each annual line is rebuilt on the schedule from close count and enterprise value, never from the column being tested. This is the defect that put leaders acquired into the transaction-cost line.</t>
  </si>
  <si>
    <t>Anchor senior debt ties across the two engines</t>
  </si>
  <si>
    <t>The schedule target and the funded draw may differ only where a covenant test binds; a difference is a finding, not an error.</t>
  </si>
  <si>
    <t>Senior principal roll-forward by vintage</t>
  </si>
  <si>
    <t>Draws less amortisation must equal the closing balance, including the Close-period draw.</t>
  </si>
  <si>
    <t>Seller-note roll-forward by vintage</t>
  </si>
  <si>
    <t>Year-10 balance rebuilt from each vintage and its own maturity.</t>
  </si>
  <si>
    <t>Debt drawn equals the lower of the leverage and CFADS tests</t>
  </si>
  <si>
    <t>Reconstructed from the three capacity lines across the acquisition years.</t>
  </si>
  <si>
    <t>Post-draw DSCR meets the covenant in every year debt is drawn</t>
  </si>
  <si>
    <t>Capacity is solved from actual prospective debt service, so the gate must bind. Years with no draw are excluded.</t>
  </si>
  <si>
    <t>Source-specific value equals the sum of vintages at actual multiples</t>
  </si>
  <si>
    <t>Each vintage retained EBITDA times that vintage weighted actual entry multiple.</t>
  </si>
  <si>
    <t>Loaded compensation reconstructed from BEN inputs</t>
  </si>
  <si>
    <t>Property accountant rebuilt from the fourteen BEN drivers, independent of the role table formula.</t>
  </si>
  <si>
    <t>Weighted burden multiple is role-sensitive, not flat</t>
  </si>
  <si>
    <t>A single flat multiple would overstate burden on senior roles, where the wage base and qualified-comp cap bind.</t>
  </si>
  <si>
    <t>Incremental HoldCo payroll equals seats times incremental share</t>
  </si>
  <si>
    <t>No replacement seat is charged as incremental.</t>
  </si>
  <si>
    <t>Treatments sum to the whole standalone organisation, deal by deal</t>
  </si>
  <si>
    <t>Rebuilt on each deal separately. RETAIN plus CENTRALIZE plus NO CREDIT must equal that deal total payroll, with no seat counted twice.</t>
  </si>
  <si>
    <t>Weighted target loaded employment-cost scalar sits in a defensible band</t>
  </si>
  <si>
    <t>The factor by which platform LOADED employment cost must be reduced for the reconstructed target organisation to fit inside the ORG-20 payroll share of the seller cost base. It is not a salary discount: fixed and capped burden items are scaled with it. Org &amp; Capacity column U reports the equivalent salary-and-bonus factor. Compensation is the solved variable and the seat count the input, which is the right way round because headcount is observable in diligence and salary levels are not. Band is control policy.</t>
  </si>
  <si>
    <t>Standalone org is sized deal by deal, not as one pooled company</t>
  </si>
  <si>
    <t>Centralisable FTE is the sum of separately sized organisations. Each deal carries its own units, properties and density class.</t>
  </si>
  <si>
    <t>Density persists by acquisition vintage</t>
  </si>
  <si>
    <t>Each deal carries its own multiplier in its own standalone sizing, so a later Infill close cannot re-rate an earlier Extension business.</t>
  </si>
  <si>
    <t>Evidence switch removes payroll elimination and leadership redundancy</t>
  </si>
  <si>
    <t>With the switch on both go to zero, while the replacement shared-services cost and HoldCo cost are retained.</t>
  </si>
  <si>
    <t>Onsite roles use their own driver basis</t>
  </si>
  <si>
    <t>Property-driven and unit-driven onsite roles are sized on their own basis, with a 1:49 benchmark shown alongside.</t>
  </si>
  <si>
    <t>Acquisition cadence fits inside the Year-7 managed-unit ceiling</t>
  </si>
  <si>
    <t>Measured on Year-7 managed units, not on cumulative units ever purchased. Attrition, change-of-control loss and vintage retention sit between the two.</t>
  </si>
  <si>
    <t>Anchor meets the $1m minimum EBITDA criterion</t>
  </si>
  <si>
    <t>The anchor is an EBITDA input, so the criterion holds whatever the target-quality assumption. At $128 of EBITDA per unit it implies roughly 7,813 units.</t>
  </si>
  <si>
    <t>Implied target non-payroll operating cost per managed unit — gross</t>
  </si>
  <si>
    <t>The residual of the acquired cost base after the ORG-20 payroll share, per managed unit. It must cover systems, insurance, premises, marketing and professional fees. Yardi licensing alone is $54 per unit per year on the Forum GL, so a figure near the bottom of the band means the payroll share is too high.</t>
  </si>
  <si>
    <t>Centralisation saving does not exceed the payroll removed</t>
  </si>
  <si>
    <t>Net saving cannot exceed the gross local payroll eliminated. Rebuilt from the deal-level CENTRAL payroll and the vintage retention factors, never from the Operating Case line being tested.</t>
  </si>
  <si>
    <t>Leadership redundancy cannot exceed leaders acquired</t>
  </si>
  <si>
    <t>The saving is bounded by an acquired seat, never by a percentage of revenue.</t>
  </si>
  <si>
    <t>Transition overlap cannot exceed the payroll being replaced</t>
  </si>
  <si>
    <t>One-year window at 50% of the incremental centralised payroll, and the overlap may never be negative. A shrinking book cannot generate an overlap credit.</t>
  </si>
  <si>
    <t>Layer 2 delivery labour receives no elimination credit</t>
  </si>
  <si>
    <t>The founder seat and marketing / revenue management are both NO CREDIT; the latter becomes Layer 2 delivery.</t>
  </si>
  <si>
    <t>Owner-reimbursed onsite payroll excluded from PMC EBITDA</t>
  </si>
  <si>
    <t>Consolidated EBITDA is rebuilt from its three components. Onsite payroll appears in none of them; it is memo only.</t>
  </si>
  <si>
    <t>Acquisition facts reconstruct identically under both evidence-switch states</t>
  </si>
  <si>
    <t>Rebuilt from the Assumptions primitives alone. The prior test searched the deal cells for a case reference; SEARCH reads cached values, not formula text, so it returned zero whatever the formulas contained and could never fail.</t>
  </si>
  <si>
    <t>Year-7 managed units within the ceiling</t>
  </si>
  <si>
    <t>Hard constraint, not a review item. The minimum target margin that satisfies it is on the Operating Case diagnostic.</t>
  </si>
  <si>
    <t>Properties equal units divided by 250</t>
  </si>
  <si>
    <t>Planning objectives are absent from every sizing primitive</t>
  </si>
  <si>
    <t>Units, properties and clients are rebuilt from acquired EBITDA, EBITDA per unit, units per property and clients per deal. If either objective drove any of them the reconstruction would break. The prior SEARCH test read cached numeric values and always returned zero.</t>
  </si>
  <si>
    <t>Year-7 clients within 10% of the objective</t>
  </si>
  <si>
    <t>Tight band. The objective scores the model; it does not drive it.</t>
  </si>
  <si>
    <t>Density multiplier applies only to flagged roles</t>
  </si>
  <si>
    <t>Property accounting, AP/AR/payroll and centralised technology are excluded by design.</t>
  </si>
  <si>
    <t>Product revenue nets inherited incumbent scope</t>
  </si>
  <si>
    <t>Layers 1 and 2 are reduced by the share that displaces fees the incumbent already charges.</t>
  </si>
  <si>
    <t>Units, properties and margin are derived, not entered</t>
  </si>
  <si>
    <t>Units are rebuilt from acquired EBITDA and EBITDA per unit. The only size inputs in the model are acquired EBITDA, EBITDA per unit and units per property.</t>
  </si>
  <si>
    <t>Revenue, EBITDA margin and EBITDA reconcile</t>
  </si>
  <si>
    <t>No synthetic gross-margin layer. The bridge closes by construction.</t>
  </si>
  <si>
    <t>Small-filler capacity measured on retained Year-7 units</t>
  </si>
  <si>
    <t>The live programme runs large deals only. Filler capacity is tested on incremental retained Year-7 units against the managed-unit headroom, never on gross units acquired.</t>
  </si>
  <si>
    <t>Contracted acquired units alone stay within capacity</t>
  </si>
  <si>
    <t>The ceiling constrains new business only. If the purchased book alone exceeded it, the acquisition programme itself would breach capacity and contracted units would have to be dropped.</t>
  </si>
  <si>
    <t>Units per property equals the convention in every case and period</t>
  </si>
  <si>
    <t>Tested across all three cases and four periods, not Base Year 7 alone. Properties are units divided by the convention, so capacity can never be applied twice.</t>
  </si>
  <si>
    <t>Organic wins sit in buyer-created, not in acquired earnings</t>
  </si>
  <si>
    <t>New business the platform wins was never purchased, so it carries the buyer-created valuation convention rather than the entry multiple paid for the acquired company.</t>
  </si>
  <si>
    <t>Capacity ceiling binds every case, not just Base</t>
  </si>
  <si>
    <t>Managed units in every case must sit at or below the ceiling. Excess organic wins appear as deferred pipeline rather than served units.</t>
  </si>
  <si>
    <t>Deferred pipeline is disclosed wherever the ceiling binds</t>
  </si>
  <si>
    <t>Upside generates organic wins beyond capacity; they are reported rather than silently absorbed into managed units.</t>
  </si>
  <si>
    <t>Platform ownership never slows an acquired business</t>
  </si>
  <si>
    <t>The net growth factor inside the platform must be at least the standalone counterfactual in every case. Wins are split into the target own capability, which is purchased, and platform uplift, which is buyer-created and additive.</t>
  </si>
  <si>
    <t>Gross wins exceed gross churn in the Base case</t>
  </si>
  <si>
    <t>An acquired book that loses roughly 9% of contracts a year needs wins of at least that order to hold. Below zero the model is underwriting a shrinking platform.</t>
  </si>
  <si>
    <t>Contract durability shares sum to 100%</t>
  </si>
  <si>
    <t>Managed units reconstruct from the vintage primitives in every period</t>
  </si>
  <si>
    <t>C-07 as approved. Managed units must equal contracted acquired units plus served organic-win units, rebuilt from the vintage roll-forward in all three cases and all eleven periods. Independent of the capacity line being tested.</t>
  </si>
  <si>
    <t>Quarterly liquidity ties the first three annual years</t>
  </si>
  <si>
    <t>A difference is quarterly timing, which is the purpose of the bridge. It never feeds the annual engine.</t>
  </si>
  <si>
    <t>Target year is not after the exit year</t>
  </si>
  <si>
    <t>Equal means selling in the first year at the scale that justifies the multiple.</t>
  </si>
  <si>
    <t>Premium exit multiple evidenced at the modelled scale</t>
  </si>
  <si>
    <t>The platform multiple rests on a banker observation at roughly $10m of EBITDA. Below that scale the premium is a sensitivity, not evidence.</t>
  </si>
  <si>
    <t>Multiple arbitrage share of exit EV</t>
  </si>
  <si>
    <t>Above half, the case is primarily a re-rating bet.</t>
  </si>
  <si>
    <t>Role activations reconcile to a named ORG driver, and none is left unexplained</t>
  </si>
  <si>
    <t>Counts roles whose activation differs from the ORG driver named for it, plus any role carrying a non-zero hardcoded activation with no named driver. A PASS cannot coexist with an unexplained hardcode. R003 to ORG-06; R005, R009 and R013 to ORG-08 as platform roles by principal decision; R010 and R012 to ORG-18; R014 one seat per acquired PMC with no gate.</t>
  </si>
  <si>
    <t>Seat-granularity mechanism behaves as specified</t>
  </si>
  <si>
    <t>Every granularity denominator is positive; R009 is the only role continuous; and no role produces a negative seat count at any modelled scale, at deal level, at platform level or in the org-evolution bridge. The base-FTE-minus-one encoding formerly used for R013 would have failed this test at exact multiples of its step base and has been withdrawn.</t>
  </si>
  <si>
    <t>Shared-services decomposition and org bridge reconstruct to nil</t>
  </si>
  <si>
    <t>Section 10 rebuilt from the role table ties to replacement shared services and to the combined bridge; section 11 ties across all eleven periods; and unscaled payroll times the solved scalar reproduces the payroll budget. None reads the line it tests.</t>
  </si>
  <si>
    <t>Minimum archetype loaded employment-cost scalar — the binding deal type</t>
  </si>
  <si>
    <t>Seven of the nine modelled acquisitions are the same $750k archetype, and it requires the largest compensation reduction. The weighted average conceals exactly the deal type that dominates the programme, so the minimum is tested rather than the mean. A low value here is either evidence that small PMCs pay materially less or evidence that the reconstructed 6,000-unit organisation carries too many dedicated seats.</t>
  </si>
  <si>
    <t>Dispersion between archetype loaded employment-cost scalars</t>
  </si>
  <si>
    <t>Spread between the largest and smallest deal archetypes. Wide dispersion is not random: it means the reconstructed organisation does not scale with company size in the way the role table assumes. Resolved only by a payroll register from each archetype.</t>
  </si>
  <si>
    <t>Non-payroll residual per unit excluding identified third-party pass-through</t>
  </si>
  <si>
    <t>The gross residual less the Yardi licence the manager incurs and rebills at zero margin. What is left must cover premises, insurance, professional fees, travel, marketing and all corporate technology. Shown separately because targets present software reimbursement gross or net inconsistently, and a gross-basis comparison would hide the constraint.</t>
  </si>
  <si>
    <t>HoldCo replacement payroll carries a source-of-funds reconciliation</t>
  </si>
  <si>
    <t>Every HoldCo seat classified Replacement or Mixed must map to seller payroll that is not already consumed elsewhere. R006, R010 and R012 seller pools are fully absorbed by the centralisation credit and the same-scope shared-services replacement, and acquired operating leadership is already removed by the leadership-redundancy credit, so no remaining pool exists. All active HoldCo seats are therefore charged and this line must be nil. A free-standing uncharged memo is not permitted.</t>
  </si>
  <si>
    <t>Recurring and episodic revenue are separated at the primitive level</t>
  </si>
  <si>
    <t>Reconstructed from the four recurring per-unit primitives on Assumptions, not from any presentation tag. If episodic revenue ever enters the recurring base the reconstruction breaks. Recurring and episodic are never summed into one interface line.</t>
  </si>
  <si>
    <t>VP Platform Operations and COO are mutually exclusive</t>
  </si>
  <si>
    <t>One post-scale operating seat, not two. H002 is carried and H009 is excluded. Reversing this requires an explicit principal decision, not a version bump.</t>
  </si>
  <si>
    <t>Nearshore shares and permission caps are within range and every role is treated</t>
  </si>
  <si>
    <t>Shares and caps between nil and one, and all fourteen roles carry an explicit location treatment and an explicit permission cap. A blank is not a decision.</t>
  </si>
  <si>
    <t>Platform-margin denominator contains every revenue source entering EBITDA</t>
  </si>
  <si>
    <t>The denominator implied by the reported margin is rebuilt from the engine revenue lines: recurring, episodic, and Layers 1, 2 and 3. Sourced from the Operating Case engine and Assumptions primitives, never from the Base Case Bridge tags.</t>
  </si>
  <si>
    <t>Nearshore benefit equals share times the cost differential and nothing else</t>
  </si>
  <si>
    <t>Rebuilt from the role table: permitted nearshore share times one less the delivered cost index times U.S. loaded cost, on the same seat count. No span, FTE or productivity benefit may enter here.</t>
  </si>
  <si>
    <t>Permission caps reduce the nearshore share without suppressing it entirely</t>
  </si>
  <si>
    <t>Counts roles designated for nearshore delivery whose permitted share has been capped to nil. Where an owner refuses offshore handling the work is performed onshore at full U.S. cost, which this engine does automatically; it is never modelled as the work disappearing.</t>
  </si>
  <si>
    <t>Scenario ordering holds — Downside &lt;= Base &lt;= Upside</t>
  </si>
  <si>
    <t>Year-7 EBITDA, recurring revenue and managed units must not invert across the three cases.</t>
  </si>
  <si>
    <t>No Task C scenario assumption has contaminated Base</t>
  </si>
  <si>
    <t>Base must carry zero episodic revenue, $128 EBITDA per unit, a 4% buyer-created uplift and Base Layer pricing and adoption. The Path-to-$10m assumptions are a scenario, never Base. Release-blocking.</t>
  </si>
  <si>
    <t>Sponsor cash-flow vector reconstructs from the liquidity engine</t>
  </si>
  <si>
    <t>Rebuilt from the equity cures and the exit proceeds, independent of the Base Case Bridge. Cures after the exit year are excluded by the vector, so the identity only holds if the exit-year logic is right.</t>
  </si>
  <si>
    <t>Managed units never fall below the contracted acquired book</t>
  </si>
  <si>
    <t>Contracted acquired units are never dropped, so managed units can never fall below them in any period or case. Rebuilt from the vintage engine, not from the capacity line being tested.</t>
  </si>
  <si>
    <t>Senior debt stays non-negative and inside the leverage covenant</t>
  </si>
  <si>
    <t>Closing senior balance never negative and never above the maximum senior leverage on DealCo EBITDA, every year, rebuilt from the covenant driver.</t>
  </si>
  <si>
    <t>Consolidated coverage is reported beside DealCo coverage</t>
  </si>
  <si>
    <t>Consolidated platform EBITDA less capex over all debt service. The DealCo covenant excludes HoldCo cost and reads materially higher. Disclosure control; REVIEW is the expected state.</t>
  </si>
  <si>
    <t>Exit-year mechanics move with the exit-year driver</t>
  </si>
  <si>
    <t>The number of non-zero periods in the sponsor vector must equal the exit year plus the close period. REVIEW where a cure is legitimately nil in a period.</t>
  </si>
  <si>
    <t>Senior debt rolls forward: opening plus draws less amortisation equals closing</t>
  </si>
  <si>
    <t>C-08 as approved. Two independent reconstructions: the closing senior balance equals the sum of the eleven vintage balances, and opening plus draws less amortisation equals closing in every period.</t>
  </si>
  <si>
    <t>ALL CONTROLS</t>
  </si>
  <si>
    <t>Hierarchy: any FAIL makes the aggregate FAIL; otherwise any REVIEW makes it REVIEW. Count computed, never typed.</t>
  </si>
  <si>
    <t>VERSION BRIDGE, DECISION LOG AND OPEN ITEMS</t>
  </si>
  <si>
    <t>Item</t>
  </si>
  <si>
    <t>Decision</t>
  </si>
  <si>
    <t>Basis and consequence</t>
  </si>
  <si>
    <t>v2.1.8, 4 Sep 2026</t>
  </si>
  <si>
    <t>RELEASE CANDIDATE — freeze patch</t>
  </si>
  <si>
    <t>Thirteen tabs. No architecture change. Release cleanup plus one economic decision: the managed-unit ceiling now binds all three cases.</t>
  </si>
  <si>
    <t>LIVE PRICING</t>
  </si>
  <si>
    <t>Threshold $800k strictly below; 4.0x under, 6.0x at or above; anchor 6.0x</t>
  </si>
  <si>
    <t>Principal decisions, graded [D]. The seven annual $750k tuck-ins price at 4.0x, the Year-3 $1.25m company and the $1m anchor at 6.0x. Total acquisition EV $34.50m. No deal sits on the threshold, so there is no boundary switch and no knife edge.</t>
  </si>
  <si>
    <t>PURCHASE-PRICE SENSITIVITY</t>
  </si>
  <si>
    <t>4.5x / 4.0x / 3.5x, graded [A]</t>
  </si>
  <si>
    <t>A plus or minus 0.5x band around the live 4.0x, applied on Returns only. Graded [A] rather than [C] because the 4.5x high case sits above the approximately 3-4x banker indication for smaller businesses. Labels now read from the driver instead of a stale caption.</t>
  </si>
  <si>
    <t>SIZE INPUTS</t>
  </si>
  <si>
    <t>Acquired EBITDA, EBITDA per unit, units per property — nothing else</t>
  </si>
  <si>
    <t>Units, properties, revenue and the EBITDA margin are all derived. The four units-led hardcodes and the redundant 200-property target are gone; the property figure is now a derived memo equal to the ceiling divided by units per property.</t>
  </si>
  <si>
    <t>CAPACITY CEILING</t>
  </si>
  <si>
    <t>50,000 managed units now binds all three cases</t>
  </si>
  <si>
    <t>Previously described as a hard constraint common to all cases while only Base respected it; Upside reached 59,676 units. It is now a genuine operating-capacity ceiling. Contracted acquired units are never dropped; organic wins beyond capacity appear as deferred pipeline, 9,676 units in Upside at Year 7. Two controls enforce it.</t>
  </si>
  <si>
    <t>DEFECT FOUND BY THE CEILING</t>
  </si>
  <si>
    <t>Centralisation credit was not scaling with the capped book</t>
  </si>
  <si>
    <t>Applying the cap made Upside platform EBITDA rise, because the per-deal local-payroll elimination ran on uncapped retention while replacement shared services fell with capped units. The vintage retention factors now carry the capacity factor, and Upside Year-7 EBITDA reads $4.86m rather than a spurious $6.20m.</t>
  </si>
  <si>
    <t>Now the first block on IC Summary</t>
  </si>
  <si>
    <t>The strategy requires the target universe to average $128 of normalized EBITDA per unit, about 19.6% on the Forum-derived revenue basis, to execute this cadence and stay within the ceiling. That is an acquisition screen, not evidence that such targets exist. It is the most useful conclusion the model currently produces.</t>
  </si>
  <si>
    <t>Architecture</t>
  </si>
  <si>
    <t>Locked</t>
  </si>
  <si>
    <t>Thirteen tabs, zero shared formulas, zero mutual dependencies, zero backward dependencies, zero merged cells, no external links, explicit full recalculation with iteration off. No further architecture changes.</t>
  </si>
  <si>
    <t>OPEN — target quality</t>
  </si>
  <si>
    <t>$128 per unit is a screen, not an observation</t>
  </si>
  <si>
    <t>Target GL and payroll registers are the binding evidence. Until they arrive the entire acquisition programme rests on an unevidenced quality assumption.</t>
  </si>
  <si>
    <t>OPEN — ORG-19 platform leverage</t>
  </si>
  <si>
    <t>1.60x, graded [E]</t>
  </si>
  <si>
    <t>The largest single swing factor in the shared-services saving. Shown on IC Summary beside the seats removed.</t>
  </si>
  <si>
    <t>OPEN — target payroll coherence</t>
  </si>
  <si>
    <t>Worst deal runs near its own cost base</t>
  </si>
  <si>
    <t>Reported per deal rather than pooled. Above 100% the model would be manufacturing a seller cost inconsistent with that seller EBITDA.</t>
  </si>
  <si>
    <t>OPEN — transaction and integration cost</t>
  </si>
  <si>
    <t>$75k and $175k remain [A]</t>
  </si>
  <si>
    <t>Pending legal, QoE and insurance quotes.</t>
  </si>
  <si>
    <t>OPEN — GL breadth</t>
  </si>
  <si>
    <t>One asset, one manager</t>
  </si>
  <si>
    <t>Greystar, Dayrise and Bozzuto extracts would establish whether Forum is representative.</t>
  </si>
  <si>
    <t>Gate 1</t>
  </si>
  <si>
    <t>Unchanged: PAUSE PENDING NAMED EVIDENCE</t>
  </si>
  <si>
    <t>Nothing in a spreadsheet release changes it.</t>
  </si>
  <si>
    <t>FREEZE CONDITION</t>
  </si>
  <si>
    <t>Desktop Excel must open this exact file with no repair prompt</t>
  </si>
  <si>
    <t>The only release gate that cannot be discharged headlessly. Until it passes this is a release candidate, not a final release.</t>
  </si>
  <si>
    <t>v2.2.1, 4 Sep 2026</t>
  </si>
  <si>
    <t>FORENSIC PATCH — D-01 to D-05 and four control rebuilds</t>
  </si>
  <si>
    <t>140-cell patch. Corrects evidence-switch and compensation-precedence defects, negative transition-overlap behavior, close-year anchor centralisation overlap, and close-year HoldCo G&amp;A. Rebuilds controls from primitives. Corrected Base Year-7 platform EBITDA is approximately $2.46m; evidence-constrained Base Year-7 platform EBITDA is approximately $(8.63)m.</t>
  </si>
  <si>
    <t>v2.2.2, 4 Sep 2026</t>
  </si>
  <si>
    <t>FORENSIC FOLLOW-UP — true 7-year IRR and version traceability</t>
  </si>
  <si>
    <t>Returns!D57:F57 now report true annual cash-flow IRR from sponsor equity cures through Year 7 plus Year-7 exit proceeds; Business Plan!D82 links to the Base result. The prior Returns/IC figure was an annualized MOIC proxy and Business Plan!D82 incorrectly ran IRR through Year 10. No operating assumptions or economic engine formulas changed.</t>
  </si>
  <si>
    <t>v2.2.3, 4 Sep 2026</t>
  </si>
  <si>
    <t>ORG-19 CONVERTED FROM INPUT TO OUTPUT</t>
  </si>
  <si>
    <t>ASSUMPTION RESET, NOT ATTRIBUTION. The single [E] scalar ORG-19 (1.60x) was replaced by eight per-role shared-services spans in Org &amp; Capacity column W. Those spans imply a blended 2.12x, materially more efficiency than 1.60x, and raise Base Year-7 EBITDA by $2.72m from $2.46m to $5.18m. The refactor is mechanical; the new spans are a new underwriting assumption graded [E] until evidenced. 95 change records across 95 unique cells.</t>
  </si>
  <si>
    <t>v2.2.4, 4 Sep 2026</t>
  </si>
  <si>
    <t>WITHDRAWN — decomposition block overwrote section 9 headers</t>
  </si>
  <si>
    <t>Not released. The Year-7 decomposition was written to rows 103-106 and destroyed the section 9 title, its note and the deal-table column headers. Superseded by v2.2.5, which places the decomposition in a new section 10 at rows 242-254.</t>
  </si>
  <si>
    <t>v2.2.5, 4 Sep 2026</t>
  </si>
  <si>
    <t>ACTIVATION REGRESSION REPAIR AND LIKE-FOR-LIKE DECOMPOSITION</t>
  </si>
  <si>
    <t>R003 relinked to ORG-06 and R014 restored to one commercial seat per acquired PMC plus the ORG-17 span, per the pre-v2 role architecture. Treated as regression repair, not new economics: no explicit decision was found that replaced the prior specification. R005/R010/R012 linked with no economic effect. R013 NOT repaired pending reconstruction of its pre-v2 step mechanics; R009 has no named driver. Control 16 given a three-state test; Control 55 broadened so a PASS cannot coexist with an unexplained hardcode. New section 10 separates like-for-like replacement from institutionalisation and organic-growth capacity, with FTE and payroll leverage separately labelled. Base Year-7 EBITDA unchanged at $5.18m; Control 16 now FAILS at 112.05% and the aggregate is FAIL.</t>
  </si>
  <si>
    <t>v2.2.6, 4 Sep 2026</t>
  </si>
  <si>
    <t>R009 AND R013 LINEAGE RESTORED FROM v1.8.0</t>
  </si>
  <si>
    <t>R009 Treasury/FP&amp;A restored to the continuous v1.8.0 mechanic, units above the first 5,000 per FTE at ORG-11, with a new seat-granularity column X so that one role can be continuous while every other remains whole seats. R013 Compliance restored to the v1.8.0 stepped rule, ROUNDDOWN(units / ORG-15) less one with zero below the first step, encoded as base FTE minus one plus the ceiling of the step; its activation is ORG-15 at 3,750, not the ORG-18 floor. Control 55 recomputed across every named driver. No change to the locked acquisition economics or to the column W shared-services spans.</t>
  </si>
  <si>
    <t>v2.2.7, 4 Sep 2026</t>
  </si>
  <si>
    <t>COMPENSATION INVERTED; TREASURY AND COMPLIANCE MADE PLATFORM ROLES</t>
  </si>
  <si>
    <t>PRINCIPAL DECISION. R009 and R013 activate at ORG-08 (10,000 units), above the largest acquired company, so no target carries them; the v1.8.0 deal-level mechanics are recorded and retired rather than restored, and the base-FTE-minus-one encoding is withdrawn because it fails at exact multiples of the step base. ORG-20 introduced at Assumptions row 31 as the target payroll share of operating cost, set to 75%, replacing the former non-payroll share of revenue. Target compensation is now solved from that budget rather than assumed from platform benchmarks: implied scalar 0.7875, loaded cost per FTE $161,119 to $126,882. Control 16 repurposed from a cost-base test, which is now true by construction, to a compensation-scalar band. Controls 56 and 57 added for the seat-granularity mechanism and the section 10 and 11 reconstructions. Section 11 role-by-period org evolution added. No change to the acquisition programme or the column W spans.</t>
  </si>
  <si>
    <t>v2.2.8, 4 Sep 2026</t>
  </si>
  <si>
    <t>H006 RECONCILED; ATTRIBUTION AND LABELLING CORRECTED</t>
  </si>
  <si>
    <t>H006 Legal / Risk / Compliance Leadership moved from Replacement at 0% incremental to Incremental and charged, because the v2.2.7 principal decision leaves no acquired compliance function to replace. Base Year-7 cost approximately $306k. H003 note corrected to drop the CFO half. Section 10 now shows the scaled seller payroll comparator and splits the bridge into acquired-book cost contribution before organic-growth support, then organic-growth support, then combined. Column S renamed the loaded employment-cost scalar and column U added reporting the equivalent salary-and-bonus factor. Controls 58, 59 and 60 added for the binding archetype scalar, archetype dispersion and the non-payroll residual net of identified pass-through. Section 11 moved to rows 260-274. No change to ORG-20, the acquisition programme or the column W spans.</t>
  </si>
  <si>
    <t>v2.4.0, 7 Sep 2026</t>
  </si>
  <si>
    <t>INSTITUTIONAL BUILD — PHASE 1 SPECIFICATION AS AMENDED BY SUPERVISOR</t>
  </si>
  <si>
    <t>SOURCE v2.3.0 -&gt; DESTINATION v2.4.0. Approved change IDs Q-2, Q-4, L-01, L-02, L-04, L-05, L-06, C-01 to C-11, P-01 to P-11, G-01 to G-04. CHANGE RECORDS: the candidate claimed 552 across 506 unique cells and stated they were reconciled automatically. SUPERVISOR AUDIT: the actual manifest was 555 records across 509 unique cells. The claim was false and is corrected here rather than preserved. The candidate was superseded before the desktop gate; 202 formulas, 330 values, the balance labels and styles, all reconciled automatically to the manifest and never typed. ECONOMIC IMPACT: nearshore Base index 0.46x to 0.40x for R006/R007/R008 (+$153,237); leadership-redundancy credit set to nil (-$823,677); net -$670,440. Base Year-7 consolidated platform EBITDA $3,580,798 to $2,910,358, matching the approved golden test. L-01 corrects the platform-margin denominator to include all revenue entering EBITDA; margin 10.96% to 8.54%; no EBITDA effect. L-04 nil in Base. All other changes nil. CONTROL IMPACT: 61 live control rows to 67; three tautological Business Plan reconciliations deleted; nine added; four attribute columns; aggregate computed from C5:C75, never typed. PRINCIPAL DECISIONS: Q-2 0.40x Base nearshore index [A], 0.46x retained as [C] comparable at Evidence &amp; Market C38; Q-4 leadership redundancy uncredited and retained as [OQ] upside, roster duplication of approximately $2.99m likewise ununderwritten. R009 Treasury/FP&amp;A and R013 Compliance remain PLATFORM roles at ORG-08 10,000 units per the v2.3.0 principal decision; the v1.8 seller-role mechanics are not restored. OPEN ITEMS: column-W spans [E]; ORG-20 [OQ]; nearshore index [A]; Layer pricing and adoption [A]; leadership redundancy and roster duplication [OQ]. RELEASE STATUS: RELEASE CANDIDATE - DESKTOP EXCEL GATE OUTSTANDING. DESKTOP EXCEL STATUS: not yet performed. STATUS: SUPERSEDED RELEASE CANDIDATE — supervisor audit found acceptance-suite and presentation defects before the desktop gate.</t>
  </si>
  <si>
    <t>v2.4.1, 7 Sep 2026</t>
  </si>
  <si>
    <t>SUPERVISOR-AUDIT CORRECTIONS TO v2.4.0</t>
  </si>
  <si>
    <t>SOURCE v2.4.0 (SHA-256 43fe2ef8...) -&gt; DESTINATION v2.4.1. v2.4.0 is SUPERSEDED RELEASE CANDIDATE: supervisor audit found acceptance-suite and presentation defects before the desktop gate; its bytes are immutable. MANIFEST regenerated from v2.3.0 source to v2.4.1 destination after all changes: 2991 change records across 2991 unique cells, counted mechanically, no exemption for any tab including IC Summary. CORRECTIONS: (1) Evidence &amp; Market row 33 restored in full and the 0.46x nearshore comparable relocated to row 38; (2) evidence-switch ruling implemented — the delivered nearshore index reverts from 0.40x [A] to the 0.46x [C] comparable at Org &amp; Capacity H25, nearshore is not zeroed; (3) Control 49 replaced so no tab reads Base Case Bridge, which is now genuinely terminal; (4) C-07 and C-08 rebuilt as the approved unit and debt roll-forward reconstructions; (5) L-06 consolidated coverage rows added to Transaction &amp; Liquidity in all three cases; (6) Base Case Bridge retitled and given the tagged first-screen value-creation bridge with a nil tie; (7) Assumptions provenance column added with JACK DECISION visible; (8) IC Summary column widths corrected and both charts rebuilt — a true stacked waterfall with mutually exclusive steps in which nearshore appears once, and a three-named-series units/revenue/EBITDA chart on a secondary axis; (9) acceptance harness rebuilt to the approved specification with real assertions, forced external recalculation, exit-year 5 and 10 scenarios and an injected episodic-revenue test. ECONOMIC IMPACT: none in the full case. Base Year-7 EBITDA 2,910,357.78; total platform revenue 34,074,147.21; margin 8.541249%; leadership redundancy nil; nearshore saving 1,532,367.55; MOIC 0.49819875x; true 7-year IRR (15.92053)%. The only economic behaviour change is under the evidence-constrained switch. NOT DELIVERED: the compact summaries on Revenue &amp; Durability, Org &amp; Capacity and Operating Case. Reference-aware row insertion was implemented and attempted; it produced 3,479 formula errors on the first full-workbook run and was reverted rather than shipped. Scheduled as a standalone pass. RELEASE STATUS: RELEASE CANDIDATE - SUPERVISOR REVIEW THEN DESKTOP EXCEL GATE. DESKTOP EXCEL STATUS: not performed, per instruction. STATUS UPDATE: SUPERSEDED RELEASE CANDIDATE — supervisor audit found remaining QA, dynamic-IRR and chart defects before the desktop gate.</t>
  </si>
  <si>
    <t>v2.4.3, 7 Sep 2026</t>
  </si>
  <si>
    <t>FINAL CLOSEOUT PATCH — IC CHART 2 RENDERABILITY</t>
  </si>
  <si>
    <t>SOURCE v2.4.2 (SHA-256 dca79b3f…) -&gt; DESTINATION v2.4.3. v2.4.2 preserved unchanged. MANIFEST regenerated v2.3.0 source to v2.4.3 destination: 2994 change records across 2994 unique cells, counted mechanically. SCOPE: IC Summary Chart 2 renderability plus release metadata only. No formula, value, number format, width, row height, style, control, assumption or Chart 1 change. CHART 2 ROOT CAUSES CORRECTED: all three series carried line width nil and white line colour with no markers, and the secondary line group carried its own category axis. Rebuilt with explicit line width 28,575 EMU (2.25pt), distinct institutional colours 1F3864 managed units, C00000 total platform revenue, 548235 consolidated EBITDA, visible circle, square and triangle markers, a single shared category axis over D13:G13 with the secondary category axis deleted, primary left axis in units and secondary right axis in dollars, and a bottom legend of exactly three named series. The chart XML is patched after recalculation because LibreOffice rewrites chart parts on save and strips the axis-delete flag — the same class as the calcPr and column-width handling. QA: the Chart 2 acceptance test now verifies rendering-relevant OOXML — three c:ser elements, one visible category axis and one deleted, two value axes, four points in every category and value block, non-zero line width, and three distinct non-white colours — rather than counting library objects. 49 external tests, zero failures. ECONOMICS: unchanged. Y7 EBITDA 2,910,357.78; total platform revenue 34,074,147.21; margin 8.541249%; leadership redundancy nil; nearshore saving 1,532,367.55; MOIC 0.49819875x; true 7-year IRR (15.92053)%. RELEASE STATUS: SUPERSEDED FINAL CANDIDATE — desktop gate passed, but subsequent Task C development exposed deterministic presentation-formula translation defects inherited from the institutional row-insertion pass. Economic engine and frozen outputs unaffected.</t>
  </si>
  <si>
    <t>v2.4.4, 8 Sep 2026</t>
  </si>
  <si>
    <t>PRESENTATION-FORMULA RELOCATION REPAIR</t>
  </si>
  <si>
    <t>SOURCE v2.4.3 (SHA-256 cf071404…) -&gt; DESTINATION v2.4.4. MANIFEST 191 change records across 191 unique cells, counted mechanically. SCOPE: terminal presentation tabs only. No calculation-engine formula changed and no Base economics changed. IC Summary legacy diagnostic block was relocated +58 rows and Base Case Bridge legacy content +26 rows during the institutional build; openpyxl translated the row anchors of same-sheet and INDEX ranges incorrectly. Repaired by regenerating every affected formula from the approved v2.3.0 lineage under the stated translation rule — same-sheet references shift, sheet-qualified references stay at source coordinates, string literals unchanged — and replacing only the mismatches. IC Summary mismatches 20 to 0; Base Case Bridge mismatches 167 to 0; both counts reproduce the supervisor's independent audit exactly. The one approved post-v2.3.0 exception is preserved: the relocated diagnostic-status formula at IC Summary C139 continues to read the Controls aggregate at C77, which legitimately moved from C69 during institutionalisation. New acceptance tests: source-relative lineage for both tabs, an approved-exception test, a descending same-sheet range test, and a presentation-reconciliation test. ECONOMICS UNCHANGED: Y7 EBITDA 2,910,357.78; total platform revenue 34,074,147.21; margin 8.541249%; leadership redundancy nil; nearshore saving 1,532,367.55; MOIC 0.49819875x; true 7-year IRR (15.92053)%. RELEASE STATUS: RELEASE CANDIDATE — NEW DESKTOP EXCEL GATE REQUIRED, not to be run until supervisor 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</si>
</sst>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x;\(#,##0.00&quot;x)&quot;;\-"/>
    <numFmt numFmtId="166" formatCode="#,##0.0;\(#,##0.0\);\-"/>
    <numFmt numFmtId="167" formatCode="#,##0.0%;\(#,##0.0%\);\-"/>
    <numFmt numFmtId="168" formatCode="#,##0.00%;\(#,##0.00%\);\-"/>
    <numFmt numFmtId="169" formatCode="#,##0.00;\(#,##0.00\);\-"/>
    <numFmt numFmtId="170" formatCode="#,##0.000;\(#,##0.000\);\-"/>
  </numFmts>
  <fonts count="13" x14ac:knownFonts="1">
    <font>
      <sz val="10"/>
      <name val="Arial"/>
      <family val="2"/>
      <charset val="1"/>
    </font>
    <font>
      <b/>
      <sz val="8"/>
      <color rgb="FF000000"/>
      <name val="Century Gothic"/>
      <charset val="1"/>
    </font>
    <font>
      <sz val="8"/>
      <color rgb="FF000000"/>
      <name val="Century Gothic"/>
      <charset val="1"/>
    </font>
    <font>
      <i/>
      <sz val="8"/>
      <color rgb="FF008000"/>
      <name val="Century Gothic"/>
      <charset val="1"/>
    </font>
    <font>
      <b/>
      <sz val="8"/>
      <color rgb="FFFFFFFF"/>
      <name val="Century Gothic"/>
      <charset val="1"/>
    </font>
    <font>
      <sz val="8"/>
      <color rgb="FF008000"/>
      <name val="Century Gothic"/>
      <charset val="1"/>
    </font>
    <font>
      <i/>
      <sz val="8"/>
      <color rgb="FF000000"/>
      <name val="Century Gothic"/>
      <charset val="1"/>
    </font>
    <font>
      <b/>
      <sz val="8"/>
      <color rgb="FF008000"/>
      <name val="Century Gothic"/>
      <charset val="1"/>
    </font>
    <font>
      <sz val="8"/>
      <color rgb="FF0000FF"/>
      <name val="Century Gothic"/>
      <charset val="1"/>
    </font>
    <font>
      <b/>
      <sz val="8"/>
      <color rgb="FF0000FF"/>
      <name val="Century Gothic"/>
      <charset val="1"/>
    </font>
    <font>
      <b/>
      <sz val="8"/>
      <color rgb="FFFF0000"/>
      <name val="Century Gothic"/>
      <charset val="1"/>
    </font>
    <font>
      <b/>
      <sz val="8"/>
      <color rgb="FF808080"/>
      <name val="Century Gothic"/>
      <charset val="1"/>
    </font>
    <font>
      <sz val="8"/>
      <color rgb="FF808080"/>
      <name val="Century Gothic"/>
      <charset val="1"/>
    </font>
  </fonts>
  <fills count="7">
    <fill>
      <patternFill patternType="none"/>
    </fill>
    <fill>
      <patternFill patternType="gray125"/>
    </fill>
    <fill>
      <patternFill patternType="solid">
        <fgColor rgb="FF1F3864"/>
        <bgColor rgb="FF333333"/>
      </patternFill>
    </fill>
    <fill>
      <patternFill patternType="solid">
        <fgColor rgb="FFFCE4D6"/>
        <bgColor rgb="FFFFF2CC"/>
      </patternFill>
    </fill>
    <fill>
      <patternFill patternType="solid">
        <fgColor rgb="FFD9E1F2"/>
        <bgColor rgb="FFD9D9D9"/>
      </patternFill>
    </fill>
    <fill>
      <patternFill patternType="solid">
        <fgColor rgb="FFE2EFDA"/>
        <bgColor rgb="FFD9E1F2"/>
      </patternFill>
    </fill>
    <fill>
      <patternFill patternType="solid">
        <fgColor rgb="FFFFF2CC"/>
        <bgColor rgb="FFFCE4D6"/>
      </patternFill>
    </fill>
  </fills>
  <borders count="2">
    <border>
      <left/>
      <right/>
      <top/>
      <bottom/>
      <diagonal/>
    </border>
    <border>
      <left/>
      <right/>
      <top style="thin">
        <color auto="1"/>
      </top>
      <bottom/>
      <diagonal/>
    </border>
  </borders>
  <cellStyleXfs count="1">
    <xf numFmtId="0" fontId="0" fillId="0" borderId="0"/>
  </cellStyleXfs>
  <cellXfs count="99">
    <xf numFmtId="0" fontId="0" fillId="0" borderId="0" xfId="0"/>
    <xf numFmtId="0" fontId="1" fillId="0" borderId="0" xfId="0" applyFont="1" applyAlignment="1">
      <alignment horizontal="left"/>
    </xf>
    <xf numFmtId="0" fontId="2" fillId="0" borderId="0" xfId="0" applyFont="1"/>
    <xf numFmtId="0" fontId="3" fillId="0" borderId="0" xfId="0" applyFont="1" applyAlignment="1">
      <alignment horizontal="left"/>
    </xf>
    <xf numFmtId="0" fontId="4" fillId="2" borderId="0" xfId="0" applyFont="1" applyFill="1" applyAlignment="1">
      <alignment horizontal="left"/>
    </xf>
    <xf numFmtId="0" fontId="4" fillId="2" borderId="0" xfId="0" applyFont="1" applyFill="1"/>
    <xf numFmtId="0" fontId="2" fillId="0" borderId="0" xfId="0" applyFont="1" applyAlignment="1">
      <alignment horizontal="left"/>
    </xf>
    <xf numFmtId="164" fontId="5" fillId="3" borderId="0" xfId="0" applyNumberFormat="1" applyFont="1" applyFill="1" applyAlignment="1">
      <alignment horizontal="right"/>
    </xf>
    <xf numFmtId="164" fontId="5" fillId="0" borderId="0" xfId="0" applyNumberFormat="1" applyFont="1" applyAlignment="1">
      <alignment horizontal="left"/>
    </xf>
    <xf numFmtId="164" fontId="5" fillId="0" borderId="0" xfId="0" applyNumberFormat="1" applyFont="1"/>
    <xf numFmtId="0" fontId="2" fillId="4" borderId="0" xfId="0" applyFont="1" applyFill="1" applyAlignment="1">
      <alignment horizontal="left"/>
    </xf>
    <xf numFmtId="164" fontId="5" fillId="4" borderId="0" xfId="0" applyNumberFormat="1" applyFont="1" applyFill="1" applyAlignment="1">
      <alignment horizontal="left"/>
    </xf>
    <xf numFmtId="165" fontId="5" fillId="0" borderId="0" xfId="0" applyNumberFormat="1" applyFont="1" applyAlignment="1">
      <alignment horizontal="right"/>
    </xf>
    <xf numFmtId="164" fontId="5" fillId="0" borderId="0" xfId="0" applyNumberFormat="1" applyFont="1" applyAlignment="1">
      <alignment horizontal="right"/>
    </xf>
    <xf numFmtId="166" fontId="4" fillId="2" borderId="0" xfId="0" applyNumberFormat="1" applyFont="1" applyFill="1" applyAlignment="1">
      <alignment horizontal="right"/>
    </xf>
    <xf numFmtId="166" fontId="5" fillId="0" borderId="0" xfId="0" applyNumberFormat="1" applyFont="1" applyAlignment="1">
      <alignment horizontal="right"/>
    </xf>
    <xf numFmtId="0" fontId="1" fillId="0" borderId="0" xfId="0" applyFont="1" applyAlignment="1">
      <alignment horizontal="right"/>
    </xf>
    <xf numFmtId="166" fontId="5" fillId="0" borderId="0" xfId="0" applyNumberFormat="1" applyFont="1"/>
    <xf numFmtId="166" fontId="5" fillId="0" borderId="0" xfId="0" applyNumberFormat="1" applyFont="1" applyAlignment="1">
      <alignment horizontal="left"/>
    </xf>
    <xf numFmtId="167" fontId="5" fillId="0" borderId="0" xfId="0" applyNumberFormat="1" applyFont="1" applyAlignment="1">
      <alignment horizontal="right"/>
    </xf>
    <xf numFmtId="167" fontId="5" fillId="0" borderId="0" xfId="0" applyNumberFormat="1" applyFont="1"/>
    <xf numFmtId="0" fontId="1" fillId="4" borderId="0" xfId="0" applyFont="1" applyFill="1" applyAlignment="1">
      <alignment horizontal="left"/>
    </xf>
    <xf numFmtId="0" fontId="6" fillId="4" borderId="0" xfId="0" applyFont="1" applyFill="1" applyAlignment="1">
      <alignment horizontal="left"/>
    </xf>
    <xf numFmtId="164" fontId="6" fillId="0" borderId="0" xfId="0" applyNumberFormat="1" applyFont="1" applyAlignment="1">
      <alignment horizontal="right"/>
    </xf>
    <xf numFmtId="166" fontId="6" fillId="0" borderId="0" xfId="0" applyNumberFormat="1" applyFont="1" applyAlignment="1">
      <alignment horizontal="right"/>
    </xf>
    <xf numFmtId="164" fontId="5" fillId="5" borderId="0" xfId="0" applyNumberFormat="1" applyFont="1" applyFill="1" applyAlignment="1">
      <alignment horizontal="right"/>
    </xf>
    <xf numFmtId="164" fontId="7" fillId="5" borderId="0" xfId="0" applyNumberFormat="1" applyFont="1" applyFill="1" applyAlignment="1">
      <alignment horizontal="right"/>
    </xf>
    <xf numFmtId="164" fontId="6" fillId="5" borderId="0" xfId="0" applyNumberFormat="1" applyFont="1" applyFill="1" applyAlignment="1">
      <alignment horizontal="right"/>
    </xf>
    <xf numFmtId="0" fontId="1" fillId="0" borderId="1" xfId="0" applyFont="1" applyBorder="1"/>
    <xf numFmtId="164" fontId="7" fillId="0" borderId="1" xfId="0" applyNumberFormat="1" applyFont="1" applyBorder="1"/>
    <xf numFmtId="164" fontId="6" fillId="4" borderId="0" xfId="0" applyNumberFormat="1" applyFont="1" applyFill="1" applyAlignment="1">
      <alignment horizontal="left"/>
    </xf>
    <xf numFmtId="164" fontId="4" fillId="2" borderId="0" xfId="0" applyNumberFormat="1" applyFont="1" applyFill="1" applyAlignment="1">
      <alignment horizontal="right"/>
    </xf>
    <xf numFmtId="166" fontId="2" fillId="3" borderId="0" xfId="0" applyNumberFormat="1" applyFont="1" applyFill="1" applyAlignment="1">
      <alignment horizontal="right"/>
    </xf>
    <xf numFmtId="164" fontId="2" fillId="3" borderId="0" xfId="0" applyNumberFormat="1" applyFont="1" applyFill="1" applyAlignment="1">
      <alignment horizontal="right"/>
    </xf>
    <xf numFmtId="165" fontId="5" fillId="0" borderId="0" xfId="0" applyNumberFormat="1" applyFont="1"/>
    <xf numFmtId="165" fontId="5" fillId="4" borderId="0" xfId="0" applyNumberFormat="1" applyFont="1" applyFill="1" applyAlignment="1">
      <alignment horizontal="left"/>
    </xf>
    <xf numFmtId="165" fontId="5" fillId="3" borderId="0" xfId="0" applyNumberFormat="1" applyFont="1" applyFill="1" applyAlignment="1">
      <alignment horizontal="right"/>
    </xf>
    <xf numFmtId="167" fontId="5" fillId="3" borderId="0" xfId="0" applyNumberFormat="1" applyFont="1" applyFill="1" applyAlignment="1">
      <alignment horizontal="right"/>
    </xf>
    <xf numFmtId="168" fontId="7" fillId="3" borderId="0" xfId="0" applyNumberFormat="1" applyFont="1" applyFill="1" applyAlignment="1">
      <alignment horizontal="right"/>
    </xf>
    <xf numFmtId="164" fontId="7" fillId="0" borderId="0" xfId="0" applyNumberFormat="1" applyFont="1" applyAlignment="1">
      <alignment horizontal="right"/>
    </xf>
    <xf numFmtId="164" fontId="1" fillId="0" borderId="0" xfId="0" applyNumberFormat="1" applyFont="1" applyAlignment="1">
      <alignment horizontal="right"/>
    </xf>
    <xf numFmtId="165" fontId="7" fillId="5" borderId="0" xfId="0" applyNumberFormat="1" applyFont="1" applyFill="1" applyAlignment="1">
      <alignment horizontal="right"/>
    </xf>
    <xf numFmtId="0" fontId="6" fillId="0" borderId="0" xfId="0" applyFont="1" applyAlignment="1">
      <alignment horizontal="left"/>
    </xf>
    <xf numFmtId="167" fontId="7" fillId="0" borderId="0" xfId="0" applyNumberFormat="1" applyFont="1" applyAlignment="1">
      <alignment horizontal="right"/>
    </xf>
    <xf numFmtId="0" fontId="5" fillId="0" borderId="0" xfId="0" applyFont="1" applyAlignment="1">
      <alignment horizontal="left"/>
    </xf>
    <xf numFmtId="0" fontId="5" fillId="3" borderId="0" xfId="0" applyFont="1" applyFill="1" applyAlignment="1">
      <alignment horizontal="left"/>
    </xf>
    <xf numFmtId="164" fontId="7" fillId="3" borderId="0" xfId="0" applyNumberFormat="1" applyFont="1" applyFill="1" applyAlignment="1">
      <alignment horizontal="right"/>
    </xf>
    <xf numFmtId="167" fontId="7" fillId="3" borderId="0" xfId="0" applyNumberFormat="1" applyFont="1" applyFill="1" applyAlignment="1">
      <alignment horizontal="right"/>
    </xf>
    <xf numFmtId="0" fontId="6" fillId="0" borderId="0" xfId="0" applyFont="1"/>
    <xf numFmtId="0" fontId="1" fillId="0" borderId="0" xfId="0" applyFont="1"/>
    <xf numFmtId="164" fontId="2" fillId="0" borderId="0" xfId="0" applyNumberFormat="1" applyFont="1"/>
    <xf numFmtId="0" fontId="8" fillId="0" borderId="0" xfId="0" applyFont="1"/>
    <xf numFmtId="0" fontId="5" fillId="0" borderId="0" xfId="0" applyFont="1"/>
    <xf numFmtId="0" fontId="2" fillId="2" borderId="0" xfId="0" applyFont="1" applyFill="1"/>
    <xf numFmtId="169" fontId="5" fillId="0" borderId="0" xfId="0" applyNumberFormat="1" applyFont="1" applyAlignment="1">
      <alignment horizontal="right"/>
    </xf>
    <xf numFmtId="169" fontId="6" fillId="0" borderId="0" xfId="0" applyNumberFormat="1" applyFont="1" applyAlignment="1">
      <alignment horizontal="right"/>
    </xf>
    <xf numFmtId="0" fontId="1" fillId="0" borderId="1" xfId="0" applyFont="1" applyBorder="1" applyAlignment="1">
      <alignment horizontal="left"/>
    </xf>
    <xf numFmtId="164" fontId="7" fillId="0" borderId="1" xfId="0" applyNumberFormat="1" applyFont="1" applyBorder="1" applyAlignment="1">
      <alignment horizontal="left"/>
    </xf>
    <xf numFmtId="164" fontId="6" fillId="0" borderId="0" xfId="0" applyNumberFormat="1" applyFont="1"/>
    <xf numFmtId="164" fontId="3" fillId="4" borderId="0" xfId="0" applyNumberFormat="1" applyFont="1" applyFill="1" applyAlignment="1">
      <alignment horizontal="left"/>
    </xf>
    <xf numFmtId="164" fontId="2" fillId="0" borderId="0" xfId="0" applyNumberFormat="1" applyFont="1" applyAlignment="1">
      <alignment horizontal="left"/>
    </xf>
    <xf numFmtId="164" fontId="1" fillId="5" borderId="0" xfId="0" applyNumberFormat="1" applyFont="1" applyFill="1" applyAlignment="1">
      <alignment horizontal="right"/>
    </xf>
    <xf numFmtId="167" fontId="7" fillId="5" borderId="0" xfId="0" applyNumberFormat="1" applyFont="1" applyFill="1" applyAlignment="1">
      <alignment horizontal="right"/>
    </xf>
    <xf numFmtId="164" fontId="2" fillId="0" borderId="0" xfId="0" applyNumberFormat="1" applyFont="1" applyAlignment="1">
      <alignment horizontal="right"/>
    </xf>
    <xf numFmtId="164" fontId="8" fillId="6" borderId="0" xfId="0" applyNumberFormat="1" applyFont="1" applyFill="1" applyAlignment="1">
      <alignment horizontal="right"/>
    </xf>
    <xf numFmtId="170" fontId="2" fillId="0" borderId="0" xfId="0" applyNumberFormat="1" applyFont="1" applyAlignment="1">
      <alignment horizontal="right"/>
    </xf>
    <xf numFmtId="164" fontId="1" fillId="3" borderId="0" xfId="0" applyNumberFormat="1" applyFont="1" applyFill="1" applyAlignment="1">
      <alignment horizontal="right"/>
    </xf>
    <xf numFmtId="164" fontId="9" fillId="5" borderId="0" xfId="0" applyNumberFormat="1" applyFont="1" applyFill="1" applyAlignment="1">
      <alignment horizontal="right"/>
    </xf>
    <xf numFmtId="165" fontId="8" fillId="6" borderId="0" xfId="0" applyNumberFormat="1" applyFont="1" applyFill="1" applyAlignment="1">
      <alignment horizontal="right"/>
    </xf>
    <xf numFmtId="167" fontId="8" fillId="6" borderId="0" xfId="0" applyNumberFormat="1" applyFont="1" applyFill="1" applyAlignment="1">
      <alignment horizontal="right"/>
    </xf>
    <xf numFmtId="167" fontId="2" fillId="6" borderId="0" xfId="0" applyNumberFormat="1" applyFont="1" applyFill="1" applyAlignment="1">
      <alignment horizontal="right"/>
    </xf>
    <xf numFmtId="167" fontId="2" fillId="0" borderId="0" xfId="0" applyNumberFormat="1" applyFont="1" applyAlignment="1">
      <alignment horizontal="right"/>
    </xf>
    <xf numFmtId="164" fontId="5" fillId="6" borderId="0" xfId="0" applyNumberFormat="1" applyFont="1" applyFill="1" applyAlignment="1">
      <alignment horizontal="right"/>
    </xf>
    <xf numFmtId="0" fontId="9" fillId="6" borderId="0" xfId="0" applyFont="1" applyFill="1" applyAlignment="1">
      <alignment horizontal="left"/>
    </xf>
    <xf numFmtId="0" fontId="7" fillId="0" borderId="0" xfId="0" applyFont="1" applyAlignment="1">
      <alignment horizontal="left"/>
    </xf>
    <xf numFmtId="0" fontId="10" fillId="0" borderId="0" xfId="0" applyFont="1" applyAlignment="1">
      <alignment horizontal="left"/>
    </xf>
    <xf numFmtId="0" fontId="11" fillId="0" borderId="0" xfId="0" applyFont="1" applyAlignment="1">
      <alignment horizontal="left"/>
    </xf>
    <xf numFmtId="0" fontId="2" fillId="6" borderId="0" xfId="0" applyFont="1" applyFill="1" applyAlignment="1">
      <alignment horizontal="left"/>
    </xf>
    <xf numFmtId="166" fontId="2" fillId="0" borderId="0" xfId="0" applyNumberFormat="1" applyFont="1" applyAlignment="1">
      <alignment horizontal="right"/>
    </xf>
    <xf numFmtId="169" fontId="2" fillId="0" borderId="0" xfId="0" applyNumberFormat="1" applyFont="1" applyAlignment="1">
      <alignment horizontal="right"/>
    </xf>
    <xf numFmtId="165" fontId="2" fillId="0" borderId="0" xfId="0" applyNumberFormat="1" applyFont="1" applyAlignment="1">
      <alignment horizontal="right"/>
    </xf>
    <xf numFmtId="167" fontId="1" fillId="5" borderId="0" xfId="0" applyNumberFormat="1" applyFont="1" applyFill="1" applyAlignment="1">
      <alignment horizontal="right"/>
    </xf>
    <xf numFmtId="170" fontId="1" fillId="5" borderId="0" xfId="0" applyNumberFormat="1" applyFont="1" applyFill="1" applyAlignment="1">
      <alignment horizontal="right"/>
    </xf>
    <xf numFmtId="170" fontId="2" fillId="3" borderId="0" xfId="0" applyNumberFormat="1" applyFont="1" applyFill="1" applyAlignment="1">
      <alignment horizontal="right"/>
    </xf>
    <xf numFmtId="164" fontId="8" fillId="0" borderId="0" xfId="0" applyNumberFormat="1" applyFont="1" applyAlignment="1">
      <alignment horizontal="right"/>
    </xf>
    <xf numFmtId="164" fontId="2" fillId="6" borderId="0" xfId="0" applyNumberFormat="1" applyFont="1" applyFill="1" applyAlignment="1">
      <alignment horizontal="right"/>
    </xf>
    <xf numFmtId="165" fontId="2" fillId="6" borderId="0" xfId="0" applyNumberFormat="1" applyFont="1" applyFill="1" applyAlignment="1">
      <alignment horizontal="right"/>
    </xf>
    <xf numFmtId="167" fontId="1" fillId="0" borderId="0" xfId="0" applyNumberFormat="1" applyFont="1" applyAlignment="1">
      <alignment horizontal="right"/>
    </xf>
    <xf numFmtId="170" fontId="5" fillId="0" borderId="0" xfId="0" applyNumberFormat="1" applyFont="1" applyAlignment="1">
      <alignment horizontal="right"/>
    </xf>
    <xf numFmtId="165" fontId="5" fillId="6" borderId="0" xfId="0" applyNumberFormat="1" applyFont="1" applyFill="1" applyAlignment="1">
      <alignment horizontal="right"/>
    </xf>
    <xf numFmtId="0" fontId="7" fillId="3" borderId="0" xfId="0" applyFont="1" applyFill="1" applyAlignment="1">
      <alignment horizontal="left"/>
    </xf>
    <xf numFmtId="0" fontId="1" fillId="3" borderId="0" xfId="0" applyFont="1" applyFill="1" applyAlignment="1">
      <alignment horizontal="left"/>
    </xf>
    <xf numFmtId="165" fontId="1" fillId="5" borderId="0" xfId="0" applyNumberFormat="1" applyFont="1" applyFill="1" applyAlignment="1">
      <alignment horizontal="right"/>
    </xf>
    <xf numFmtId="165" fontId="1" fillId="0" borderId="0" xfId="0" applyNumberFormat="1" applyFont="1" applyAlignment="1">
      <alignment horizontal="right"/>
    </xf>
    <xf numFmtId="165" fontId="7" fillId="3" borderId="0" xfId="0" applyNumberFormat="1" applyFont="1" applyFill="1" applyAlignment="1">
      <alignment horizontal="right"/>
    </xf>
    <xf numFmtId="0" fontId="1" fillId="4" borderId="0" xfId="0" applyFont="1" applyFill="1" applyAlignment="1">
      <alignment vertical="center"/>
    </xf>
    <xf numFmtId="0" fontId="1" fillId="4" borderId="0" xfId="0" applyFont="1" applyFill="1" applyAlignment="1">
      <alignment horizontal="center" vertical="center"/>
    </xf>
    <xf numFmtId="0" fontId="2" fillId="3" borderId="0" xfId="0" applyFont="1" applyFill="1" applyAlignment="1">
      <alignment horizontal="left"/>
    </xf>
    <xf numFmtId="0" fontId="12" fillId="0" borderId="0" xfId="0" applyFont="1" applyAlignment="1">
      <alignment horizontal="lef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548235"/>
      <rgbColor rgb="FF800080"/>
      <rgbColor rgb="FF008080"/>
      <rgbColor rgb="FFB3B3B3"/>
      <rgbColor rgb="FF808080"/>
      <rgbColor rgb="FF9999FF"/>
      <rgbColor rgb="FFC0504D"/>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ea typeface="Calibri"/>
              </a:defRPr>
            </a:pPr>
            <a:r>
              <a:rPr lang="es-ES" sz="1800" b="1" strike="noStrike" spc="-1">
                <a:solidFill>
                  <a:srgbClr val="000000"/>
                </a:solidFill>
                <a:latin typeface="Calibri"/>
                <a:ea typeface="Calibri"/>
              </a:rPr>
              <a:t>Year-7 EBITDA bridge — each source once</a:t>
            </a:r>
          </a:p>
        </c:rich>
      </c:tx>
      <c:overlay val="0"/>
      <c:spPr>
        <a:noFill/>
        <a:ln w="0">
          <a:noFill/>
        </a:ln>
      </c:spPr>
    </c:title>
    <c:autoTitleDeleted val="0"/>
    <c:plotArea>
      <c:layout/>
      <c:barChart>
        <c:barDir val="col"/>
        <c:grouping val="stacked"/>
        <c:varyColors val="0"/>
        <c:ser>
          <c:idx val="0"/>
          <c:order val="0"/>
          <c:tx>
            <c:v>base</c:v>
          </c:tx>
          <c:spPr>
            <a:noFill/>
            <a:ln w="0">
              <a:noFill/>
            </a:ln>
          </c:spPr>
          <c:invertIfNegative val="0"/>
          <c:dLbls>
            <c:spPr>
              <a:noFill/>
              <a:ln>
                <a:noFill/>
              </a:ln>
              <a:effectLst/>
            </c:spPr>
            <c:txPr>
              <a:bodyPr wrap="square"/>
              <a:lstStyle/>
              <a:p>
                <a:pPr>
                  <a:defRPr sz="1000" b="0" strike="noStrike" spc="-1">
                    <a:solidFill>
                      <a:srgbClr val="000000"/>
                    </a:solidFill>
                    <a:latin typeface="Arial"/>
                    <a:ea typeface="Calibri"/>
                  </a:defRPr>
                </a:pPr>
                <a:endParaRPr lang="es-E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'IC Summary'!$T$100:$T$109</c:f>
              <c:strCache>
                <c:ptCount val="10"/>
                <c:pt idx="0">
                  <c:v>Acquired contracted EBITDA</c:v>
                </c:pt>
                <c:pt idx="1">
                  <c:v>Organic new business</c:v>
                </c:pt>
                <c:pt idx="2">
                  <c:v>Centralisation before nearshore</c:v>
                </c:pt>
                <c:pt idx="3">
                  <c:v>Nearshore delivery saving</c:v>
                </c:pt>
                <c:pt idx="4">
                  <c:v>Institutionalisation</c:v>
                </c:pt>
                <c:pt idx="5">
                  <c:v>Organic-growth support</c:v>
                </c:pt>
                <c:pt idx="6">
                  <c:v>Transition, complexity, integration</c:v>
                </c:pt>
                <c:pt idx="7">
                  <c:v>Platform services, net</c:v>
                </c:pt>
                <c:pt idx="8">
                  <c:v>HoldCo payroll and G&amp;A</c:v>
                </c:pt>
                <c:pt idx="9">
                  <c:v>Consolidated platform EBITDA</c:v>
                </c:pt>
              </c:strCache>
            </c:strRef>
          </c:cat>
          <c:val>
            <c:numRef>
              <c:f>'IC Summary'!$U$100:$U$109</c:f>
              <c:numCache>
                <c:formatCode>#,##0;\(#,##0\);\-</c:formatCode>
                <c:ptCount val="10"/>
                <c:pt idx="0">
                  <c:v>0</c:v>
                </c:pt>
                <c:pt idx="1">
                  <c:v>5171512.0236327406</c:v>
                </c:pt>
                <c:pt idx="2">
                  <c:v>6400000</c:v>
                </c:pt>
                <c:pt idx="3">
                  <c:v>9774040.2026385963</c:v>
                </c:pt>
                <c:pt idx="4">
                  <c:v>8759122.0794420857</c:v>
                </c:pt>
                <c:pt idx="5">
                  <c:v>7772305.4994234657</c:v>
                </c:pt>
                <c:pt idx="6">
                  <c:v>6291363.6817461494</c:v>
                </c:pt>
                <c:pt idx="7">
                  <c:v>5875761.3720322819</c:v>
                </c:pt>
                <c:pt idx="8">
                  <c:v>2910357.7800856163</c:v>
                </c:pt>
                <c:pt idx="9" formatCode="General">
                  <c:v>0</c:v>
                </c:pt>
              </c:numCache>
            </c:numRef>
          </c:val>
          <c:extLst>
            <c:ext xmlns:c16="http://schemas.microsoft.com/office/drawing/2014/chart" uri="{C3380CC4-5D6E-409C-BE32-E72D297353CC}">
              <c16:uniqueId val="{00000000-B59A-4A90-B03C-FAE796131C5C}"/>
            </c:ext>
          </c:extLst>
        </c:ser>
        <c:ser>
          <c:idx val="1"/>
          <c:order val="1"/>
          <c:tx>
            <c:v>EBITDA step</c:v>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ea typeface="Calibri"/>
                  </a:defRPr>
                </a:pPr>
                <a:endParaRPr lang="es-E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'IC Summary'!$T$100:$T$109</c:f>
              <c:strCache>
                <c:ptCount val="10"/>
                <c:pt idx="0">
                  <c:v>Acquired contracted EBITDA</c:v>
                </c:pt>
                <c:pt idx="1">
                  <c:v>Organic new business</c:v>
                </c:pt>
                <c:pt idx="2">
                  <c:v>Centralisation before nearshore</c:v>
                </c:pt>
                <c:pt idx="3">
                  <c:v>Nearshore delivery saving</c:v>
                </c:pt>
                <c:pt idx="4">
                  <c:v>Institutionalisation</c:v>
                </c:pt>
                <c:pt idx="5">
                  <c:v>Organic-growth support</c:v>
                </c:pt>
                <c:pt idx="6">
                  <c:v>Transition, complexity, integration</c:v>
                </c:pt>
                <c:pt idx="7">
                  <c:v>Platform services, net</c:v>
                </c:pt>
                <c:pt idx="8">
                  <c:v>HoldCo payroll and G&amp;A</c:v>
                </c:pt>
                <c:pt idx="9">
                  <c:v>Consolidated platform EBITDA</c:v>
                </c:pt>
              </c:strCache>
            </c:strRef>
          </c:cat>
          <c:val>
            <c:numRef>
              <c:f>'IC Summary'!$V$100:$V$109</c:f>
              <c:numCache>
                <c:formatCode>#,##0;\(#,##0\);\-</c:formatCode>
                <c:ptCount val="10"/>
                <c:pt idx="0">
                  <c:v>5171512.0236327406</c:v>
                </c:pt>
                <c:pt idx="1">
                  <c:v>1228487.9763672594</c:v>
                </c:pt>
                <c:pt idx="2">
                  <c:v>3374040.2026385972</c:v>
                </c:pt>
                <c:pt idx="3">
                  <c:v>1532367.5516980598</c:v>
                </c:pt>
                <c:pt idx="4">
                  <c:v>2547285.6748945699</c:v>
                </c:pt>
                <c:pt idx="5">
                  <c:v>986816.58001862001</c:v>
                </c:pt>
                <c:pt idx="6">
                  <c:v>1480941.8176773158</c:v>
                </c:pt>
                <c:pt idx="7">
                  <c:v>415602.30971386773</c:v>
                </c:pt>
                <c:pt idx="8">
                  <c:v>2965403.5919466657</c:v>
                </c:pt>
                <c:pt idx="9">
                  <c:v>2910357.7800856186</c:v>
                </c:pt>
              </c:numCache>
            </c:numRef>
          </c:val>
          <c:extLst>
            <c:ext xmlns:c16="http://schemas.microsoft.com/office/drawing/2014/chart" uri="{C3380CC4-5D6E-409C-BE32-E72D297353CC}">
              <c16:uniqueId val="{00000001-B59A-4A90-B03C-FAE796131C5C}"/>
            </c:ext>
          </c:extLst>
        </c:ser>
        <c:dLbls>
          <c:showLegendKey val="0"/>
          <c:showVal val="0"/>
          <c:showCatName val="0"/>
          <c:showSerName val="0"/>
          <c:showPercent val="0"/>
          <c:showBubbleSize val="0"/>
        </c:dLbls>
        <c:gapWidth val="150"/>
        <c:overlap val="100"/>
        <c:axId val="83917765"/>
        <c:axId val="76429259"/>
      </c:barChart>
      <c:catAx>
        <c:axId val="8391776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s-ES"/>
          </a:p>
        </c:txPr>
        <c:crossAx val="76429259"/>
        <c:crosses val="autoZero"/>
        <c:auto val="1"/>
        <c:lblAlgn val="ctr"/>
        <c:lblOffset val="100"/>
        <c:noMultiLvlLbl val="0"/>
      </c:catAx>
      <c:valAx>
        <c:axId val="76429259"/>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s-ES"/>
          </a:p>
        </c:txPr>
        <c:crossAx val="8391776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ea typeface="Calibri"/>
              </a:defRPr>
            </a:pPr>
            <a:r>
              <a:rPr lang="es-ES" sz="1800" b="1" strike="noStrike" spc="-1">
                <a:solidFill>
                  <a:srgbClr val="000000"/>
                </a:solidFill>
                <a:latin typeface="Calibri"/>
                <a:ea typeface="Calibri"/>
              </a:rPr>
              <a:t>Units, revenue and EBITDA</a:t>
            </a:r>
          </a:p>
        </c:rich>
      </c:tx>
      <c:overlay val="0"/>
      <c:spPr>
        <a:noFill/>
        <a:ln w="0">
          <a:noFill/>
        </a:ln>
      </c:spPr>
    </c:title>
    <c:autoTitleDeleted val="0"/>
    <c:plotArea>
      <c:layout/>
      <c:lineChart>
        <c:grouping val="standard"/>
        <c:varyColors val="0"/>
        <c:ser>
          <c:idx val="0"/>
          <c:order val="0"/>
          <c:tx>
            <c:strRef>
              <c:f>'IC Summary'!$A$14</c:f>
              <c:strCache>
                <c:ptCount val="1"/>
                <c:pt idx="0">
                  <c:v>Managed units</c:v>
                </c:pt>
              </c:strCache>
            </c:strRef>
          </c:tx>
          <c:spPr>
            <a:ln w="28440">
              <a:solidFill>
                <a:srgbClr val="1F3864"/>
              </a:solidFill>
              <a:round/>
            </a:ln>
          </c:spPr>
          <c:marker>
            <c:symbol val="circle"/>
            <c:size val="7"/>
            <c:spPr>
              <a:solidFill>
                <a:srgbClr val="1F3864"/>
              </a:solidFill>
            </c:spPr>
          </c:marker>
          <c:dLbls>
            <c:spPr>
              <a:noFill/>
              <a:ln>
                <a:noFill/>
              </a:ln>
              <a:effectLst/>
            </c:spPr>
            <c:txPr>
              <a:bodyPr wrap="square"/>
              <a:lstStyle/>
              <a:p>
                <a:pPr>
                  <a:defRPr sz="1000" b="0" strike="noStrike" spc="-1">
                    <a:solidFill>
                      <a:srgbClr val="000000"/>
                    </a:solidFill>
                    <a:latin typeface="Arial"/>
                    <a:ea typeface="Calibri"/>
                  </a:defRPr>
                </a:pPr>
                <a:endParaRPr lang="es-E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'IC Summary'!$D$13:$G$13</c:f>
              <c:strCache>
                <c:ptCount val="4"/>
                <c:pt idx="0">
                  <c:v>Year 3</c:v>
                </c:pt>
                <c:pt idx="1">
                  <c:v>Year 5</c:v>
                </c:pt>
                <c:pt idx="2">
                  <c:v>Year 7</c:v>
                </c:pt>
                <c:pt idx="3">
                  <c:v>Year 10</c:v>
                </c:pt>
              </c:strCache>
            </c:strRef>
          </c:cat>
          <c:val>
            <c:numRef>
              <c:f>'IC Summary'!$D$14:$G$14</c:f>
              <c:numCache>
                <c:formatCode>#,##0;\(#,##0\);\-</c:formatCode>
                <c:ptCount val="4"/>
                <c:pt idx="0">
                  <c:v>26492.360247687506</c:v>
                </c:pt>
                <c:pt idx="1">
                  <c:v>44168.302161476255</c:v>
                </c:pt>
                <c:pt idx="2">
                  <c:v>50000</c:v>
                </c:pt>
                <c:pt idx="3">
                  <c:v>50000</c:v>
                </c:pt>
              </c:numCache>
            </c:numRef>
          </c:val>
          <c:smooth val="0"/>
          <c:extLst>
            <c:ext xmlns:c16="http://schemas.microsoft.com/office/drawing/2014/chart" uri="{C3380CC4-5D6E-409C-BE32-E72D297353CC}">
              <c16:uniqueId val="{00000000-DCCA-4207-93D5-AC484CFBCE84}"/>
            </c:ext>
          </c:extLst>
        </c:ser>
        <c:dLbls>
          <c:showLegendKey val="0"/>
          <c:showVal val="0"/>
          <c:showCatName val="0"/>
          <c:showSerName val="0"/>
          <c:showPercent val="0"/>
          <c:showBubbleSize val="0"/>
        </c:dLbls>
        <c:hiLowLines>
          <c:spPr>
            <a:ln w="0">
              <a:noFill/>
            </a:ln>
          </c:spPr>
        </c:hiLowLines>
        <c:marker val="1"/>
        <c:smooth val="0"/>
        <c:axId val="91458596"/>
        <c:axId val="75414169"/>
      </c:lineChart>
      <c:lineChart>
        <c:grouping val="standard"/>
        <c:varyColors val="0"/>
        <c:ser>
          <c:idx val="1"/>
          <c:order val="1"/>
          <c:tx>
            <c:strRef>
              <c:f>'IC Summary'!$A$18</c:f>
              <c:strCache>
                <c:ptCount val="1"/>
                <c:pt idx="0">
                  <c:v>Total platform revenue</c:v>
                </c:pt>
              </c:strCache>
            </c:strRef>
          </c:tx>
          <c:spPr>
            <a:ln w="28440">
              <a:solidFill>
                <a:srgbClr val="C00000"/>
              </a:solidFill>
              <a:round/>
            </a:ln>
          </c:spPr>
          <c:marker>
            <c:symbol val="square"/>
            <c:size val="7"/>
            <c:spPr>
              <a:solidFill>
                <a:srgbClr val="C00000"/>
              </a:solidFill>
            </c:spPr>
          </c:marker>
          <c:dLbls>
            <c:spPr>
              <a:noFill/>
              <a:ln>
                <a:noFill/>
              </a:ln>
              <a:effectLst/>
            </c:spPr>
            <c:txPr>
              <a:bodyPr wrap="square"/>
              <a:lstStyle/>
              <a:p>
                <a:pPr>
                  <a:defRPr sz="1000" b="0" strike="noStrike" spc="-1">
                    <a:solidFill>
                      <a:srgbClr val="000000"/>
                    </a:solidFill>
                    <a:latin typeface="Arial"/>
                    <a:ea typeface="Calibri"/>
                  </a:defRPr>
                </a:pPr>
                <a:endParaRPr lang="es-E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'IC Summary'!$D$13:$G$13</c:f>
              <c:strCache>
                <c:ptCount val="4"/>
                <c:pt idx="0">
                  <c:v>Year 3</c:v>
                </c:pt>
                <c:pt idx="1">
                  <c:v>Year 5</c:v>
                </c:pt>
                <c:pt idx="2">
                  <c:v>Year 7</c:v>
                </c:pt>
                <c:pt idx="3">
                  <c:v>Year 10</c:v>
                </c:pt>
              </c:strCache>
            </c:strRef>
          </c:cat>
          <c:val>
            <c:numRef>
              <c:f>'IC Summary'!$D$18:$G$18</c:f>
              <c:numCache>
                <c:formatCode>#,##0;\(#,##0\);\-</c:formatCode>
                <c:ptCount val="4"/>
                <c:pt idx="0">
                  <c:v>18054091.660470311</c:v>
                </c:pt>
                <c:pt idx="1">
                  <c:v>30099944.597433418</c:v>
                </c:pt>
                <c:pt idx="2">
                  <c:v>34074147.210130587</c:v>
                </c:pt>
                <c:pt idx="3">
                  <c:v>34074147.210130587</c:v>
                </c:pt>
              </c:numCache>
            </c:numRef>
          </c:val>
          <c:smooth val="0"/>
          <c:extLst>
            <c:ext xmlns:c16="http://schemas.microsoft.com/office/drawing/2014/chart" uri="{C3380CC4-5D6E-409C-BE32-E72D297353CC}">
              <c16:uniqueId val="{00000001-DCCA-4207-93D5-AC484CFBCE84}"/>
            </c:ext>
          </c:extLst>
        </c:ser>
        <c:ser>
          <c:idx val="2"/>
          <c:order val="2"/>
          <c:tx>
            <c:strRef>
              <c:f>'IC Summary'!$A$19</c:f>
              <c:strCache>
                <c:ptCount val="1"/>
                <c:pt idx="0">
                  <c:v>Consolidated platform EBITDA</c:v>
                </c:pt>
              </c:strCache>
            </c:strRef>
          </c:tx>
          <c:spPr>
            <a:ln w="28440">
              <a:solidFill>
                <a:srgbClr val="548235"/>
              </a:solidFill>
              <a:round/>
            </a:ln>
          </c:spPr>
          <c:marker>
            <c:symbol val="triangle"/>
            <c:size val="7"/>
            <c:spPr>
              <a:solidFill>
                <a:srgbClr val="548235"/>
              </a:solidFill>
            </c:spPr>
          </c:marker>
          <c:dLbls>
            <c:spPr>
              <a:noFill/>
              <a:ln>
                <a:noFill/>
              </a:ln>
              <a:effectLst/>
            </c:spPr>
            <c:txPr>
              <a:bodyPr wrap="square"/>
              <a:lstStyle/>
              <a:p>
                <a:pPr>
                  <a:defRPr sz="1000" b="0" strike="noStrike" spc="-1">
                    <a:solidFill>
                      <a:srgbClr val="000000"/>
                    </a:solidFill>
                    <a:latin typeface="Arial"/>
                    <a:ea typeface="Calibri"/>
                  </a:defRPr>
                </a:pPr>
                <a:endParaRPr lang="es-E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'IC Summary'!$D$13:$G$13</c:f>
              <c:strCache>
                <c:ptCount val="4"/>
                <c:pt idx="0">
                  <c:v>Year 3</c:v>
                </c:pt>
                <c:pt idx="1">
                  <c:v>Year 5</c:v>
                </c:pt>
                <c:pt idx="2">
                  <c:v>Year 7</c:v>
                </c:pt>
                <c:pt idx="3">
                  <c:v>Year 10</c:v>
                </c:pt>
              </c:strCache>
            </c:strRef>
          </c:cat>
          <c:val>
            <c:numRef>
              <c:f>'IC Summary'!$D$19:$G$19</c:f>
              <c:numCache>
                <c:formatCode>#,##0;\(#,##0\);\-</c:formatCode>
                <c:ptCount val="4"/>
                <c:pt idx="0">
                  <c:v>-645223.16864592896</c:v>
                </c:pt>
                <c:pt idx="1">
                  <c:v>1989260.3968526518</c:v>
                </c:pt>
                <c:pt idx="2">
                  <c:v>2910357.7800856186</c:v>
                </c:pt>
                <c:pt idx="3">
                  <c:v>1641331.6297399232</c:v>
                </c:pt>
              </c:numCache>
            </c:numRef>
          </c:val>
          <c:smooth val="0"/>
          <c:extLst>
            <c:ext xmlns:c16="http://schemas.microsoft.com/office/drawing/2014/chart" uri="{C3380CC4-5D6E-409C-BE32-E72D297353CC}">
              <c16:uniqueId val="{00000002-DCCA-4207-93D5-AC484CFBCE84}"/>
            </c:ext>
          </c:extLst>
        </c:ser>
        <c:dLbls>
          <c:showLegendKey val="0"/>
          <c:showVal val="0"/>
          <c:showCatName val="0"/>
          <c:showSerName val="0"/>
          <c:showPercent val="0"/>
          <c:showBubbleSize val="0"/>
        </c:dLbls>
        <c:hiLowLines>
          <c:spPr>
            <a:ln w="0">
              <a:noFill/>
            </a:ln>
          </c:spPr>
        </c:hiLowLines>
        <c:marker val="1"/>
        <c:smooth val="0"/>
        <c:axId val="3286693"/>
        <c:axId val="57510916"/>
      </c:lineChart>
      <c:catAx>
        <c:axId val="9145859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s-ES"/>
          </a:p>
        </c:txPr>
        <c:crossAx val="75414169"/>
        <c:crosses val="autoZero"/>
        <c:auto val="1"/>
        <c:lblAlgn val="ctr"/>
        <c:lblOffset val="100"/>
        <c:noMultiLvlLbl val="0"/>
      </c:catAx>
      <c:valAx>
        <c:axId val="75414169"/>
        <c:scaling>
          <c:orientation val="minMax"/>
        </c:scaling>
        <c:delete val="0"/>
        <c:axPos val="l"/>
        <c:title>
          <c:tx>
            <c:rich>
              <a:bodyPr rot="-5400000"/>
              <a:lstStyle/>
              <a:p>
                <a:pPr>
                  <a:defRPr sz="1000" b="1" strike="noStrike" spc="-1">
                    <a:solidFill>
                      <a:srgbClr val="000000"/>
                    </a:solidFill>
                    <a:latin typeface="Calibri"/>
                    <a:ea typeface="Calibri"/>
                  </a:defRPr>
                </a:pPr>
                <a:r>
                  <a:rPr lang="es-ES" sz="1000" b="1" strike="noStrike" spc="-1">
                    <a:solidFill>
                      <a:srgbClr val="000000"/>
                    </a:solidFill>
                    <a:latin typeface="Calibri"/>
                    <a:ea typeface="Calibri"/>
                  </a:rPr>
                  <a:t>Managed units</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s-ES"/>
          </a:p>
        </c:txPr>
        <c:crossAx val="91458596"/>
        <c:crosses val="autoZero"/>
        <c:crossBetween val="between"/>
      </c:valAx>
      <c:catAx>
        <c:axId val="3286693"/>
        <c:scaling>
          <c:orientation val="minMax"/>
        </c:scaling>
        <c:delete val="1"/>
        <c:axPos val="b"/>
        <c:numFmt formatCode="General" sourceLinked="1"/>
        <c:majorTickMark val="none"/>
        <c:minorTickMark val="none"/>
        <c:tickLblPos val="nextTo"/>
        <c:crossAx val="57510916"/>
        <c:crosses val="autoZero"/>
        <c:auto val="1"/>
        <c:lblAlgn val="ctr"/>
        <c:lblOffset val="100"/>
        <c:noMultiLvlLbl val="0"/>
      </c:catAx>
      <c:valAx>
        <c:axId val="57510916"/>
        <c:scaling>
          <c:orientation val="minMax"/>
        </c:scaling>
        <c:delete val="0"/>
        <c:axPos val="r"/>
        <c:title>
          <c:tx>
            <c:rich>
              <a:bodyPr rot="-5400000"/>
              <a:lstStyle/>
              <a:p>
                <a:pPr>
                  <a:defRPr sz="1000" b="1" strike="noStrike" spc="-1">
                    <a:solidFill>
                      <a:srgbClr val="000000"/>
                    </a:solidFill>
                    <a:latin typeface="Calibri"/>
                    <a:ea typeface="Calibri"/>
                  </a:defRPr>
                </a:pPr>
                <a:r>
                  <a:rPr lang="es-ES" sz="1000" b="1" strike="noStrike" spc="-1">
                    <a:solidFill>
                      <a:srgbClr val="000000"/>
                    </a:solidFill>
                    <a:latin typeface="Calibri"/>
                    <a:ea typeface="Calibri"/>
                  </a:rPr>
                  <a:t>$</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s-ES"/>
          </a:p>
        </c:txPr>
        <c:crossAx val="3286693"/>
        <c:crosses val="max"/>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ea typeface="Calibri"/>
            </a:defRPr>
          </a:pPr>
          <a:endParaRPr lang="es-E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17</xdr:col>
      <xdr:colOff>503280</xdr:colOff>
      <xdr:row>19</xdr:row>
      <xdr:rowOff>7560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25</xdr:row>
      <xdr:rowOff>0</xdr:rowOff>
    </xdr:from>
    <xdr:to>
      <xdr:col>17</xdr:col>
      <xdr:colOff>506520</xdr:colOff>
      <xdr:row>41</xdr:row>
      <xdr:rowOff>10440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147"/>
  <sheetViews>
    <sheetView showGridLines="0" tabSelected="1" zoomScale="85" zoomScaleNormal="85" workbookViewId="0">
      <pane ySplit="3" topLeftCell="A4" activePane="bottomLeft" state="frozen"/>
      <selection pane="bottomLeft" activeCell="A3" sqref="A3"/>
    </sheetView>
  </sheetViews>
  <sheetFormatPr defaultColWidth="8.7109375" defaultRowHeight="12.75" x14ac:dyDescent="0.2"/>
  <cols>
    <col min="1" max="1" width="56" customWidth="1"/>
    <col min="2" max="2" width="2" customWidth="1"/>
    <col min="3" max="3" width="22" customWidth="1"/>
    <col min="4" max="8" width="20" customWidth="1"/>
    <col min="9" max="9" width="14" customWidth="1"/>
    <col min="20" max="20" width="26" customWidth="1"/>
    <col min="21" max="24" width="16" customWidth="1"/>
  </cols>
  <sheetData>
    <row r="1" spans="1:8" ht="15" customHeight="1" x14ac:dyDescent="0.3">
      <c r="A1" s="1" t="s">
        <v>0</v>
      </c>
      <c r="B1" s="2"/>
      <c r="C1" s="2"/>
      <c r="D1" s="2"/>
      <c r="E1" s="2"/>
      <c r="F1" s="2"/>
      <c r="G1" s="2"/>
    </row>
    <row r="2" spans="1:8" ht="15" customHeight="1" x14ac:dyDescent="0.3">
      <c r="A2" s="3" t="str">
        <f>" Base case shown unless a column is labelled otherwise.   Controls: "&amp;Controls!$B$77&amp;"   |   "&amp;Controls!$C$77&amp;"   |   Release candidate v2.4.4, supervisor review then desktop Excel gate."</f>
        <v xml:space="preserve"> Base case shown unless a column is labelled otherwise.   Controls: 57 of 66   |   REVIEW   |   Release candidate v2.4.4, supervisor review then desktop Excel gate.</v>
      </c>
      <c r="B2" s="2"/>
      <c r="C2" s="2"/>
      <c r="D2" s="2"/>
      <c r="E2" s="2"/>
      <c r="F2" s="2"/>
      <c r="G2" s="2"/>
    </row>
    <row r="3" spans="1:8" ht="15" customHeight="1" x14ac:dyDescent="0.3">
      <c r="A3" s="2"/>
      <c r="B3" s="2"/>
      <c r="C3" s="2"/>
      <c r="D3" s="2"/>
      <c r="E3" s="2"/>
      <c r="F3" s="2"/>
      <c r="G3" s="2"/>
    </row>
    <row r="4" spans="1:8" ht="15" customHeight="1" x14ac:dyDescent="0.25">
      <c r="A4" s="4" t="s">
        <v>1</v>
      </c>
      <c r="B4" s="4"/>
      <c r="C4" s="4"/>
      <c r="D4" s="4"/>
      <c r="E4" s="4"/>
      <c r="F4" s="4"/>
      <c r="G4" s="4"/>
      <c r="H4" s="5"/>
    </row>
    <row r="5" spans="1:8" ht="15" customHeight="1" x14ac:dyDescent="0.3">
      <c r="A5" s="6" t="s">
        <v>2</v>
      </c>
      <c r="B5" s="2"/>
      <c r="C5" s="7">
        <f>'Acquisition Schedule'!F$6</f>
        <v>1000000</v>
      </c>
      <c r="D5" s="2"/>
      <c r="E5" s="2"/>
      <c r="F5" s="2"/>
      <c r="G5" s="2"/>
    </row>
    <row r="6" spans="1:8" ht="15" customHeight="1" x14ac:dyDescent="0.3">
      <c r="A6" s="6" t="s">
        <v>3</v>
      </c>
      <c r="B6" s="2"/>
      <c r="C6" s="7">
        <f>COUNTIF('Acquisition Schedule'!$B$6:$B$14,"Large tuck-in")</f>
        <v>7</v>
      </c>
      <c r="D6" s="2"/>
      <c r="E6" s="2"/>
      <c r="F6" s="2"/>
      <c r="G6" s="2"/>
    </row>
    <row r="7" spans="1:8" ht="15" customHeight="1" x14ac:dyDescent="0.3">
      <c r="A7" s="6" t="s">
        <v>4</v>
      </c>
      <c r="B7" s="2"/>
      <c r="C7" s="8">
        <f>INDEX(Assumptions!$D$37:$F$37,1,2)</f>
        <v>1250000</v>
      </c>
      <c r="D7" s="2"/>
      <c r="E7" s="2"/>
      <c r="F7" s="2"/>
      <c r="G7" s="2"/>
    </row>
    <row r="8" spans="1:8" ht="15" customHeight="1" x14ac:dyDescent="0.3">
      <c r="A8" s="2" t="s">
        <v>5</v>
      </c>
      <c r="B8" s="2"/>
      <c r="C8" s="9">
        <f>'Acquisition Schedule'!F$15</f>
        <v>7500000</v>
      </c>
      <c r="D8" s="2"/>
      <c r="E8" s="2"/>
      <c r="F8" s="2"/>
      <c r="G8" s="2"/>
    </row>
    <row r="9" spans="1:8" ht="15" customHeight="1" x14ac:dyDescent="0.3">
      <c r="A9" s="10" t="s">
        <v>6</v>
      </c>
      <c r="B9" s="10"/>
      <c r="C9" s="11">
        <f>'Acquisition Schedule'!N$15</f>
        <v>34500000</v>
      </c>
      <c r="D9" s="10"/>
      <c r="E9" s="10"/>
      <c r="F9" s="10"/>
      <c r="G9" s="10"/>
    </row>
    <row r="10" spans="1:8" ht="15" customHeight="1" x14ac:dyDescent="0.3">
      <c r="A10" s="6" t="s">
        <v>7</v>
      </c>
      <c r="B10" s="2"/>
      <c r="C10" s="12">
        <f>IF('Acquisition Schedule'!F$15=0,0,'Acquisition Schedule'!N$15/'Acquisition Schedule'!F$15)</f>
        <v>4.5999999999999996</v>
      </c>
      <c r="D10" s="2"/>
      <c r="E10" s="2"/>
      <c r="F10" s="2"/>
      <c r="G10" s="2"/>
    </row>
    <row r="11" spans="1:8" ht="15" customHeight="1" x14ac:dyDescent="0.3">
      <c r="A11" s="6"/>
      <c r="B11" s="2"/>
      <c r="C11" s="13"/>
      <c r="D11" s="2"/>
      <c r="E11" s="2"/>
      <c r="F11" s="2"/>
      <c r="G11" s="2"/>
    </row>
    <row r="12" spans="1:8" ht="15" customHeight="1" x14ac:dyDescent="0.25">
      <c r="A12" s="4" t="s">
        <v>8</v>
      </c>
      <c r="B12" s="5"/>
      <c r="C12" s="14"/>
      <c r="D12" s="5"/>
      <c r="E12" s="5"/>
      <c r="F12" s="5"/>
      <c r="G12" s="5"/>
      <c r="H12" s="5"/>
    </row>
    <row r="13" spans="1:8" ht="15" customHeight="1" x14ac:dyDescent="0.3">
      <c r="A13" s="6"/>
      <c r="B13" s="2"/>
      <c r="C13" s="15"/>
      <c r="D13" s="16" t="s">
        <v>9</v>
      </c>
      <c r="E13" s="16" t="s">
        <v>10</v>
      </c>
      <c r="F13" s="16" t="s">
        <v>11</v>
      </c>
      <c r="G13" s="16" t="s">
        <v>12</v>
      </c>
    </row>
    <row r="14" spans="1:8" ht="15" customHeight="1" x14ac:dyDescent="0.3">
      <c r="A14" s="6" t="s">
        <v>13</v>
      </c>
      <c r="B14" s="2"/>
      <c r="C14" s="12"/>
      <c r="D14" s="9">
        <f>'Operating Case'!G$50</f>
        <v>26492.360247687506</v>
      </c>
      <c r="E14" s="9">
        <f>'Operating Case'!I$50</f>
        <v>44168.302161476255</v>
      </c>
      <c r="F14" s="9">
        <f>'Operating Case'!K$50</f>
        <v>50000</v>
      </c>
      <c r="G14" s="9">
        <f>'Operating Case'!N$50</f>
        <v>50000</v>
      </c>
    </row>
    <row r="15" spans="1:8" ht="15" customHeight="1" x14ac:dyDescent="0.3">
      <c r="A15" s="6" t="s">
        <v>14</v>
      </c>
      <c r="B15" s="2"/>
      <c r="C15" s="13"/>
      <c r="D15" s="9">
        <f>'Operating Case'!G$51</f>
        <v>105.96944099075003</v>
      </c>
      <c r="E15" s="9">
        <f>'Operating Case'!I$51</f>
        <v>176.67320864590502</v>
      </c>
      <c r="F15" s="9">
        <f>'Operating Case'!K$51</f>
        <v>200</v>
      </c>
      <c r="G15" s="9">
        <f>'Operating Case'!N$51</f>
        <v>200</v>
      </c>
    </row>
    <row r="16" spans="1:8" ht="15" customHeight="1" x14ac:dyDescent="0.3">
      <c r="A16" s="6" t="s">
        <v>15</v>
      </c>
      <c r="B16" s="2"/>
      <c r="C16" s="13"/>
      <c r="D16" s="17">
        <f>'Operating Case'!G$52</f>
        <v>14.769785197644094</v>
      </c>
      <c r="E16" s="17">
        <f>'Operating Case'!I$52</f>
        <v>24.875587777343423</v>
      </c>
      <c r="F16" s="17">
        <f>'Operating Case'!K$52</f>
        <v>28.330666666666662</v>
      </c>
      <c r="G16" s="18">
        <f>'Operating Case'!N$52</f>
        <v>28.330666666666662</v>
      </c>
    </row>
    <row r="17" spans="1:8" ht="15" customHeight="1" x14ac:dyDescent="0.3">
      <c r="A17" s="6" t="s">
        <v>16</v>
      </c>
      <c r="B17" s="2"/>
      <c r="C17" s="13"/>
      <c r="D17" s="9">
        <f>'Operating Case'!G$54</f>
        <v>17312305.573535062</v>
      </c>
      <c r="E17" s="9">
        <f>'Operating Case'!I$54</f>
        <v>28863232.136912081</v>
      </c>
      <c r="F17" s="9">
        <f>'Operating Case'!K$54</f>
        <v>32674147.210130587</v>
      </c>
      <c r="G17" s="9">
        <f>'Operating Case'!N$54</f>
        <v>32674147.210130587</v>
      </c>
    </row>
    <row r="18" spans="1:8" ht="15" customHeight="1" x14ac:dyDescent="0.3">
      <c r="A18" s="6" t="s">
        <v>17</v>
      </c>
      <c r="B18" s="2"/>
      <c r="C18" s="13"/>
      <c r="D18" s="9">
        <f>'Operating Case'!G$54+'Operating Case'!G$50*INDEX(Assumptions!$D$30:$F$30,1,2)+'Operating Case'!G$67+'Operating Case'!G$69+'Operating Case'!G$71</f>
        <v>18054091.660470311</v>
      </c>
      <c r="E18" s="9">
        <f>'Operating Case'!I$54+'Operating Case'!I$50*INDEX(Assumptions!$D$30:$F$30,1,2)+'Operating Case'!I$67+'Operating Case'!I$69+'Operating Case'!I$71</f>
        <v>30099944.597433418</v>
      </c>
      <c r="F18" s="9">
        <f>'Operating Case'!K$54+'Operating Case'!K$50*INDEX(Assumptions!$D$30:$F$30,1,2)+'Operating Case'!K$67+'Operating Case'!K$69+'Operating Case'!K$71</f>
        <v>34074147.210130587</v>
      </c>
      <c r="G18" s="9">
        <f>'Operating Case'!N$54+'Operating Case'!N$50*INDEX(Assumptions!$D$30:$F$30,1,2)+'Operating Case'!N$67+'Operating Case'!N$69+'Operating Case'!N$71</f>
        <v>34074147.210130587</v>
      </c>
    </row>
    <row r="19" spans="1:8" ht="15" customHeight="1" x14ac:dyDescent="0.3">
      <c r="A19" s="6" t="s">
        <v>18</v>
      </c>
      <c r="B19" s="2"/>
      <c r="C19" s="19"/>
      <c r="D19" s="9">
        <f>'Operating Case'!G$79</f>
        <v>-645223.16864592896</v>
      </c>
      <c r="E19" s="9">
        <f>'Operating Case'!I$79</f>
        <v>1989260.3968526518</v>
      </c>
      <c r="F19" s="9">
        <f>'Operating Case'!K$79</f>
        <v>2910357.7800856186</v>
      </c>
      <c r="G19" s="9">
        <f>'Operating Case'!N$79</f>
        <v>1641331.6297399232</v>
      </c>
    </row>
    <row r="20" spans="1:8" ht="15" customHeight="1" x14ac:dyDescent="0.3">
      <c r="A20" s="6" t="s">
        <v>19</v>
      </c>
      <c r="B20" s="2"/>
      <c r="C20" s="15"/>
      <c r="D20" s="20">
        <f>'Operating Case'!G$88</f>
        <v>-3.573833459916758E-2</v>
      </c>
      <c r="E20" s="20">
        <f>'Operating Case'!I$88</f>
        <v>6.6088506921114842E-2</v>
      </c>
      <c r="F20" s="20">
        <f>'Operating Case'!K$88</f>
        <v>8.5412490652747433E-2</v>
      </c>
      <c r="G20" s="20">
        <f>'Operating Case'!N$88</f>
        <v>4.8169411830560463E-2</v>
      </c>
    </row>
    <row r="21" spans="1:8" ht="15" customHeight="1" x14ac:dyDescent="0.3">
      <c r="A21" s="2"/>
      <c r="B21" s="2"/>
      <c r="C21" s="2"/>
      <c r="D21" s="2"/>
      <c r="E21" s="2"/>
      <c r="F21" s="2"/>
      <c r="G21" s="2"/>
    </row>
    <row r="22" spans="1:8" ht="15" customHeight="1" x14ac:dyDescent="0.25">
      <c r="A22" s="4" t="s">
        <v>20</v>
      </c>
      <c r="B22" s="4"/>
      <c r="C22" s="4"/>
      <c r="D22" s="4"/>
      <c r="E22" s="4"/>
      <c r="F22" s="4"/>
      <c r="G22" s="4"/>
      <c r="H22" s="5"/>
    </row>
    <row r="23" spans="1:8" ht="15" customHeight="1" x14ac:dyDescent="0.3">
      <c r="A23" s="10" t="s">
        <v>21</v>
      </c>
      <c r="B23" s="10"/>
      <c r="C23" s="11">
        <f>'Operating Case'!K$55</f>
        <v>5171512.0236327406</v>
      </c>
      <c r="D23" s="21"/>
      <c r="E23" s="22" t="s">
        <v>22</v>
      </c>
      <c r="F23" s="21"/>
      <c r="G23" s="2"/>
    </row>
    <row r="24" spans="1:8" ht="15" customHeight="1" x14ac:dyDescent="0.3">
      <c r="A24" s="6" t="s">
        <v>23</v>
      </c>
      <c r="B24" s="2"/>
      <c r="C24" s="13">
        <f>'Operating Case'!K$56</f>
        <v>1228487.9763672594</v>
      </c>
      <c r="D24" s="13"/>
      <c r="E24" s="23" t="s">
        <v>24</v>
      </c>
      <c r="F24" s="13"/>
      <c r="G24" s="2"/>
    </row>
    <row r="25" spans="1:8" ht="15" customHeight="1" x14ac:dyDescent="0.3">
      <c r="A25" s="6" t="s">
        <v>25</v>
      </c>
      <c r="B25" s="2"/>
      <c r="C25" s="13">
        <f>'Operating Case'!K$58</f>
        <v>8528944.5970154479</v>
      </c>
      <c r="D25" s="15"/>
      <c r="E25" s="24" t="s">
        <v>26</v>
      </c>
      <c r="F25" s="15"/>
      <c r="G25" s="2"/>
    </row>
    <row r="26" spans="1:8" ht="15" customHeight="1" x14ac:dyDescent="0.3">
      <c r="A26" s="6" t="s">
        <v>27</v>
      </c>
      <c r="B26" s="2"/>
      <c r="C26" s="13">
        <f>-'Org &amp; Capacity'!$D$245</f>
        <v>-3622536.8426787909</v>
      </c>
      <c r="D26" s="15"/>
      <c r="E26" s="24" t="s">
        <v>26</v>
      </c>
      <c r="F26" s="15"/>
      <c r="G26" s="2"/>
    </row>
    <row r="27" spans="1:8" ht="15" customHeight="1" x14ac:dyDescent="0.3">
      <c r="A27" s="6" t="s">
        <v>28</v>
      </c>
      <c r="B27" s="2"/>
      <c r="C27" s="13">
        <f>'Org &amp; Capacity'!$D$259</f>
        <v>1532367.5516980598</v>
      </c>
      <c r="D27" s="13"/>
      <c r="E27" s="23" t="s">
        <v>29</v>
      </c>
      <c r="F27" s="13"/>
      <c r="G27" s="2"/>
    </row>
    <row r="28" spans="1:8" ht="15" customHeight="1" x14ac:dyDescent="0.3">
      <c r="A28" s="6" t="s">
        <v>30</v>
      </c>
      <c r="B28" s="2"/>
      <c r="C28" s="13">
        <f>'Operating Case'!K$61</f>
        <v>0</v>
      </c>
      <c r="D28" s="13"/>
      <c r="E28" s="23" t="s">
        <v>31</v>
      </c>
      <c r="F28" s="13"/>
      <c r="G28" s="2"/>
    </row>
    <row r="29" spans="1:8" ht="15" customHeight="1" x14ac:dyDescent="0.3">
      <c r="A29" s="6" t="s">
        <v>32</v>
      </c>
      <c r="B29" s="2"/>
      <c r="C29" s="13">
        <f>-'Org &amp; Capacity'!$D$247</f>
        <v>-2547285.6748945699</v>
      </c>
      <c r="D29" s="13"/>
      <c r="E29" s="23" t="s">
        <v>26</v>
      </c>
      <c r="F29" s="13"/>
      <c r="G29" s="2"/>
    </row>
    <row r="30" spans="1:8" ht="15" customHeight="1" x14ac:dyDescent="0.3">
      <c r="A30" s="6" t="s">
        <v>33</v>
      </c>
      <c r="B30" s="2"/>
      <c r="C30" s="25">
        <f>-'Org &amp; Capacity'!$D$249</f>
        <v>-986816.58001862001</v>
      </c>
      <c r="D30" s="26"/>
      <c r="E30" s="27" t="s">
        <v>26</v>
      </c>
      <c r="F30" s="26"/>
      <c r="G30" s="2"/>
    </row>
    <row r="31" spans="1:8" ht="15" customHeight="1" x14ac:dyDescent="0.3">
      <c r="A31" s="6" t="s">
        <v>34</v>
      </c>
      <c r="B31" s="2"/>
      <c r="C31" s="13">
        <f>'Operating Case'!K$60+'Operating Case'!K$62+'Operating Case'!K$64+'Operating Case'!K$65</f>
        <v>-1480941.8176773158</v>
      </c>
      <c r="D31" s="13"/>
      <c r="E31" s="23" t="s">
        <v>26</v>
      </c>
      <c r="F31" s="13"/>
      <c r="G31" s="2"/>
    </row>
    <row r="32" spans="1:8" ht="15" customHeight="1" x14ac:dyDescent="0.3">
      <c r="A32" s="6" t="s">
        <v>35</v>
      </c>
      <c r="B32" s="2"/>
      <c r="C32" s="13">
        <f>'Operating Case'!K$67+'Operating Case'!K$68+'Operating Case'!K$69+'Operating Case'!K$70+'Operating Case'!K$71+'Operating Case'!K$72+'Operating Case'!K$63+'Operating Case'!K$73</f>
        <v>-415602.30971386773</v>
      </c>
      <c r="D32" s="13"/>
      <c r="E32" s="23" t="s">
        <v>24</v>
      </c>
      <c r="F32" s="13"/>
      <c r="G32" s="2"/>
    </row>
    <row r="33" spans="1:8" ht="15" customHeight="1" x14ac:dyDescent="0.3">
      <c r="A33" s="6" t="s">
        <v>36</v>
      </c>
      <c r="B33" s="2"/>
      <c r="C33" s="13">
        <f>'Operating Case'!K$77+'Operating Case'!K$78</f>
        <v>-2965403.5919466657</v>
      </c>
      <c r="D33" s="13"/>
      <c r="E33" s="23" t="s">
        <v>26</v>
      </c>
      <c r="F33" s="13"/>
      <c r="G33" s="2"/>
    </row>
    <row r="34" spans="1:8" ht="15" customHeight="1" x14ac:dyDescent="0.3">
      <c r="A34" s="28" t="s">
        <v>37</v>
      </c>
      <c r="B34" s="2"/>
      <c r="C34" s="29">
        <f>'Operating Case'!K$79</f>
        <v>2910357.7800856186</v>
      </c>
      <c r="D34" s="2"/>
      <c r="E34" s="2"/>
      <c r="F34" s="2"/>
      <c r="G34" s="2"/>
    </row>
    <row r="35" spans="1:8" ht="15" customHeight="1" x14ac:dyDescent="0.3">
      <c r="A35" s="22" t="s">
        <v>38</v>
      </c>
      <c r="B35" s="10"/>
      <c r="C35" s="30">
        <f>C34-(C23+C24+C25+C26+C28+C29+C30+C31+C32+C33)</f>
        <v>0</v>
      </c>
      <c r="D35" s="10"/>
      <c r="E35" s="10"/>
      <c r="F35" s="10"/>
      <c r="G35" s="10"/>
    </row>
    <row r="36" spans="1:8" ht="15" customHeight="1" x14ac:dyDescent="0.3">
      <c r="A36" s="21"/>
      <c r="B36" s="10"/>
      <c r="C36" s="21"/>
      <c r="D36" s="21"/>
      <c r="E36" s="21"/>
      <c r="F36" s="2"/>
      <c r="G36" s="2"/>
    </row>
    <row r="37" spans="1:8" ht="15" customHeight="1" x14ac:dyDescent="0.25">
      <c r="A37" s="4" t="s">
        <v>39</v>
      </c>
      <c r="B37" s="5"/>
      <c r="C37" s="31"/>
      <c r="D37" s="31"/>
      <c r="E37" s="31"/>
      <c r="F37" s="5"/>
      <c r="G37" s="4"/>
      <c r="H37" s="5"/>
    </row>
    <row r="38" spans="1:8" ht="15" customHeight="1" x14ac:dyDescent="0.3">
      <c r="A38" s="6" t="s">
        <v>40</v>
      </c>
      <c r="B38" s="2"/>
      <c r="C38" s="13">
        <f>Returns!$E$54</f>
        <v>38639176.836959675</v>
      </c>
      <c r="D38" s="15"/>
      <c r="E38" s="32"/>
      <c r="F38" s="2"/>
      <c r="G38" s="6"/>
    </row>
    <row r="39" spans="1:8" ht="15" customHeight="1" x14ac:dyDescent="0.3">
      <c r="A39" s="6" t="s">
        <v>41</v>
      </c>
      <c r="B39" s="2"/>
      <c r="C39" s="13">
        <f>'Transaction &amp; Liquidity'!K$86</f>
        <v>5970441.2979765851</v>
      </c>
      <c r="D39" s="15"/>
      <c r="E39" s="32"/>
      <c r="F39" s="2"/>
      <c r="G39" s="6"/>
    </row>
    <row r="40" spans="1:8" ht="15" customHeight="1" x14ac:dyDescent="0.3">
      <c r="A40" s="6" t="s">
        <v>42</v>
      </c>
      <c r="B40" s="2"/>
      <c r="C40" s="13">
        <f>'Transaction &amp; Liquidity'!K$86+'Transaction &amp; Liquidity'!K$100</f>
        <v>9345441.2979765851</v>
      </c>
      <c r="D40" s="13"/>
      <c r="E40" s="33"/>
      <c r="F40" s="2"/>
      <c r="G40" s="2"/>
    </row>
    <row r="41" spans="1:8" ht="15" customHeight="1" x14ac:dyDescent="0.3">
      <c r="A41" s="2" t="s">
        <v>43</v>
      </c>
      <c r="B41" s="2"/>
      <c r="C41" s="34">
        <f>IF('Operating Case'!K$79=0,0,('Transaction &amp; Liquidity'!K$86+'Transaction &amp; Liquidity'!K$100)/'Operating Case'!K$79)</f>
        <v>3.2110970554629388</v>
      </c>
      <c r="D41" s="2"/>
      <c r="E41" s="2"/>
      <c r="F41" s="2"/>
      <c r="G41" s="2"/>
    </row>
    <row r="42" spans="1:8" ht="15" customHeight="1" x14ac:dyDescent="0.3">
      <c r="A42" s="10" t="s">
        <v>44</v>
      </c>
      <c r="B42" s="10"/>
      <c r="C42" s="35">
        <f>Controls!$B$74</f>
        <v>0.84736747435875437</v>
      </c>
      <c r="D42" s="10"/>
      <c r="E42" s="10"/>
      <c r="F42" s="10"/>
      <c r="G42" s="10"/>
    </row>
    <row r="43" spans="1:8" ht="15" customHeight="1" x14ac:dyDescent="0.3">
      <c r="A43" s="10" t="s">
        <v>45</v>
      </c>
      <c r="B43" s="10"/>
      <c r="C43" s="11">
        <f>Returns!$E$42</f>
        <v>27648398.910813376</v>
      </c>
      <c r="D43" s="21"/>
      <c r="E43" s="21"/>
      <c r="F43" s="2"/>
      <c r="G43" s="2"/>
    </row>
    <row r="44" spans="1:8" ht="15" customHeight="1" x14ac:dyDescent="0.3">
      <c r="A44" s="6" t="s">
        <v>46</v>
      </c>
      <c r="B44" s="2"/>
      <c r="C44" s="25">
        <f>Returns!$E$51</f>
        <v>19249989.634620525</v>
      </c>
      <c r="D44" s="26"/>
      <c r="E44" s="26"/>
      <c r="F44" s="2"/>
      <c r="G44" s="2"/>
    </row>
    <row r="45" spans="1:8" ht="15" customHeight="1" x14ac:dyDescent="0.3">
      <c r="A45" s="6" t="s">
        <v>47</v>
      </c>
      <c r="B45" s="2"/>
      <c r="C45" s="36">
        <f>Returns!$E$56</f>
        <v>0.49819875086488025</v>
      </c>
      <c r="D45" s="7"/>
      <c r="E45" s="7"/>
      <c r="F45" s="2"/>
      <c r="G45" s="2"/>
    </row>
    <row r="46" spans="1:8" ht="15" customHeight="1" x14ac:dyDescent="0.3">
      <c r="A46" s="6" t="s">
        <v>48</v>
      </c>
      <c r="B46" s="2"/>
      <c r="C46" s="37">
        <f>Returns!$E$57</f>
        <v>-0.15920530713648884</v>
      </c>
      <c r="D46" s="7"/>
      <c r="E46" s="7"/>
      <c r="F46" s="2"/>
      <c r="G46" s="6"/>
    </row>
    <row r="47" spans="1:8" ht="15" customHeight="1" x14ac:dyDescent="0.3">
      <c r="A47" s="6" t="s">
        <v>49</v>
      </c>
      <c r="B47" s="2"/>
      <c r="C47" s="19">
        <f>Returns!$E$45</f>
        <v>0.63938195187392299</v>
      </c>
      <c r="D47" s="13"/>
      <c r="E47" s="13"/>
      <c r="F47" s="2"/>
      <c r="G47" s="6"/>
    </row>
    <row r="48" spans="1:8" ht="15" customHeight="1" x14ac:dyDescent="0.3">
      <c r="A48" s="1"/>
      <c r="B48" s="2"/>
      <c r="C48" s="38"/>
      <c r="D48" s="38"/>
      <c r="E48" s="38"/>
      <c r="F48" s="2"/>
      <c r="G48" s="6"/>
    </row>
    <row r="49" spans="1:8" ht="15" customHeight="1" x14ac:dyDescent="0.25">
      <c r="A49" s="4" t="s">
        <v>50</v>
      </c>
      <c r="B49" s="5"/>
      <c r="C49" s="31"/>
      <c r="D49" s="31"/>
      <c r="E49" s="31"/>
      <c r="F49" s="5"/>
      <c r="G49" s="5"/>
      <c r="H49" s="5"/>
    </row>
    <row r="50" spans="1:8" ht="15" customHeight="1" x14ac:dyDescent="0.3">
      <c r="A50" s="6" t="s">
        <v>51</v>
      </c>
      <c r="B50" s="2"/>
      <c r="C50" s="13" t="str">
        <f>Controls!$B$77&amp;"   "&amp;Controls!$C$77</f>
        <v>57 of 66   REVIEW</v>
      </c>
      <c r="D50" s="13"/>
      <c r="E50" s="13"/>
      <c r="F50" s="2"/>
      <c r="G50" s="2"/>
    </row>
    <row r="51" spans="1:8" ht="15" customHeight="1" x14ac:dyDescent="0.3">
      <c r="A51" s="6" t="s">
        <v>52</v>
      </c>
      <c r="B51" s="2"/>
      <c r="C51" s="23" t="s">
        <v>53</v>
      </c>
      <c r="D51" s="13"/>
      <c r="E51" s="13"/>
      <c r="F51" s="2"/>
      <c r="G51" s="2"/>
    </row>
    <row r="52" spans="1:8" ht="15" customHeight="1" x14ac:dyDescent="0.3">
      <c r="A52" s="6" t="s">
        <v>54</v>
      </c>
      <c r="B52" s="2"/>
      <c r="C52" s="39" t="str">
        <f>IF(Controls!$C$77="FAIL","NOT UNDERWRITABLE — CONTROLS FAIL",IF(Controls!$C$77="REVIEW","DIAGNOSTIC ONLY — CONTROLS AT REVIEW","CONTROLS PASS"))</f>
        <v>DIAGNOSTIC ONLY — CONTROLS AT REVIEW</v>
      </c>
      <c r="D52" s="13"/>
      <c r="E52" s="13"/>
      <c r="F52" s="2"/>
      <c r="G52" s="2"/>
    </row>
    <row r="53" spans="1:8" ht="15" customHeight="1" x14ac:dyDescent="0.3">
      <c r="A53" s="6" t="s">
        <v>55</v>
      </c>
      <c r="B53" s="2"/>
      <c r="C53" s="40" t="s">
        <v>56</v>
      </c>
      <c r="D53" s="13"/>
      <c r="E53" s="13"/>
      <c r="F53" s="2"/>
      <c r="G53" s="2"/>
    </row>
    <row r="54" spans="1:8" ht="15" customHeight="1" x14ac:dyDescent="0.3">
      <c r="A54" s="1" t="s">
        <v>57</v>
      </c>
      <c r="B54" s="2"/>
      <c r="C54" s="41"/>
      <c r="D54" s="41"/>
      <c r="E54" s="41"/>
      <c r="F54" s="2"/>
      <c r="G54" s="2"/>
    </row>
    <row r="55" spans="1:8" ht="15" customHeight="1" x14ac:dyDescent="0.3">
      <c r="A55" s="42" t="s">
        <v>58</v>
      </c>
      <c r="B55" s="2"/>
      <c r="C55" s="43"/>
      <c r="D55" s="43"/>
      <c r="E55" s="43"/>
      <c r="F55" s="2"/>
      <c r="G55" s="2"/>
    </row>
    <row r="56" spans="1:8" ht="15" customHeight="1" x14ac:dyDescent="0.3">
      <c r="A56" s="42" t="s">
        <v>59</v>
      </c>
      <c r="B56" s="2"/>
      <c r="C56" s="12"/>
      <c r="D56" s="12"/>
      <c r="E56" s="12"/>
      <c r="F56" s="2"/>
      <c r="G56" s="2"/>
    </row>
    <row r="57" spans="1:8" ht="15" customHeight="1" x14ac:dyDescent="0.3">
      <c r="A57" s="42" t="s">
        <v>60</v>
      </c>
      <c r="B57" s="2"/>
      <c r="C57" s="12"/>
      <c r="D57" s="12"/>
      <c r="E57" s="12"/>
      <c r="F57" s="2"/>
      <c r="G57" s="6"/>
    </row>
    <row r="58" spans="1:8" ht="15" customHeight="1" x14ac:dyDescent="0.3">
      <c r="A58" s="42" t="s">
        <v>61</v>
      </c>
      <c r="B58" s="2"/>
      <c r="C58" s="12"/>
      <c r="D58" s="12"/>
      <c r="E58" s="12"/>
      <c r="F58" s="2"/>
      <c r="G58" s="2"/>
    </row>
    <row r="59" spans="1:8" ht="15" customHeight="1" x14ac:dyDescent="0.3">
      <c r="A59" s="42" t="s">
        <v>62</v>
      </c>
      <c r="B59" s="2"/>
      <c r="C59" s="2"/>
      <c r="D59" s="2"/>
      <c r="E59" s="2"/>
      <c r="F59" s="2"/>
      <c r="G59" s="2"/>
    </row>
    <row r="60" spans="1:8" ht="15" customHeight="1" x14ac:dyDescent="0.3">
      <c r="A60" s="44" t="str">
        <f>" One acquisition programme, three operating cases, identical at-close facts.   |   "&amp;Assumptions!$E$8&amp;"   |   "&amp;Assumptions!$E$9&amp;"   |   Gate 1: PAUSE PENDING NAMED EVIDENCE"</f>
        <v xml:space="preserve"> One acquisition programme, three operating cases, identical at-close facts.   |   FULL CASE   |      |   Gate 1: PAUSE PENDING NAMED EVIDENCE</v>
      </c>
      <c r="B60" s="10"/>
      <c r="C60" s="10"/>
      <c r="D60" s="10"/>
      <c r="E60" s="10"/>
      <c r="F60" s="10"/>
      <c r="G60" s="10"/>
    </row>
    <row r="61" spans="1:8" ht="15" customHeight="1" x14ac:dyDescent="0.3">
      <c r="A61" s="6"/>
      <c r="B61" s="2"/>
      <c r="C61" s="45"/>
      <c r="D61" s="2"/>
      <c r="E61" s="2"/>
      <c r="F61" s="2"/>
      <c r="G61" s="6"/>
    </row>
    <row r="62" spans="1:8" ht="15" customHeight="1" x14ac:dyDescent="0.3">
      <c r="A62" s="21" t="s">
        <v>63</v>
      </c>
      <c r="B62" s="2"/>
      <c r="C62" s="13"/>
      <c r="D62" s="2"/>
      <c r="E62" s="2"/>
      <c r="F62" s="2"/>
      <c r="G62" s="6"/>
    </row>
    <row r="63" spans="1:8" ht="15" customHeight="1" x14ac:dyDescent="0.3">
      <c r="A63" s="1" t="s">
        <v>64</v>
      </c>
      <c r="B63" s="2"/>
      <c r="C63" s="46">
        <f>INDEX(Assumptions!$D$32:$F$32,1,2)</f>
        <v>128</v>
      </c>
      <c r="D63" s="2"/>
      <c r="E63" s="2"/>
      <c r="F63" s="2"/>
      <c r="G63" s="6"/>
    </row>
    <row r="64" spans="1:8" ht="15" customHeight="1" x14ac:dyDescent="0.3">
      <c r="A64" s="1" t="s">
        <v>65</v>
      </c>
      <c r="B64" s="2"/>
      <c r="C64" s="47">
        <f>INDEX(Assumptions!$D$32:$F$32,1,2)/(INDEX(Assumptions!$D$27:$F$27,1,2)+INDEX(Assumptions!$D$28:$F$28,1,2)+INDEX(Assumptions!$D$29:$F$29,1,2)+INDEX(Assumptions!$D$30:$F$30,1,2))</f>
        <v>0.19587351305118947</v>
      </c>
      <c r="D64" s="2"/>
      <c r="E64" s="2"/>
      <c r="F64" s="2"/>
      <c r="G64" s="6"/>
    </row>
    <row r="65" spans="1:7" ht="15" customHeight="1" x14ac:dyDescent="0.3">
      <c r="A65" s="6" t="s">
        <v>66</v>
      </c>
      <c r="B65" s="2"/>
      <c r="C65" s="6" t="str">
        <f>"The strategy as specified requires the target universe to average "&amp;TEXT(C63,"$#,##0")&amp;" of normalized EBITDA per unit, or "&amp;TEXT(C64,"0.0%")&amp;" on the Forum-derived revenue basis, to execute this acquisition cadence and remain within the 50,000-unit ceiling. That is an acquisition screen, not evidence that such targets exist."</f>
        <v>The strategy as specified requires the target universe to average $128 of normalized EBITDA per unit, or 19.6% on the Forum-derived revenue basis, to execute this acquisition cadence and remain within the 50,000-unit ceiling. That is an acquisition screen, not evidence that such targets exist.</v>
      </c>
      <c r="D65" s="2"/>
      <c r="E65" s="2"/>
      <c r="F65" s="2"/>
      <c r="G65" s="2"/>
    </row>
    <row r="66" spans="1:7" ht="15" customHeight="1" x14ac:dyDescent="0.3">
      <c r="A66" s="21"/>
      <c r="B66" s="10"/>
      <c r="C66" s="10"/>
      <c r="D66" s="10"/>
      <c r="E66" s="10"/>
      <c r="F66" s="10"/>
      <c r="G66" s="10"/>
    </row>
    <row r="67" spans="1:7" ht="15" customHeight="1" x14ac:dyDescent="0.3">
      <c r="A67" s="21" t="s">
        <v>67</v>
      </c>
      <c r="B67" s="2"/>
      <c r="C67" s="13"/>
      <c r="D67" s="13"/>
      <c r="E67" s="13"/>
      <c r="F67" s="2"/>
      <c r="G67" s="6"/>
    </row>
    <row r="68" spans="1:7" ht="15" customHeight="1" x14ac:dyDescent="0.3">
      <c r="A68" s="6" t="s">
        <v>68</v>
      </c>
      <c r="B68" s="2"/>
      <c r="C68" s="13">
        <f>'Anchor QoE'!$D$17</f>
        <v>1000000</v>
      </c>
      <c r="D68" s="13"/>
      <c r="E68" s="13"/>
      <c r="F68" s="2"/>
      <c r="G68" s="2"/>
    </row>
    <row r="69" spans="1:7" ht="15" customHeight="1" x14ac:dyDescent="0.3">
      <c r="A69" s="6" t="s">
        <v>69</v>
      </c>
      <c r="B69" s="2"/>
      <c r="C69" s="13">
        <f>'Anchor QoE'!$D$20</f>
        <v>7812.5</v>
      </c>
      <c r="D69" s="13"/>
      <c r="E69" s="13"/>
      <c r="F69" s="2"/>
      <c r="G69" s="2"/>
    </row>
    <row r="70" spans="1:7" ht="15" customHeight="1" x14ac:dyDescent="0.3">
      <c r="A70" s="6" t="s">
        <v>70</v>
      </c>
      <c r="B70" s="2"/>
      <c r="C70" s="15">
        <f>'Anchor QoE'!$D$21</f>
        <v>31.25</v>
      </c>
      <c r="D70" s="13"/>
      <c r="E70" s="13"/>
      <c r="F70" s="2"/>
      <c r="G70" s="2"/>
    </row>
    <row r="71" spans="1:7" ht="15" customHeight="1" x14ac:dyDescent="0.3">
      <c r="A71" s="6" t="s">
        <v>71</v>
      </c>
      <c r="B71" s="2"/>
      <c r="C71" s="15">
        <f>'Anchor QoE'!$D$22</f>
        <v>6</v>
      </c>
      <c r="D71" s="46"/>
      <c r="E71" s="46"/>
      <c r="F71" s="2"/>
      <c r="G71" s="2"/>
    </row>
    <row r="72" spans="1:7" ht="15" customHeight="1" x14ac:dyDescent="0.3">
      <c r="A72" s="6" t="s">
        <v>72</v>
      </c>
      <c r="B72" s="2"/>
      <c r="C72" s="12">
        <f>'Anchor QoE'!$D$23</f>
        <v>6</v>
      </c>
      <c r="D72" s="19"/>
      <c r="E72" s="19"/>
      <c r="F72" s="2"/>
      <c r="G72" s="2"/>
    </row>
    <row r="73" spans="1:7" ht="15" customHeight="1" x14ac:dyDescent="0.3">
      <c r="A73" s="6" t="s">
        <v>73</v>
      </c>
      <c r="B73" s="2"/>
      <c r="C73" s="13">
        <f>'Anchor QoE'!$D$24</f>
        <v>6000000</v>
      </c>
      <c r="D73" s="12"/>
      <c r="E73" s="12"/>
      <c r="F73" s="2"/>
      <c r="G73" s="6"/>
    </row>
    <row r="74" spans="1:7" ht="15" customHeight="1" x14ac:dyDescent="0.3">
      <c r="A74" s="6" t="s">
        <v>74</v>
      </c>
      <c r="B74" s="2"/>
      <c r="C74" s="13">
        <f>COUNTIF('Acquisition Schedule'!$E$7:$E$14,"&gt;=0")</f>
        <v>8</v>
      </c>
      <c r="D74" s="36"/>
      <c r="E74" s="2"/>
      <c r="F74" s="2"/>
      <c r="G74" s="6" t="s">
        <v>75</v>
      </c>
    </row>
    <row r="75" spans="1:7" ht="15" customHeight="1" x14ac:dyDescent="0.3">
      <c r="A75" s="6" t="s">
        <v>5</v>
      </c>
      <c r="B75" s="2"/>
      <c r="C75" s="13">
        <f>'Acquisition Schedule'!$F$15</f>
        <v>7500000</v>
      </c>
      <c r="D75" s="13"/>
      <c r="E75" s="2"/>
      <c r="F75" s="2"/>
      <c r="G75" s="6"/>
    </row>
    <row r="76" spans="1:7" ht="15" customHeight="1" x14ac:dyDescent="0.3">
      <c r="A76" s="6" t="s">
        <v>6</v>
      </c>
      <c r="B76" s="2"/>
      <c r="C76" s="13">
        <f>'Acquisition Schedule'!$N$15</f>
        <v>34500000</v>
      </c>
      <c r="D76" s="13"/>
      <c r="E76" s="2"/>
      <c r="F76" s="2"/>
      <c r="G76" s="6"/>
    </row>
    <row r="77" spans="1:7" ht="15" customHeight="1" x14ac:dyDescent="0.3">
      <c r="A77" s="6" t="s">
        <v>76</v>
      </c>
      <c r="B77" s="10"/>
      <c r="C77" s="19">
        <f>'Anchor QoE'!$F$12</f>
        <v>0.91100000000000003</v>
      </c>
      <c r="D77" s="10"/>
      <c r="E77" s="10"/>
      <c r="F77" s="10"/>
      <c r="G77" s="10"/>
    </row>
    <row r="78" spans="1:7" ht="15" customHeight="1" x14ac:dyDescent="0.3">
      <c r="A78" s="6" t="s">
        <v>77</v>
      </c>
      <c r="B78" s="2"/>
      <c r="C78" s="15">
        <f>'Anchor QoE'!$F$13</f>
        <v>11.23595505617978</v>
      </c>
      <c r="D78" s="13"/>
      <c r="E78" s="13"/>
      <c r="F78" s="2"/>
      <c r="G78" s="6"/>
    </row>
    <row r="79" spans="1:7" ht="15" customHeight="1" x14ac:dyDescent="0.3">
      <c r="A79" s="6"/>
      <c r="B79" s="2"/>
      <c r="C79" s="12"/>
      <c r="D79" s="12"/>
      <c r="E79" s="12"/>
      <c r="F79" s="2"/>
      <c r="G79" s="2"/>
    </row>
    <row r="80" spans="1:7" ht="15" customHeight="1" x14ac:dyDescent="0.3">
      <c r="A80" s="21" t="s">
        <v>78</v>
      </c>
      <c r="B80" s="2"/>
      <c r="C80" s="13"/>
      <c r="D80" s="2"/>
      <c r="E80" s="2"/>
      <c r="F80" s="2"/>
      <c r="G80" s="6"/>
    </row>
    <row r="81" spans="1:7" ht="15" customHeight="1" x14ac:dyDescent="0.3">
      <c r="A81" s="21" t="s">
        <v>79</v>
      </c>
      <c r="B81" s="2"/>
      <c r="C81" s="21" t="s">
        <v>9</v>
      </c>
      <c r="D81" s="21" t="s">
        <v>10</v>
      </c>
      <c r="E81" s="21" t="s">
        <v>11</v>
      </c>
      <c r="F81" s="21" t="s">
        <v>12</v>
      </c>
      <c r="G81" s="2"/>
    </row>
    <row r="82" spans="1:7" ht="15" customHeight="1" x14ac:dyDescent="0.3">
      <c r="A82" s="6" t="s">
        <v>13</v>
      </c>
      <c r="B82" s="10"/>
      <c r="C82" s="13">
        <f>'Operating Case'!G$50</f>
        <v>26492.360247687506</v>
      </c>
      <c r="D82" s="13">
        <f>'Operating Case'!I$50</f>
        <v>44168.302161476255</v>
      </c>
      <c r="E82" s="13">
        <f>'Operating Case'!K$50</f>
        <v>50000</v>
      </c>
      <c r="F82" s="13">
        <f>'Operating Case'!N$50</f>
        <v>50000</v>
      </c>
      <c r="G82" s="10"/>
    </row>
    <row r="83" spans="1:7" ht="15" customHeight="1" x14ac:dyDescent="0.3">
      <c r="A83" s="6" t="s">
        <v>80</v>
      </c>
      <c r="B83" s="2"/>
      <c r="C83" s="15">
        <f>'Operating Case'!G$51</f>
        <v>105.96944099075003</v>
      </c>
      <c r="D83" s="15">
        <f>'Operating Case'!I$51</f>
        <v>176.67320864590502</v>
      </c>
      <c r="E83" s="15">
        <f>'Operating Case'!K$51</f>
        <v>200</v>
      </c>
      <c r="F83" s="15">
        <f>'Operating Case'!N$51</f>
        <v>200</v>
      </c>
      <c r="G83" s="2"/>
    </row>
    <row r="84" spans="1:7" ht="15" customHeight="1" x14ac:dyDescent="0.3">
      <c r="A84" s="6" t="s">
        <v>81</v>
      </c>
      <c r="B84" s="2"/>
      <c r="C84" s="15">
        <f>'Operating Case'!G$52</f>
        <v>14.769785197644094</v>
      </c>
      <c r="D84" s="15">
        <f>'Operating Case'!I$52</f>
        <v>24.875587777343423</v>
      </c>
      <c r="E84" s="15">
        <f>'Operating Case'!K$52</f>
        <v>28.330666666666662</v>
      </c>
      <c r="F84" s="15">
        <f>'Operating Case'!N$52</f>
        <v>28.330666666666662</v>
      </c>
      <c r="G84" s="2"/>
    </row>
    <row r="85" spans="1:7" ht="15" customHeight="1" x14ac:dyDescent="0.3">
      <c r="A85" s="6" t="s">
        <v>16</v>
      </c>
      <c r="B85" s="2"/>
      <c r="C85" s="13">
        <f>'Operating Case'!G$54</f>
        <v>17312305.573535062</v>
      </c>
      <c r="D85" s="13">
        <f>'Operating Case'!I$54</f>
        <v>28863232.136912081</v>
      </c>
      <c r="E85" s="13">
        <f>'Operating Case'!K$54</f>
        <v>32674147.210130587</v>
      </c>
      <c r="F85" s="13">
        <f>'Operating Case'!N$54</f>
        <v>32674147.210130587</v>
      </c>
      <c r="G85" s="2"/>
    </row>
    <row r="86" spans="1:7" ht="15" customHeight="1" x14ac:dyDescent="0.3">
      <c r="A86" s="6" t="s">
        <v>82</v>
      </c>
      <c r="B86" s="2"/>
      <c r="C86" s="13">
        <f>'Operating Case'!G$55</f>
        <v>3067380.74</v>
      </c>
      <c r="D86" s="13">
        <f>'Operating Case'!I$55</f>
        <v>4535737.9511215407</v>
      </c>
      <c r="E86" s="13">
        <f>'Operating Case'!K$55</f>
        <v>5171512.0236327406</v>
      </c>
      <c r="F86" s="13">
        <f>'Operating Case'!N$55</f>
        <v>4228547.0469530951</v>
      </c>
      <c r="G86" s="6"/>
    </row>
    <row r="87" spans="1:7" ht="15" customHeight="1" x14ac:dyDescent="0.3">
      <c r="A87" s="6" t="s">
        <v>83</v>
      </c>
      <c r="B87" s="2"/>
      <c r="C87" s="13">
        <f>'Operating Case'!G$76</f>
        <v>1893784.4137191218</v>
      </c>
      <c r="D87" s="13">
        <f>'Operating Case'!I$76</f>
        <v>4732208.3449837342</v>
      </c>
      <c r="E87" s="13">
        <f>'Operating Case'!K$76</f>
        <v>5875761.3720322838</v>
      </c>
      <c r="F87" s="13">
        <f>'Operating Case'!N$76</f>
        <v>4979305.5780741982</v>
      </c>
      <c r="G87" s="2"/>
    </row>
    <row r="88" spans="1:7" ht="15" customHeight="1" x14ac:dyDescent="0.3">
      <c r="A88" s="1" t="s">
        <v>18</v>
      </c>
      <c r="B88" s="2"/>
      <c r="C88" s="26">
        <f>'Operating Case'!G$79</f>
        <v>-645223.16864592896</v>
      </c>
      <c r="D88" s="26">
        <f>'Operating Case'!I$79</f>
        <v>1989260.3968526518</v>
      </c>
      <c r="E88" s="26">
        <f>'Operating Case'!K$79</f>
        <v>2910357.7800856186</v>
      </c>
      <c r="F88" s="26">
        <f>'Operating Case'!N$79</f>
        <v>1641331.6297399232</v>
      </c>
      <c r="G88" s="2"/>
    </row>
    <row r="89" spans="1:7" ht="15" customHeight="1" x14ac:dyDescent="0.3">
      <c r="A89" s="6" t="s">
        <v>84</v>
      </c>
      <c r="B89" s="2"/>
      <c r="C89" s="13">
        <f>'Operating Case'!G$84</f>
        <v>43.719389</v>
      </c>
      <c r="D89" s="13">
        <f>'Operating Case'!I$84</f>
        <v>63.133465000000001</v>
      </c>
      <c r="E89" s="13">
        <f>'Operating Case'!K$84</f>
        <v>68.599999999999994</v>
      </c>
      <c r="F89" s="13">
        <f>'Operating Case'!N$84</f>
        <v>68.599999999999994</v>
      </c>
      <c r="G89" s="2"/>
    </row>
    <row r="90" spans="1:7" ht="15" customHeight="1" x14ac:dyDescent="0.3">
      <c r="A90" s="6" t="s">
        <v>85</v>
      </c>
      <c r="C90" s="13">
        <f>'Operating Case'!G$85</f>
        <v>257.9710706063164</v>
      </c>
      <c r="D90" s="13">
        <f>'Operating Case'!I$85</f>
        <v>224.14802282930293</v>
      </c>
      <c r="E90" s="13">
        <f>'Operating Case'!K$85</f>
        <v>224.9523513730511</v>
      </c>
      <c r="F90" s="13">
        <f>'Operating Case'!N$85</f>
        <v>245.81150805882004</v>
      </c>
    </row>
    <row r="91" spans="1:7" ht="15" customHeight="1" x14ac:dyDescent="0.3">
      <c r="A91" s="6" t="s">
        <v>86</v>
      </c>
      <c r="C91" s="13">
        <f>'Org &amp; Capacity'!G$199</f>
        <v>633</v>
      </c>
      <c r="D91" s="13">
        <f>'Org &amp; Capacity'!I$199</f>
        <v>1056</v>
      </c>
      <c r="E91" s="13">
        <f>'Org &amp; Capacity'!K$199</f>
        <v>1193</v>
      </c>
      <c r="F91" s="13">
        <f>'Org &amp; Capacity'!N$199</f>
        <v>1193</v>
      </c>
    </row>
    <row r="93" spans="1:7" ht="15" customHeight="1" x14ac:dyDescent="0.25">
      <c r="A93" s="21" t="s">
        <v>87</v>
      </c>
    </row>
    <row r="94" spans="1:7" ht="15" customHeight="1" x14ac:dyDescent="0.25">
      <c r="A94" s="21" t="s">
        <v>88</v>
      </c>
      <c r="C94" s="21" t="s">
        <v>89</v>
      </c>
      <c r="D94" s="21" t="s">
        <v>90</v>
      </c>
      <c r="E94" s="21" t="s">
        <v>91</v>
      </c>
    </row>
    <row r="95" spans="1:7" ht="15" customHeight="1" x14ac:dyDescent="0.3">
      <c r="A95" s="6" t="s">
        <v>13</v>
      </c>
      <c r="C95" s="13">
        <f>INDEX('Operating Case'!E$50:N$50,1,INDEX(Assumptions!$D$13:$F$13,1,2))</f>
        <v>50000</v>
      </c>
      <c r="D95" s="13">
        <f>INDEX(Assumptions!$D$16:$F$16,1,2)</f>
        <v>50000</v>
      </c>
      <c r="E95" s="33">
        <f>C95-D95</f>
        <v>0</v>
      </c>
      <c r="G95" s="6" t="s">
        <v>92</v>
      </c>
    </row>
    <row r="96" spans="1:7" ht="15" customHeight="1" x14ac:dyDescent="0.3">
      <c r="A96" s="6" t="s">
        <v>14</v>
      </c>
      <c r="C96" s="15">
        <f>INDEX('Operating Case'!E$51:N$51,1,INDEX(Assumptions!$D$13:$F$13,1,2))</f>
        <v>200</v>
      </c>
      <c r="D96" s="15">
        <f>INDEX(Assumptions!$D$16:$F$16,1,2)/INDEX(Assumptions!$D$17:$F$17,1,2)</f>
        <v>200</v>
      </c>
      <c r="E96" s="32">
        <f>C96-D96</f>
        <v>0</v>
      </c>
      <c r="G96" s="6" t="s">
        <v>93</v>
      </c>
    </row>
    <row r="97" spans="1:24" ht="15" customHeight="1" x14ac:dyDescent="0.3">
      <c r="A97" s="6" t="s">
        <v>15</v>
      </c>
      <c r="C97" s="15">
        <f>INDEX('Operating Case'!E$52:N$52,1,INDEX(Assumptions!$D$13:$F$13,1,2))</f>
        <v>28.330666666666662</v>
      </c>
      <c r="D97" s="15">
        <f>INDEX(Assumptions!$D$24:$F$24,1,2)</f>
        <v>30</v>
      </c>
      <c r="E97" s="32">
        <f>C97-D97</f>
        <v>-1.6693333333333378</v>
      </c>
      <c r="G97" s="6" t="s">
        <v>94</v>
      </c>
    </row>
    <row r="98" spans="1:24" ht="15" customHeight="1" x14ac:dyDescent="0.3">
      <c r="A98" s="6" t="s">
        <v>18</v>
      </c>
      <c r="C98" s="13">
        <f>INDEX('Operating Case'!E$79:N$79,1,INDEX(Assumptions!$D$13:$F$13,1,2))</f>
        <v>2910357.7800856186</v>
      </c>
      <c r="D98" s="13">
        <f>INDEX(Assumptions!$D$23:$F$23,1,2)</f>
        <v>10000000</v>
      </c>
      <c r="E98" s="33">
        <f>C98-D98</f>
        <v>-7089642.2199143814</v>
      </c>
      <c r="T98" s="48" t="s">
        <v>95</v>
      </c>
    </row>
    <row r="99" spans="1:24" ht="15" customHeight="1" x14ac:dyDescent="0.25">
      <c r="T99" s="49" t="s">
        <v>96</v>
      </c>
      <c r="U99" s="49" t="s">
        <v>97</v>
      </c>
      <c r="V99" s="49" t="s">
        <v>98</v>
      </c>
    </row>
    <row r="100" spans="1:24" ht="15" customHeight="1" x14ac:dyDescent="0.3">
      <c r="A100" s="21" t="s">
        <v>99</v>
      </c>
      <c r="T100" s="2" t="s">
        <v>100</v>
      </c>
      <c r="U100" s="50">
        <f>IF(W100&gt;=0,0,0+W100)</f>
        <v>0</v>
      </c>
      <c r="V100" s="50">
        <f t="shared" ref="V100:V108" si="0">ABS(W100)</f>
        <v>5171512.0236327406</v>
      </c>
      <c r="W100" s="9">
        <f>'Operating Case'!K$55</f>
        <v>5171512.0236327406</v>
      </c>
      <c r="X100" s="50">
        <f>0+W100</f>
        <v>5171512.0236327406</v>
      </c>
    </row>
    <row r="101" spans="1:24" ht="15" customHeight="1" x14ac:dyDescent="0.3">
      <c r="A101" s="21" t="s">
        <v>79</v>
      </c>
      <c r="C101" s="21" t="s">
        <v>101</v>
      </c>
      <c r="D101" s="21" t="s">
        <v>102</v>
      </c>
      <c r="E101" s="21" t="s">
        <v>103</v>
      </c>
      <c r="T101" s="2" t="s">
        <v>23</v>
      </c>
      <c r="U101" s="50">
        <f t="shared" ref="U101:U108" si="1">IF(W101&gt;=0,X100,X100+W101)</f>
        <v>5171512.0236327406</v>
      </c>
      <c r="V101" s="50">
        <f t="shared" si="0"/>
        <v>1228487.9763672594</v>
      </c>
      <c r="W101" s="9">
        <f>'Operating Case'!K$56</f>
        <v>1228487.9763672594</v>
      </c>
      <c r="X101" s="50">
        <f t="shared" ref="X101:X108" si="2">X100+W101</f>
        <v>6400000</v>
      </c>
    </row>
    <row r="102" spans="1:24" ht="15" customHeight="1" x14ac:dyDescent="0.3">
      <c r="A102" s="1" t="s">
        <v>104</v>
      </c>
      <c r="C102" s="26">
        <f>INDEX('Operating Case'!E$36:N$36,1,INDEX(Assumptions!$D$13:$F$13,1,1))</f>
        <v>947024.463033607</v>
      </c>
      <c r="D102" s="26">
        <f>INDEX('Operating Case'!E$79:N$79,1,INDEX(Assumptions!$D$13:$F$13,1,2))</f>
        <v>2910357.7800856186</v>
      </c>
      <c r="E102" s="26">
        <f>INDEX('Operating Case'!E$122:N$122,1,INDEX(Assumptions!$D$13:$F$13,1,3))</f>
        <v>4914779.8246251373</v>
      </c>
      <c r="T102" s="2" t="s">
        <v>105</v>
      </c>
      <c r="U102" s="50">
        <f t="shared" si="1"/>
        <v>6400000</v>
      </c>
      <c r="V102" s="50">
        <f t="shared" si="0"/>
        <v>3374040.2026385972</v>
      </c>
      <c r="W102" s="9">
        <f>'Operating Case'!K$58-'Org &amp; Capacity'!$D$245-'Org &amp; Capacity'!$D$259</f>
        <v>3374040.2026385972</v>
      </c>
      <c r="X102" s="50">
        <f t="shared" si="2"/>
        <v>9774040.2026385963</v>
      </c>
    </row>
    <row r="103" spans="1:24" ht="15" customHeight="1" x14ac:dyDescent="0.3">
      <c r="A103" s="6" t="s">
        <v>106</v>
      </c>
      <c r="C103" s="7">
        <f>'Operating Case'!E$138</f>
        <v>-9052975.5369663928</v>
      </c>
      <c r="D103" s="7">
        <f>'Operating Case'!F$138</f>
        <v>-7089642.2199143814</v>
      </c>
      <c r="E103" s="7">
        <f>'Operating Case'!G$138</f>
        <v>-5085220.1753748627</v>
      </c>
      <c r="T103" s="2" t="s">
        <v>107</v>
      </c>
      <c r="U103" s="50">
        <f t="shared" si="1"/>
        <v>9774040.2026385963</v>
      </c>
      <c r="V103" s="50">
        <f t="shared" si="0"/>
        <v>1532367.5516980598</v>
      </c>
      <c r="W103" s="9">
        <f>'Org &amp; Capacity'!$D$259</f>
        <v>1532367.5516980598</v>
      </c>
      <c r="X103" s="50">
        <f t="shared" si="2"/>
        <v>11306407.754336655</v>
      </c>
    </row>
    <row r="104" spans="1:24" ht="15" customHeight="1" x14ac:dyDescent="0.3">
      <c r="A104" s="6" t="s">
        <v>108</v>
      </c>
      <c r="C104" s="7">
        <f>'Operating Case'!E$147</f>
        <v>2759.2135303260584</v>
      </c>
      <c r="D104" s="7">
        <f>'Operating Case'!F$147</f>
        <v>0</v>
      </c>
      <c r="E104" s="7">
        <f>'Operating Case'!G$147</f>
        <v>0</v>
      </c>
      <c r="G104" s="6" t="s">
        <v>109</v>
      </c>
      <c r="T104" s="2" t="s">
        <v>110</v>
      </c>
      <c r="U104" s="50">
        <f t="shared" si="1"/>
        <v>8759122.0794420857</v>
      </c>
      <c r="V104" s="50">
        <f t="shared" si="0"/>
        <v>2547285.6748945699</v>
      </c>
      <c r="W104" s="9">
        <f>-'Org &amp; Capacity'!$D$247</f>
        <v>-2547285.6748945699</v>
      </c>
      <c r="X104" s="50">
        <f t="shared" si="2"/>
        <v>8759122.0794420857</v>
      </c>
    </row>
    <row r="105" spans="1:24" ht="15" customHeight="1" x14ac:dyDescent="0.3">
      <c r="A105" s="6" t="s">
        <v>111</v>
      </c>
      <c r="C105" s="13">
        <f>'Revenue &amp; Durability'!K$44</f>
        <v>0</v>
      </c>
      <c r="D105" s="13">
        <f>'Revenue &amp; Durability'!K$107</f>
        <v>8649.9340030250933</v>
      </c>
      <c r="E105" s="13">
        <f>'Revenue &amp; Durability'!K$170</f>
        <v>22565.599927647156</v>
      </c>
      <c r="G105" s="6" t="s">
        <v>112</v>
      </c>
      <c r="T105" s="2" t="s">
        <v>113</v>
      </c>
      <c r="U105" s="50">
        <f t="shared" si="1"/>
        <v>7772305.4994234657</v>
      </c>
      <c r="V105" s="50">
        <f t="shared" si="0"/>
        <v>986816.58001862001</v>
      </c>
      <c r="W105" s="9">
        <f>-'Org &amp; Capacity'!$D$249</f>
        <v>-986816.58001862001</v>
      </c>
      <c r="X105" s="50">
        <f t="shared" si="2"/>
        <v>7772305.4994234657</v>
      </c>
    </row>
    <row r="106" spans="1:24" ht="15" customHeight="1" x14ac:dyDescent="0.3">
      <c r="A106" s="1" t="s">
        <v>114</v>
      </c>
      <c r="C106" s="38">
        <f>'Operating Case'!E$151</f>
        <v>0.18506437610232268</v>
      </c>
      <c r="D106" s="38">
        <f>'Operating Case'!F$151</f>
        <v>0.2297593722678587</v>
      </c>
      <c r="E106" s="38">
        <f>'Operating Case'!G$151</f>
        <v>0.2842735796899078</v>
      </c>
      <c r="G106" s="6" t="s">
        <v>115</v>
      </c>
      <c r="T106" s="2" t="s">
        <v>116</v>
      </c>
      <c r="U106" s="50">
        <f t="shared" si="1"/>
        <v>6291363.6817461494</v>
      </c>
      <c r="V106" s="50">
        <f t="shared" si="0"/>
        <v>1480941.8176773158</v>
      </c>
      <c r="W106" s="9">
        <f>'Operating Case'!K$60+'Operating Case'!K$62+'Operating Case'!K$64+'Operating Case'!K$65</f>
        <v>-1480941.8176773158</v>
      </c>
      <c r="X106" s="50">
        <f t="shared" si="2"/>
        <v>6291363.6817461494</v>
      </c>
    </row>
    <row r="107" spans="1:24" ht="15" customHeight="1" x14ac:dyDescent="0.3">
      <c r="A107" s="6" t="s">
        <v>117</v>
      </c>
      <c r="C107" s="13">
        <f>'Operating Case'!E$152</f>
        <v>120.93641336236529</v>
      </c>
      <c r="D107" s="13">
        <f>'Operating Case'!F$152</f>
        <v>150.14383104774421</v>
      </c>
      <c r="E107" s="13">
        <f>'Operating Case'!G$152</f>
        <v>185.76793581477673</v>
      </c>
      <c r="T107" s="2" t="s">
        <v>118</v>
      </c>
      <c r="U107" s="50">
        <f t="shared" si="1"/>
        <v>5875761.3720322819</v>
      </c>
      <c r="V107" s="50">
        <f t="shared" si="0"/>
        <v>415602.30971386773</v>
      </c>
      <c r="W107" s="9">
        <f>'Operating Case'!K$67+'Operating Case'!K$68+'Operating Case'!K$69+'Operating Case'!K$70+'Operating Case'!K$71+'Operating Case'!K$72+'Operating Case'!K$63+'Operating Case'!K$73</f>
        <v>-415602.30971386773</v>
      </c>
      <c r="X107" s="50">
        <f t="shared" si="2"/>
        <v>5875761.3720322819</v>
      </c>
    </row>
    <row r="108" spans="1:24" ht="15" customHeight="1" x14ac:dyDescent="0.3">
      <c r="A108" s="6" t="s">
        <v>119</v>
      </c>
      <c r="C108" s="13">
        <f>'Operating Case'!E$153</f>
        <v>127.99999999999999</v>
      </c>
      <c r="D108" s="13">
        <f>'Operating Case'!F$153</f>
        <v>127.99999999999999</v>
      </c>
      <c r="E108" s="13">
        <f>'Operating Case'!G$153</f>
        <v>127.99999999999999</v>
      </c>
      <c r="T108" s="2" t="s">
        <v>120</v>
      </c>
      <c r="U108" s="50">
        <f t="shared" si="1"/>
        <v>2910357.7800856163</v>
      </c>
      <c r="V108" s="50">
        <f t="shared" si="0"/>
        <v>2965403.5919466657</v>
      </c>
      <c r="W108" s="9">
        <f>'Operating Case'!K$77+'Operating Case'!K$78</f>
        <v>-2965403.5919466657</v>
      </c>
      <c r="X108" s="50">
        <f t="shared" si="2"/>
        <v>2910357.7800856163</v>
      </c>
    </row>
    <row r="109" spans="1:24" ht="15" customHeight="1" x14ac:dyDescent="0.3">
      <c r="A109" s="6" t="s">
        <v>121</v>
      </c>
      <c r="C109" s="13">
        <f>INDEX('Operating Case'!E$7:N$7,1,INDEX(Assumptions!$D$13:$F$13,1,1))</f>
        <v>47240.786469673942</v>
      </c>
      <c r="D109" s="13">
        <f>INDEX('Operating Case'!E$50:N$50,1,INDEX(Assumptions!$D$13:$F$13,1,2))</f>
        <v>50000</v>
      </c>
      <c r="E109" s="13">
        <f>INDEX('Operating Case'!E$93:N$93,1,INDEX(Assumptions!$D$13:$F$13,1,3))</f>
        <v>50000</v>
      </c>
      <c r="T109" s="49" t="s">
        <v>18</v>
      </c>
      <c r="U109" s="51">
        <v>0</v>
      </c>
      <c r="V109" s="9">
        <f>'Operating Case'!K$79</f>
        <v>2910357.7800856186</v>
      </c>
    </row>
    <row r="110" spans="1:24" ht="15" customHeight="1" x14ac:dyDescent="0.3">
      <c r="A110" s="6" t="s">
        <v>40</v>
      </c>
      <c r="C110" s="13">
        <f>Returns!D$54</f>
        <v>45523631.288906388</v>
      </c>
      <c r="D110" s="13">
        <f>Returns!E$54</f>
        <v>38639176.836959675</v>
      </c>
      <c r="E110" s="13">
        <f>Returns!F$54</f>
        <v>28360910.300600778</v>
      </c>
    </row>
    <row r="111" spans="1:24" ht="15" customHeight="1" x14ac:dyDescent="0.3">
      <c r="A111" s="6" t="s">
        <v>122</v>
      </c>
      <c r="C111" s="13">
        <f>Returns!D$55</f>
        <v>10580953.94031734</v>
      </c>
      <c r="D111" s="13">
        <f>Returns!E$55</f>
        <v>8035870.0829173326</v>
      </c>
      <c r="E111" s="13">
        <f>Returns!F$55</f>
        <v>7079358.7545304038</v>
      </c>
      <c r="T111" s="2" t="s">
        <v>123</v>
      </c>
      <c r="V111" s="50">
        <f>V109-X108</f>
        <v>0</v>
      </c>
    </row>
    <row r="112" spans="1:24" ht="15" customHeight="1" x14ac:dyDescent="0.25">
      <c r="A112" s="1" t="s">
        <v>47</v>
      </c>
      <c r="C112" s="41">
        <f>Returns!D$56</f>
        <v>3.1118945907889987E-2</v>
      </c>
      <c r="D112" s="41">
        <f>Returns!E$56</f>
        <v>0.49819875086488025</v>
      </c>
      <c r="E112" s="41">
        <f>Returns!F$56</f>
        <v>1.4949479387653692</v>
      </c>
    </row>
    <row r="113" spans="1:7" ht="15" customHeight="1" x14ac:dyDescent="0.25">
      <c r="A113" s="1" t="s">
        <v>124</v>
      </c>
      <c r="C113" s="43" t="str">
        <f>Returns!D$57</f>
        <v>N/A</v>
      </c>
      <c r="D113" s="43">
        <f>Returns!E$57</f>
        <v>-0.15920530713648884</v>
      </c>
      <c r="E113" s="43">
        <f>Returns!F$57</f>
        <v>7.9612858356966854E-2</v>
      </c>
    </row>
    <row r="114" spans="1:7" ht="15" customHeight="1" x14ac:dyDescent="0.3">
      <c r="A114" s="6" t="s">
        <v>125</v>
      </c>
      <c r="C114" s="12">
        <f>Returns!D$60</f>
        <v>0</v>
      </c>
      <c r="D114" s="12">
        <f>Returns!E$60</f>
        <v>0.29916047102050203</v>
      </c>
      <c r="E114" s="12">
        <f>Returns!F$60</f>
        <v>1.5238862762344316</v>
      </c>
    </row>
    <row r="115" spans="1:7" ht="15" customHeight="1" x14ac:dyDescent="0.3">
      <c r="A115" s="6" t="s">
        <v>126</v>
      </c>
      <c r="C115" s="12">
        <f>Returns!D$59</f>
        <v>5.1505807577229133E-2</v>
      </c>
      <c r="D115" s="12">
        <f>Returns!E$59</f>
        <v>0.49819875086488025</v>
      </c>
      <c r="E115" s="12">
        <f>Returns!F$59</f>
        <v>1.3251196724268728</v>
      </c>
      <c r="G115" s="6" t="s">
        <v>127</v>
      </c>
    </row>
    <row r="116" spans="1:7" ht="15" customHeight="1" x14ac:dyDescent="0.3">
      <c r="A116" s="6" t="s">
        <v>128</v>
      </c>
      <c r="C116" s="12">
        <f>Returns!D$61</f>
        <v>-22.65493856349336</v>
      </c>
      <c r="D116" s="12">
        <f>Returns!E$61</f>
        <v>0</v>
      </c>
      <c r="E116" s="12">
        <f>Returns!F$61</f>
        <v>0</v>
      </c>
    </row>
    <row r="118" spans="1:7" ht="15" customHeight="1" x14ac:dyDescent="0.25">
      <c r="A118" s="21" t="s">
        <v>129</v>
      </c>
    </row>
    <row r="119" spans="1:7" ht="15" customHeight="1" x14ac:dyDescent="0.3">
      <c r="A119" s="6" t="s">
        <v>130</v>
      </c>
      <c r="C119" s="45" t="str">
        <f>Assumptions!$E$8</f>
        <v>FULL CASE</v>
      </c>
      <c r="G119" s="6" t="s">
        <v>131</v>
      </c>
    </row>
    <row r="120" spans="1:7" ht="15" customHeight="1" x14ac:dyDescent="0.3">
      <c r="A120" s="6" t="s">
        <v>132</v>
      </c>
      <c r="C120" s="13">
        <f>'Operating Case'!K$79-'Operating Case'!K$74-'Operating Case'!K$65</f>
        <v>3004710.0897994861</v>
      </c>
      <c r="G120" s="6" t="s">
        <v>133</v>
      </c>
    </row>
    <row r="121" spans="1:7" ht="15" customHeight="1" x14ac:dyDescent="0.3">
      <c r="A121" s="6" t="s">
        <v>134</v>
      </c>
      <c r="C121" s="13">
        <f>'Operating Case'!K$74</f>
        <v>-415602.30971386773</v>
      </c>
      <c r="G121" s="6" t="s">
        <v>135</v>
      </c>
    </row>
    <row r="122" spans="1:7" ht="15" customHeight="1" x14ac:dyDescent="0.3">
      <c r="A122" s="6" t="s">
        <v>136</v>
      </c>
      <c r="C122" s="13">
        <f>'Operating Case'!K$58+'Operating Case'!K$59+'Operating Case'!K$60+'Operating Case'!K$61</f>
        <v>1017907.2474539275</v>
      </c>
      <c r="G122" s="6" t="s">
        <v>137</v>
      </c>
    </row>
    <row r="124" spans="1:7" ht="15" customHeight="1" x14ac:dyDescent="0.25">
      <c r="A124" s="21" t="s">
        <v>138</v>
      </c>
    </row>
    <row r="125" spans="1:7" ht="15" customHeight="1" x14ac:dyDescent="0.3">
      <c r="A125" s="6" t="s">
        <v>139</v>
      </c>
      <c r="C125" s="13">
        <f>Returns!D$28</f>
        <v>21212511.007152785</v>
      </c>
      <c r="D125" s="13">
        <f>Returns!E$28</f>
        <v>23537437.110311404</v>
      </c>
      <c r="E125" s="13">
        <f>Returns!F$28</f>
        <v>25837713.592637375</v>
      </c>
      <c r="G125" s="6" t="s">
        <v>140</v>
      </c>
    </row>
    <row r="126" spans="1:7" ht="15" customHeight="1" x14ac:dyDescent="0.3">
      <c r="A126" s="6" t="s">
        <v>141</v>
      </c>
      <c r="C126" s="13">
        <f>Returns!D$31</f>
        <v>-20548987.025404945</v>
      </c>
      <c r="D126" s="13">
        <f>Returns!E$31</f>
        <v>-13566925.461282732</v>
      </c>
      <c r="E126" s="13">
        <f>Returns!F$31</f>
        <v>-4779538.0674890922</v>
      </c>
    </row>
    <row r="127" spans="1:7" ht="15" customHeight="1" x14ac:dyDescent="0.3">
      <c r="A127" s="6" t="s">
        <v>142</v>
      </c>
      <c r="C127" s="13">
        <f>Returns!D$32</f>
        <v>663523.9817478396</v>
      </c>
      <c r="D127" s="13">
        <f>Returns!E$32</f>
        <v>9970511.6490286719</v>
      </c>
      <c r="E127" s="13">
        <f>Returns!F$32</f>
        <v>21058175.525148284</v>
      </c>
    </row>
    <row r="128" spans="1:7" ht="15" customHeight="1" x14ac:dyDescent="0.3">
      <c r="A128" s="6" t="s">
        <v>143</v>
      </c>
      <c r="C128" s="13">
        <f>Returns!D$42</f>
        <v>8049707.9357856596</v>
      </c>
      <c r="D128" s="13">
        <f>Returns!E$42</f>
        <v>27648398.910813376</v>
      </c>
      <c r="E128" s="13">
        <f>Returns!F$42</f>
        <v>51605188.158563942</v>
      </c>
    </row>
    <row r="129" spans="1:7" ht="15" customHeight="1" x14ac:dyDescent="0.25">
      <c r="A129" s="1" t="s">
        <v>144</v>
      </c>
      <c r="C129" s="46">
        <f>Returns!D$44</f>
        <v>7386183.95403782</v>
      </c>
      <c r="D129" s="46">
        <f>Returns!E$44</f>
        <v>17677887.261784703</v>
      </c>
      <c r="E129" s="46">
        <f>Returns!F$44</f>
        <v>30547012.633415658</v>
      </c>
    </row>
    <row r="130" spans="1:7" ht="15" customHeight="1" x14ac:dyDescent="0.3">
      <c r="A130" s="6" t="s">
        <v>145</v>
      </c>
      <c r="C130" s="19">
        <f>Returns!D$45</f>
        <v>0.91757167004804141</v>
      </c>
      <c r="D130" s="19">
        <f>Returns!E$45</f>
        <v>0.63938195187392299</v>
      </c>
      <c r="E130" s="19">
        <f>Returns!F$45</f>
        <v>0.59193685215439618</v>
      </c>
    </row>
    <row r="131" spans="1:7" ht="15" customHeight="1" x14ac:dyDescent="0.3">
      <c r="A131" s="6" t="s">
        <v>146</v>
      </c>
      <c r="C131" s="12">
        <f>Returns!D$58</f>
        <v>0</v>
      </c>
      <c r="D131" s="12">
        <f>Returns!E$58</f>
        <v>4.9836986077549002E-2</v>
      </c>
      <c r="E131" s="12">
        <f>Returns!F$58</f>
        <v>0.4394080402412659</v>
      </c>
      <c r="G131" s="6" t="s">
        <v>147</v>
      </c>
    </row>
    <row r="132" spans="1:7" ht="15" customHeight="1" x14ac:dyDescent="0.3">
      <c r="A132" s="6" t="s">
        <v>148</v>
      </c>
      <c r="D132" s="36">
        <f>'Org &amp; Capacity'!$D$254</f>
        <v>2359122.0794420871</v>
      </c>
      <c r="G132" s="6" t="s">
        <v>149</v>
      </c>
    </row>
    <row r="133" spans="1:7" ht="15" customHeight="1" x14ac:dyDescent="0.3">
      <c r="A133" s="6" t="s">
        <v>150</v>
      </c>
      <c r="D133" s="13">
        <f>'Org &amp; Capacity'!$D$255</f>
        <v>-986816.58001862001</v>
      </c>
      <c r="G133" s="6" t="s">
        <v>151</v>
      </c>
    </row>
    <row r="134" spans="1:7" ht="15" customHeight="1" x14ac:dyDescent="0.3">
      <c r="A134" s="2" t="s">
        <v>152</v>
      </c>
      <c r="D134" s="13">
        <f>'Org &amp; Capacity'!$D$256</f>
        <v>1372305.4994234671</v>
      </c>
      <c r="G134" s="6" t="s">
        <v>153</v>
      </c>
    </row>
    <row r="135" spans="1:7" ht="15" customHeight="1" x14ac:dyDescent="0.25">
      <c r="A135" s="21" t="s">
        <v>154</v>
      </c>
    </row>
    <row r="136" spans="1:7" ht="15" customHeight="1" x14ac:dyDescent="0.3">
      <c r="A136" s="6" t="s">
        <v>155</v>
      </c>
      <c r="C136" s="13">
        <f>Returns!D$63</f>
        <v>4042644.8262609439</v>
      </c>
      <c r="D136" s="13">
        <f>Returns!E$63</f>
        <v>1709117.404046831</v>
      </c>
      <c r="E136" s="13">
        <f>Returns!F$63</f>
        <v>1050000</v>
      </c>
      <c r="G136" s="6" t="s">
        <v>156</v>
      </c>
    </row>
    <row r="137" spans="1:7" ht="15" customHeight="1" x14ac:dyDescent="0.3">
      <c r="A137" s="6" t="s">
        <v>157</v>
      </c>
      <c r="C137" s="12">
        <f>Returns!D$62</f>
        <v>1.092402917121942</v>
      </c>
      <c r="D137" s="12">
        <f>Returns!E$62</f>
        <v>1.0161136438240945</v>
      </c>
      <c r="E137" s="12">
        <f>Returns!F$62</f>
        <v>0.8225442387638312</v>
      </c>
    </row>
    <row r="138" spans="1:7" ht="15" customHeight="1" x14ac:dyDescent="0.3">
      <c r="A138" s="6" t="s">
        <v>158</v>
      </c>
      <c r="C138" s="13">
        <f>'Transaction &amp; Liquidity'!$D$190</f>
        <v>1500000</v>
      </c>
      <c r="G138" s="6" t="s">
        <v>159</v>
      </c>
    </row>
    <row r="139" spans="1:7" ht="15" customHeight="1" x14ac:dyDescent="0.3">
      <c r="A139" s="2" t="s">
        <v>160</v>
      </c>
      <c r="C139" s="52" t="str">
        <f>IF(Controls!$C$77="FAIL","NOT UNDERWRITABLE — CONTROLS FAIL",IF(Controls!$C$77="REVIEW","DIAGNOSTIC ONLY — CONTROLS AT REVIEW","CONTROLS PASS"))</f>
        <v>DIAGNOSTIC ONLY — CONTROLS AT REVIEW</v>
      </c>
      <c r="G139" s="2" t="s">
        <v>161</v>
      </c>
    </row>
    <row r="140" spans="1:7" ht="15" customHeight="1" x14ac:dyDescent="0.25">
      <c r="A140" s="21" t="s">
        <v>162</v>
      </c>
    </row>
    <row r="141" spans="1:7" ht="15" customHeight="1" x14ac:dyDescent="0.3">
      <c r="A141" s="6" t="s">
        <v>163</v>
      </c>
      <c r="C141" s="19">
        <f>INDEX(Assumptions!$D$15:$F$15,1,2)</f>
        <v>0.25</v>
      </c>
    </row>
    <row r="142" spans="1:7" ht="15" customHeight="1" x14ac:dyDescent="0.3">
      <c r="A142" s="6" t="s">
        <v>164</v>
      </c>
      <c r="C142" s="44" t="str">
        <f>IF(Returns!$E$57&gt;=INDEX(Assumptions!$D$15:$F$15,1,2),"PASS","FAIL")</f>
        <v>FAIL</v>
      </c>
    </row>
    <row r="143" spans="1:7" ht="15" customHeight="1" x14ac:dyDescent="0.3">
      <c r="A143" s="6" t="s">
        <v>165</v>
      </c>
      <c r="C143" s="44" t="str">
        <f>IF(Returns!$E$58&gt;=(1+INDEX(Assumptions!$D$15:$F$15,1,2))^INDEX(Assumptions!$D$13:$F$13,1,2),"PASS","FAIL")</f>
        <v>FAIL</v>
      </c>
    </row>
    <row r="144" spans="1:7" ht="15" customHeight="1" x14ac:dyDescent="0.3">
      <c r="A144" s="6" t="s">
        <v>166</v>
      </c>
      <c r="C144" s="36">
        <f>Returns!D$82</f>
        <v>0</v>
      </c>
      <c r="D144" s="36">
        <f>Returns!E$82</f>
        <v>0</v>
      </c>
      <c r="E144" s="36">
        <f>Returns!F$82</f>
        <v>0</v>
      </c>
      <c r="G144" s="6" t="s">
        <v>167</v>
      </c>
    </row>
    <row r="145" spans="1:5" ht="15" customHeight="1" x14ac:dyDescent="0.3">
      <c r="A145" s="6" t="s">
        <v>168</v>
      </c>
      <c r="C145" s="44" t="str">
        <f>Returns!D$84</f>
        <v>NONE IN RANGE</v>
      </c>
      <c r="D145" s="44" t="str">
        <f>Returns!E$84</f>
        <v>NONE IN RANGE</v>
      </c>
      <c r="E145" s="44" t="str">
        <f>Returns!F$84</f>
        <v>NONE IN RANGE</v>
      </c>
    </row>
    <row r="146" spans="1:5" ht="15" customHeight="1" x14ac:dyDescent="0.3">
      <c r="A146" s="6" t="s">
        <v>169</v>
      </c>
      <c r="C146" s="6" t="str">
        <f>"PAUSE PENDING NAMED EVIDENCE"</f>
        <v>PAUSE PENDING NAMED EVIDENCE</v>
      </c>
    </row>
    <row r="147" spans="1:5" ht="15" customHeight="1" x14ac:dyDescent="0.3">
      <c r="A147" s="6" t="s">
        <v>170</v>
      </c>
      <c r="C147" s="6" t="str">
        <f>"Target GL and payroll register | client and PMA schedule | tuck-in pipeline pricing | Layer 1-3 willingness to pay | transaction and integration cost quotes"</f>
        <v>Target GL and payroll register | client and PMA schedule | tuck-in pipeline pricing | Layer 1-3 willingness to pay | transaction and integration cost quotes</v>
      </c>
    </row>
  </sheetData>
  <pageMargins left="0.7" right="0.7" top="0.75" bottom="0.75" header="0.511811023622047" footer="0.511811023622047"/>
  <pageSetup paperSize="9"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58"/>
  <sheetViews>
    <sheetView showGridLines="0" zoomScaleNormal="100" workbookViewId="0">
      <pane xSplit="3" ySplit="4" topLeftCell="D5" activePane="bottomRight" state="frozen"/>
      <selection pane="topRight" activeCell="D1" sqref="D1"/>
      <selection pane="bottomLeft" activeCell="A5" sqref="A5"/>
      <selection pane="bottomRight"/>
    </sheetView>
  </sheetViews>
  <sheetFormatPr defaultColWidth="8.7109375" defaultRowHeight="12.75" x14ac:dyDescent="0.2"/>
  <cols>
    <col min="1" max="1" width="52" customWidth="1"/>
    <col min="2" max="2" width="8" customWidth="1"/>
    <col min="3" max="3" width="20" customWidth="1"/>
    <col min="4" max="4" width="16" customWidth="1"/>
    <col min="5" max="5" width="18" customWidth="1"/>
    <col min="6" max="7" width="14" customWidth="1"/>
  </cols>
  <sheetData>
    <row r="1" spans="1:14" ht="15" customHeight="1" x14ac:dyDescent="0.3">
      <c r="A1" s="1" t="s">
        <v>171</v>
      </c>
      <c r="B1" s="2"/>
      <c r="C1" s="2"/>
      <c r="D1" s="2"/>
      <c r="E1" s="2"/>
      <c r="F1" s="2"/>
      <c r="G1" s="2"/>
      <c r="H1" s="2"/>
      <c r="I1" s="2"/>
      <c r="J1" s="2"/>
      <c r="K1" s="2"/>
      <c r="L1" s="2"/>
      <c r="M1" s="2"/>
      <c r="N1" s="2"/>
    </row>
    <row r="2" spans="1:14" ht="15" customHeight="1" x14ac:dyDescent="0.3">
      <c r="A2" s="42" t="s">
        <v>172</v>
      </c>
      <c r="B2" s="2"/>
      <c r="C2" s="2"/>
      <c r="D2" s="2"/>
      <c r="E2" s="2"/>
      <c r="F2" s="2"/>
      <c r="G2" s="2"/>
      <c r="H2" s="2"/>
      <c r="I2" s="2"/>
      <c r="J2" s="2"/>
      <c r="K2" s="2"/>
      <c r="L2" s="2"/>
      <c r="M2" s="2"/>
      <c r="N2" s="2"/>
    </row>
    <row r="3" spans="1:14" ht="15" customHeight="1" x14ac:dyDescent="0.3">
      <c r="A3" s="44"/>
      <c r="B3" s="2"/>
      <c r="C3" s="2"/>
      <c r="D3" s="2"/>
      <c r="E3" s="2"/>
      <c r="F3" s="2"/>
      <c r="G3" s="2"/>
      <c r="H3" s="2"/>
      <c r="I3" s="2"/>
      <c r="J3" s="2"/>
      <c r="K3" s="2"/>
      <c r="L3" s="2"/>
      <c r="M3" s="2"/>
      <c r="N3" s="2"/>
    </row>
    <row r="4" spans="1:14" ht="15" customHeight="1" x14ac:dyDescent="0.3">
      <c r="A4" s="5" t="s">
        <v>173</v>
      </c>
      <c r="B4" s="5"/>
      <c r="C4" s="5"/>
      <c r="D4" s="5"/>
      <c r="E4" s="53" t="s">
        <v>174</v>
      </c>
      <c r="F4" s="53" t="s">
        <v>175</v>
      </c>
      <c r="G4" s="53" t="s">
        <v>176</v>
      </c>
      <c r="H4" s="5"/>
      <c r="I4" s="2"/>
      <c r="J4" s="2"/>
      <c r="K4" s="2"/>
      <c r="L4" s="2"/>
      <c r="M4" s="2"/>
      <c r="N4" s="2"/>
    </row>
    <row r="5" spans="1:14" ht="15" customHeight="1" x14ac:dyDescent="0.3">
      <c r="A5" s="10" t="s">
        <v>21</v>
      </c>
      <c r="B5" s="10"/>
      <c r="C5" s="11">
        <f>'Operating Case'!K$55</f>
        <v>5171512.0236327406</v>
      </c>
      <c r="D5" s="10"/>
      <c r="E5" s="22" t="s">
        <v>177</v>
      </c>
      <c r="F5" s="22" t="s">
        <v>178</v>
      </c>
      <c r="G5" s="22" t="s">
        <v>179</v>
      </c>
      <c r="H5" s="10"/>
      <c r="I5" s="10"/>
      <c r="J5" s="10"/>
      <c r="K5" s="10"/>
      <c r="L5" s="10"/>
      <c r="M5" s="10"/>
      <c r="N5" s="10"/>
    </row>
    <row r="6" spans="1:14" ht="15" customHeight="1" x14ac:dyDescent="0.3">
      <c r="A6" s="10" t="s">
        <v>23</v>
      </c>
      <c r="B6" s="10"/>
      <c r="C6" s="11">
        <f>'Operating Case'!K$56</f>
        <v>1228487.9763672594</v>
      </c>
      <c r="D6" s="21"/>
      <c r="E6" s="22" t="s">
        <v>180</v>
      </c>
      <c r="F6" s="22" t="s">
        <v>178</v>
      </c>
      <c r="G6" s="22" t="s">
        <v>179</v>
      </c>
      <c r="H6" s="21"/>
      <c r="I6" s="21"/>
      <c r="J6" s="21"/>
      <c r="K6" s="21"/>
      <c r="L6" s="21"/>
      <c r="M6" s="21"/>
      <c r="N6" s="21"/>
    </row>
    <row r="7" spans="1:14" ht="15" customHeight="1" x14ac:dyDescent="0.3">
      <c r="A7" s="6" t="s">
        <v>181</v>
      </c>
      <c r="B7" s="6"/>
      <c r="C7" s="8">
        <f>'Operating Case'!K$58</f>
        <v>8528944.5970154479</v>
      </c>
      <c r="D7" s="13"/>
      <c r="E7" s="23" t="s">
        <v>180</v>
      </c>
      <c r="F7" s="23" t="s">
        <v>178</v>
      </c>
      <c r="G7" s="23" t="s">
        <v>182</v>
      </c>
      <c r="H7" s="13"/>
      <c r="I7" s="13"/>
      <c r="J7" s="13"/>
      <c r="K7" s="13"/>
      <c r="L7" s="13"/>
      <c r="M7" s="13"/>
      <c r="N7" s="13"/>
    </row>
    <row r="8" spans="1:14" ht="15" customHeight="1" x14ac:dyDescent="0.3">
      <c r="A8" s="6" t="s">
        <v>183</v>
      </c>
      <c r="B8" s="6"/>
      <c r="C8" s="8">
        <f>-'Org &amp; Capacity'!$D$245</f>
        <v>-3622536.8426787909</v>
      </c>
      <c r="D8" s="15"/>
      <c r="E8" s="24" t="s">
        <v>180</v>
      </c>
      <c r="F8" s="24" t="s">
        <v>178</v>
      </c>
      <c r="G8" s="24" t="s">
        <v>184</v>
      </c>
      <c r="H8" s="15"/>
      <c r="I8" s="15"/>
      <c r="J8" s="15"/>
      <c r="K8" s="15"/>
      <c r="L8" s="15"/>
      <c r="M8" s="15"/>
      <c r="N8" s="15"/>
    </row>
    <row r="9" spans="1:14" ht="15" customHeight="1" x14ac:dyDescent="0.3">
      <c r="A9" s="6" t="s">
        <v>32</v>
      </c>
      <c r="B9" s="6"/>
      <c r="C9" s="8">
        <f>-'Org &amp; Capacity'!$D$247</f>
        <v>-2547285.6748945699</v>
      </c>
      <c r="D9" s="15"/>
      <c r="E9" s="24" t="s">
        <v>180</v>
      </c>
      <c r="F9" s="24" t="s">
        <v>178</v>
      </c>
      <c r="G9" s="24" t="s">
        <v>184</v>
      </c>
      <c r="H9" s="15"/>
      <c r="I9" s="15"/>
      <c r="J9" s="15"/>
      <c r="K9" s="15"/>
      <c r="L9" s="15"/>
      <c r="M9" s="15"/>
      <c r="N9" s="15"/>
    </row>
    <row r="10" spans="1:14" ht="15" customHeight="1" x14ac:dyDescent="0.3">
      <c r="A10" s="6" t="s">
        <v>33</v>
      </c>
      <c r="B10" s="6"/>
      <c r="C10" s="8">
        <f>-'Org &amp; Capacity'!$D$249</f>
        <v>-986816.58001862001</v>
      </c>
      <c r="D10" s="54"/>
      <c r="E10" s="55" t="s">
        <v>180</v>
      </c>
      <c r="F10" s="55" t="s">
        <v>178</v>
      </c>
      <c r="G10" s="55" t="s">
        <v>184</v>
      </c>
      <c r="H10" s="54"/>
      <c r="I10" s="54"/>
      <c r="J10" s="54"/>
      <c r="K10" s="54"/>
      <c r="L10" s="54"/>
      <c r="M10" s="54"/>
      <c r="N10" s="54"/>
    </row>
    <row r="11" spans="1:14" ht="15" customHeight="1" x14ac:dyDescent="0.3">
      <c r="A11" s="6" t="s">
        <v>30</v>
      </c>
      <c r="B11" s="6"/>
      <c r="C11" s="8">
        <f>'Operating Case'!K$61</f>
        <v>0</v>
      </c>
      <c r="D11" s="13"/>
      <c r="E11" s="23" t="s">
        <v>180</v>
      </c>
      <c r="F11" s="23" t="s">
        <v>178</v>
      </c>
      <c r="G11" s="23" t="s">
        <v>182</v>
      </c>
      <c r="H11" s="13"/>
      <c r="I11" s="13"/>
      <c r="J11" s="13"/>
      <c r="K11" s="13"/>
      <c r="L11" s="13"/>
      <c r="M11" s="13"/>
      <c r="N11" s="13"/>
    </row>
    <row r="12" spans="1:14" ht="15" customHeight="1" x14ac:dyDescent="0.3">
      <c r="A12" s="6" t="s">
        <v>185</v>
      </c>
      <c r="B12" s="6"/>
      <c r="C12" s="8">
        <f>'Operating Case'!K$60</f>
        <v>-354398.25196954003</v>
      </c>
      <c r="D12" s="13"/>
      <c r="E12" s="23" t="s">
        <v>180</v>
      </c>
      <c r="F12" s="23" t="s">
        <v>186</v>
      </c>
      <c r="G12" s="23" t="s">
        <v>184</v>
      </c>
      <c r="H12" s="13"/>
      <c r="I12" s="13"/>
      <c r="J12" s="13"/>
      <c r="K12" s="13"/>
      <c r="L12" s="13"/>
      <c r="M12" s="13"/>
      <c r="N12" s="13"/>
    </row>
    <row r="13" spans="1:14" ht="15" customHeight="1" x14ac:dyDescent="0.3">
      <c r="A13" s="6" t="s">
        <v>187</v>
      </c>
      <c r="B13" s="6"/>
      <c r="C13" s="8">
        <f>'Operating Case'!K$62</f>
        <v>-967793.56570777576</v>
      </c>
      <c r="D13" s="13"/>
      <c r="E13" s="23" t="s">
        <v>180</v>
      </c>
      <c r="F13" s="23" t="s">
        <v>178</v>
      </c>
      <c r="G13" s="23" t="s">
        <v>184</v>
      </c>
      <c r="H13" s="13"/>
      <c r="I13" s="13"/>
      <c r="J13" s="13"/>
      <c r="K13" s="13"/>
      <c r="L13" s="13"/>
      <c r="M13" s="13"/>
      <c r="N13" s="13"/>
    </row>
    <row r="14" spans="1:14" ht="15" customHeight="1" x14ac:dyDescent="0.3">
      <c r="A14" s="6" t="s">
        <v>188</v>
      </c>
      <c r="B14" s="6"/>
      <c r="C14" s="8">
        <f>'Operating Case'!K$64</f>
        <v>-480000</v>
      </c>
      <c r="D14" s="26"/>
      <c r="E14" s="27" t="s">
        <v>180</v>
      </c>
      <c r="F14" s="27" t="s">
        <v>186</v>
      </c>
      <c r="G14" s="27" t="s">
        <v>184</v>
      </c>
      <c r="H14" s="26"/>
      <c r="I14" s="26"/>
      <c r="J14" s="26"/>
      <c r="K14" s="26"/>
      <c r="L14" s="26"/>
      <c r="M14" s="26"/>
      <c r="N14" s="26"/>
    </row>
    <row r="15" spans="1:14" ht="15" customHeight="1" x14ac:dyDescent="0.3">
      <c r="A15" s="6" t="s">
        <v>189</v>
      </c>
      <c r="B15" s="6"/>
      <c r="C15" s="8">
        <f>'Operating Case'!K$65</f>
        <v>321250</v>
      </c>
      <c r="D15" s="13"/>
      <c r="E15" s="23" t="s">
        <v>180</v>
      </c>
      <c r="F15" s="23" t="s">
        <v>178</v>
      </c>
      <c r="G15" s="23" t="s">
        <v>182</v>
      </c>
      <c r="H15" s="13"/>
      <c r="I15" s="13"/>
      <c r="J15" s="13"/>
      <c r="K15" s="13"/>
      <c r="L15" s="13"/>
      <c r="M15" s="13"/>
      <c r="N15" s="13"/>
    </row>
    <row r="16" spans="1:14" ht="15" customHeight="1" x14ac:dyDescent="0.3">
      <c r="A16" s="6" t="s">
        <v>190</v>
      </c>
      <c r="B16" s="6"/>
      <c r="C16" s="8">
        <f>'Operating Case'!K$67+'Operating Case'!K$68+'Operating Case'!K$69+'Operating Case'!K$70+'Operating Case'!K$71+'Operating Case'!K$72+'Operating Case'!K$63+'Operating Case'!K$73</f>
        <v>-415602.30971386773</v>
      </c>
      <c r="D16" s="13"/>
      <c r="E16" s="23" t="s">
        <v>180</v>
      </c>
      <c r="F16" s="23" t="s">
        <v>178</v>
      </c>
      <c r="G16" s="23" t="s">
        <v>179</v>
      </c>
      <c r="H16" s="13"/>
      <c r="I16" s="13"/>
      <c r="J16" s="13"/>
      <c r="K16" s="13"/>
      <c r="L16" s="13"/>
      <c r="M16" s="13"/>
      <c r="N16" s="13"/>
    </row>
    <row r="17" spans="1:14" ht="15" customHeight="1" x14ac:dyDescent="0.3">
      <c r="A17" s="6" t="s">
        <v>191</v>
      </c>
      <c r="B17" s="6"/>
      <c r="C17" s="8">
        <f>'Operating Case'!K$77</f>
        <v>-1972440.2133674652</v>
      </c>
      <c r="D17" s="13"/>
      <c r="E17" s="23" t="s">
        <v>180</v>
      </c>
      <c r="F17" s="23" t="s">
        <v>178</v>
      </c>
      <c r="G17" s="23" t="s">
        <v>184</v>
      </c>
      <c r="H17" s="13"/>
      <c r="I17" s="13"/>
      <c r="J17" s="13"/>
      <c r="K17" s="13"/>
      <c r="L17" s="13"/>
      <c r="M17" s="13"/>
      <c r="N17" s="13"/>
    </row>
    <row r="18" spans="1:14" ht="15" customHeight="1" x14ac:dyDescent="0.3">
      <c r="A18" s="6" t="s">
        <v>192</v>
      </c>
      <c r="B18" s="6"/>
      <c r="C18" s="8">
        <f>'Operating Case'!K$78</f>
        <v>-992963.37857920036</v>
      </c>
      <c r="D18" s="13"/>
      <c r="E18" s="23" t="s">
        <v>180</v>
      </c>
      <c r="F18" s="23" t="s">
        <v>178</v>
      </c>
      <c r="G18" s="23" t="s">
        <v>184</v>
      </c>
      <c r="H18" s="13"/>
      <c r="I18" s="13"/>
      <c r="J18" s="13"/>
      <c r="K18" s="13"/>
      <c r="L18" s="13"/>
      <c r="M18" s="13"/>
      <c r="N18" s="13"/>
    </row>
    <row r="19" spans="1:14" ht="15" customHeight="1" x14ac:dyDescent="0.3">
      <c r="A19" s="56" t="s">
        <v>37</v>
      </c>
      <c r="B19" s="6"/>
      <c r="C19" s="57">
        <f>'Operating Case'!K$79</f>
        <v>2910357.7800856186</v>
      </c>
      <c r="D19" s="13"/>
      <c r="E19" s="13"/>
      <c r="F19" s="13"/>
      <c r="G19" s="13"/>
      <c r="H19" s="13"/>
      <c r="I19" s="13"/>
      <c r="J19" s="13"/>
      <c r="K19" s="13"/>
      <c r="L19" s="13"/>
      <c r="M19" s="13"/>
      <c r="N19" s="13"/>
    </row>
    <row r="20" spans="1:14" ht="15" customHeight="1" x14ac:dyDescent="0.3">
      <c r="A20" s="48" t="s">
        <v>193</v>
      </c>
      <c r="B20" s="2"/>
      <c r="C20" s="58">
        <f>C19-SUM(C5:C18)</f>
        <v>0</v>
      </c>
      <c r="D20" s="2"/>
      <c r="E20" s="2"/>
      <c r="F20" s="2"/>
      <c r="G20" s="2"/>
      <c r="H20" s="2"/>
      <c r="I20" s="2"/>
      <c r="J20" s="2"/>
      <c r="K20" s="2"/>
      <c r="L20" s="2"/>
      <c r="M20" s="2"/>
      <c r="N20" s="2"/>
    </row>
    <row r="21" spans="1:14" ht="15" customHeight="1" x14ac:dyDescent="0.3">
      <c r="A21" s="22" t="s">
        <v>194</v>
      </c>
      <c r="B21" s="10"/>
      <c r="C21" s="59">
        <f>'Org &amp; Capacity'!$D$259</f>
        <v>1532367.5516980598</v>
      </c>
      <c r="D21" s="10"/>
      <c r="E21" s="10"/>
      <c r="F21" s="10"/>
      <c r="G21" s="10"/>
      <c r="H21" s="10"/>
      <c r="I21" s="10"/>
      <c r="J21" s="10"/>
      <c r="K21" s="10"/>
      <c r="L21" s="10"/>
      <c r="M21" s="10"/>
      <c r="N21" s="10"/>
    </row>
    <row r="22" spans="1:14" ht="15" customHeight="1" x14ac:dyDescent="0.3">
      <c r="A22" s="21"/>
      <c r="B22" s="10"/>
      <c r="C22" s="10"/>
      <c r="D22" s="21"/>
      <c r="E22" s="21"/>
      <c r="F22" s="21"/>
      <c r="G22" s="21"/>
      <c r="H22" s="21"/>
      <c r="I22" s="21"/>
      <c r="J22" s="21"/>
      <c r="K22" s="21"/>
      <c r="L22" s="21"/>
      <c r="M22" s="21"/>
      <c r="N22" s="21"/>
    </row>
    <row r="23" spans="1:14" ht="15" customHeight="1" x14ac:dyDescent="0.3">
      <c r="A23" s="1" t="s">
        <v>195</v>
      </c>
      <c r="B23" s="6"/>
      <c r="C23" s="6"/>
      <c r="D23" s="13"/>
      <c r="E23" s="13"/>
      <c r="F23" s="13"/>
      <c r="G23" s="13"/>
      <c r="H23" s="13"/>
      <c r="I23" s="13"/>
      <c r="J23" s="13"/>
      <c r="K23" s="13"/>
      <c r="L23" s="13"/>
      <c r="M23" s="13"/>
      <c r="N23" s="13"/>
    </row>
    <row r="24" spans="1:14" ht="15" customHeight="1" x14ac:dyDescent="0.3">
      <c r="A24" s="6" t="s">
        <v>196</v>
      </c>
      <c r="B24" s="6"/>
      <c r="C24" s="60">
        <f>C5</f>
        <v>5171512.0236327406</v>
      </c>
      <c r="D24" s="13"/>
      <c r="E24" s="13"/>
      <c r="F24" s="13"/>
      <c r="G24" s="13"/>
      <c r="H24" s="13"/>
      <c r="I24" s="13"/>
      <c r="J24" s="13"/>
      <c r="K24" s="13"/>
      <c r="L24" s="13"/>
      <c r="M24" s="13"/>
      <c r="N24" s="13"/>
    </row>
    <row r="25" spans="1:14" ht="15" customHeight="1" x14ac:dyDescent="0.3">
      <c r="A25" s="6" t="s">
        <v>197</v>
      </c>
      <c r="B25" s="6"/>
      <c r="C25" s="60">
        <f>C6+C16</f>
        <v>812885.66665339167</v>
      </c>
      <c r="D25" s="13"/>
      <c r="E25" s="13"/>
      <c r="F25" s="13"/>
      <c r="G25" s="13"/>
      <c r="H25" s="13"/>
      <c r="I25" s="13"/>
      <c r="J25" s="13"/>
      <c r="K25" s="13"/>
      <c r="L25" s="13"/>
      <c r="M25" s="13"/>
      <c r="N25" s="13"/>
    </row>
    <row r="26" spans="1:14" ht="15" customHeight="1" x14ac:dyDescent="0.3">
      <c r="A26" s="6" t="s">
        <v>198</v>
      </c>
      <c r="B26" s="6"/>
      <c r="C26" s="60">
        <f>C7+C11+C15</f>
        <v>8850194.5970154479</v>
      </c>
      <c r="D26" s="13"/>
      <c r="E26" s="13"/>
      <c r="F26" s="13"/>
      <c r="G26" s="13"/>
      <c r="H26" s="13"/>
      <c r="I26" s="13"/>
      <c r="J26" s="13"/>
      <c r="K26" s="13"/>
      <c r="L26" s="13"/>
      <c r="M26" s="13"/>
      <c r="N26" s="13"/>
    </row>
    <row r="27" spans="1:14" ht="15" customHeight="1" x14ac:dyDescent="0.3">
      <c r="A27" s="6" t="s">
        <v>199</v>
      </c>
      <c r="B27" s="6"/>
      <c r="C27" s="60">
        <f>C8+C9+C10+C13+C17+C18</f>
        <v>-11089836.255246423</v>
      </c>
      <c r="D27" s="13"/>
      <c r="E27" s="13"/>
      <c r="F27" s="13"/>
      <c r="G27" s="13"/>
      <c r="H27" s="13"/>
      <c r="I27" s="13"/>
      <c r="J27" s="13"/>
      <c r="K27" s="13"/>
      <c r="L27" s="13"/>
      <c r="M27" s="13"/>
      <c r="N27" s="13"/>
    </row>
    <row r="28" spans="1:14" ht="15" customHeight="1" x14ac:dyDescent="0.3">
      <c r="A28" s="6" t="s">
        <v>200</v>
      </c>
      <c r="B28" s="6"/>
      <c r="C28" s="60">
        <f>C12+C14</f>
        <v>-834398.25196954003</v>
      </c>
      <c r="D28" s="13"/>
      <c r="E28" s="13"/>
      <c r="F28" s="13"/>
      <c r="G28" s="13"/>
      <c r="H28" s="13"/>
      <c r="I28" s="13"/>
      <c r="J28" s="13"/>
      <c r="K28" s="13"/>
      <c r="L28" s="13"/>
      <c r="M28" s="13"/>
      <c r="N28" s="13"/>
    </row>
    <row r="29" spans="1:14" ht="15" customHeight="1" x14ac:dyDescent="0.3">
      <c r="A29" s="44" t="str">
        <f>" Case shown: Base   |   "&amp;Assumptions!$E$8&amp;"   |   "&amp;Assumptions!$E$9</f>
        <v xml:space="preserve"> Case shown: Base   |   FULL CASE   |   </v>
      </c>
      <c r="B29" s="6"/>
      <c r="C29" s="6"/>
      <c r="D29" s="13"/>
      <c r="E29" s="13"/>
      <c r="F29" s="13"/>
      <c r="G29" s="13"/>
      <c r="H29" s="13"/>
      <c r="I29" s="13"/>
      <c r="J29" s="13"/>
      <c r="K29" s="13"/>
      <c r="L29" s="13"/>
      <c r="M29" s="13"/>
      <c r="N29" s="13"/>
    </row>
    <row r="30" spans="1:14" ht="15" customHeight="1" x14ac:dyDescent="0.3">
      <c r="A30" s="6"/>
      <c r="B30" s="6"/>
      <c r="C30" s="6"/>
      <c r="D30" s="13"/>
      <c r="E30" s="13"/>
      <c r="F30" s="13"/>
      <c r="G30" s="13"/>
      <c r="H30" s="13"/>
      <c r="I30" s="13"/>
      <c r="J30" s="13"/>
      <c r="K30" s="13"/>
      <c r="L30" s="13"/>
      <c r="M30" s="13"/>
      <c r="N30" s="13"/>
    </row>
    <row r="31" spans="1:14" ht="15" customHeight="1" x14ac:dyDescent="0.3">
      <c r="A31" s="21" t="s">
        <v>201</v>
      </c>
      <c r="B31" s="6"/>
      <c r="C31" s="6"/>
      <c r="D31" s="40"/>
      <c r="E31" s="40"/>
      <c r="F31" s="40"/>
      <c r="G31" s="40"/>
      <c r="H31" s="40"/>
      <c r="I31" s="40"/>
      <c r="J31" s="40"/>
      <c r="K31" s="40"/>
      <c r="L31" s="40"/>
      <c r="M31" s="40"/>
      <c r="N31" s="40"/>
    </row>
    <row r="32" spans="1:14" ht="15" customHeight="1" x14ac:dyDescent="0.3">
      <c r="A32" s="21" t="s">
        <v>202</v>
      </c>
      <c r="B32" s="6"/>
      <c r="C32" s="6"/>
      <c r="D32" s="21" t="s">
        <v>203</v>
      </c>
      <c r="E32" s="21" t="s">
        <v>204</v>
      </c>
      <c r="F32" s="21" t="s">
        <v>205</v>
      </c>
      <c r="G32" s="21" t="s">
        <v>9</v>
      </c>
      <c r="H32" s="21" t="s">
        <v>206</v>
      </c>
      <c r="I32" s="21" t="s">
        <v>10</v>
      </c>
      <c r="J32" s="21" t="s">
        <v>207</v>
      </c>
      <c r="K32" s="21" t="s">
        <v>11</v>
      </c>
      <c r="L32" s="21" t="s">
        <v>208</v>
      </c>
      <c r="M32" s="21" t="s">
        <v>209</v>
      </c>
      <c r="N32" s="21" t="s">
        <v>12</v>
      </c>
    </row>
    <row r="33" spans="1:14" ht="15" customHeight="1" x14ac:dyDescent="0.3">
      <c r="A33" s="6" t="s">
        <v>13</v>
      </c>
      <c r="B33" s="6" t="s">
        <v>210</v>
      </c>
      <c r="C33" s="6" t="s">
        <v>211</v>
      </c>
      <c r="D33" s="13">
        <f>'Operating Case'!D$50</f>
        <v>7343.75</v>
      </c>
      <c r="E33" s="13">
        <f>'Operating Case'!E$50</f>
        <v>10097.65625</v>
      </c>
      <c r="F33" s="13">
        <f>'Operating Case'!F$50</f>
        <v>15888.496875000001</v>
      </c>
      <c r="G33" s="13">
        <f>'Operating Case'!G$50</f>
        <v>26492.360247687506</v>
      </c>
      <c r="H33" s="13">
        <f>'Operating Case'!H$50</f>
        <v>37328.003936633388</v>
      </c>
      <c r="I33" s="13">
        <f>'Operating Case'!I$50</f>
        <v>44168.302161476255</v>
      </c>
      <c r="J33" s="13">
        <f>'Operating Case'!J$50</f>
        <v>50000</v>
      </c>
      <c r="K33" s="13">
        <f>'Operating Case'!K$50</f>
        <v>50000</v>
      </c>
      <c r="L33" s="13">
        <f>'Operating Case'!L$50</f>
        <v>50000</v>
      </c>
      <c r="M33" s="13">
        <f>'Operating Case'!M$50</f>
        <v>50000</v>
      </c>
      <c r="N33" s="13">
        <f>'Operating Case'!N$50</f>
        <v>50000</v>
      </c>
    </row>
    <row r="34" spans="1:14" ht="15" customHeight="1" x14ac:dyDescent="0.3">
      <c r="A34" s="6" t="s">
        <v>14</v>
      </c>
      <c r="B34" s="6" t="s">
        <v>212</v>
      </c>
      <c r="C34" s="6" t="s">
        <v>211</v>
      </c>
      <c r="D34" s="15">
        <f>'Operating Case'!D$51</f>
        <v>29.375</v>
      </c>
      <c r="E34" s="15">
        <f>'Operating Case'!E$51</f>
        <v>40.390625</v>
      </c>
      <c r="F34" s="15">
        <f>'Operating Case'!F$51</f>
        <v>63.553987500000005</v>
      </c>
      <c r="G34" s="15">
        <f>'Operating Case'!G$51</f>
        <v>105.96944099075003</v>
      </c>
      <c r="H34" s="15">
        <f>'Operating Case'!H$51</f>
        <v>149.31201574653355</v>
      </c>
      <c r="I34" s="15">
        <f>'Operating Case'!I$51</f>
        <v>176.67320864590502</v>
      </c>
      <c r="J34" s="15">
        <f>'Operating Case'!J$51</f>
        <v>200</v>
      </c>
      <c r="K34" s="15">
        <f>'Operating Case'!K$51</f>
        <v>200</v>
      </c>
      <c r="L34" s="15">
        <f>'Operating Case'!L$51</f>
        <v>200</v>
      </c>
      <c r="M34" s="15">
        <f>'Operating Case'!M$51</f>
        <v>200</v>
      </c>
      <c r="N34" s="15">
        <f>'Operating Case'!N$51</f>
        <v>200</v>
      </c>
    </row>
    <row r="35" spans="1:14" ht="15" customHeight="1" x14ac:dyDescent="0.3">
      <c r="A35" s="6" t="s">
        <v>15</v>
      </c>
      <c r="B35" s="6" t="s">
        <v>213</v>
      </c>
      <c r="C35" s="6" t="s">
        <v>214</v>
      </c>
      <c r="D35" s="15">
        <f>'Operating Case'!D$52</f>
        <v>5.6400000000000006</v>
      </c>
      <c r="E35" s="15">
        <f>'Operating Case'!E$52</f>
        <v>6.9425714285714291</v>
      </c>
      <c r="F35" s="15">
        <f>'Operating Case'!F$52</f>
        <v>10.412685312000001</v>
      </c>
      <c r="G35" s="15">
        <f>'Operating Case'!G$52</f>
        <v>14.769785197644094</v>
      </c>
      <c r="H35" s="15">
        <f>'Operating Case'!H$52</f>
        <v>20.93212258846642</v>
      </c>
      <c r="I35" s="15">
        <f>'Operating Case'!I$52</f>
        <v>24.875587777343423</v>
      </c>
      <c r="J35" s="15">
        <f>'Operating Case'!J$52</f>
        <v>28.254814814814811</v>
      </c>
      <c r="K35" s="15">
        <f>'Operating Case'!K$52</f>
        <v>28.330666666666662</v>
      </c>
      <c r="L35" s="15">
        <f>'Operating Case'!L$52</f>
        <v>28.330666666666662</v>
      </c>
      <c r="M35" s="15">
        <f>'Operating Case'!M$52</f>
        <v>28.330666666666662</v>
      </c>
      <c r="N35" s="15">
        <f>'Operating Case'!N$52</f>
        <v>28.330666666666662</v>
      </c>
    </row>
    <row r="36" spans="1:14" ht="15" customHeight="1" x14ac:dyDescent="0.3">
      <c r="A36" s="6" t="s">
        <v>215</v>
      </c>
      <c r="B36" s="6" t="s">
        <v>216</v>
      </c>
      <c r="C36" s="6" t="s">
        <v>217</v>
      </c>
      <c r="D36" s="54">
        <f>'Operating Case'!D$53</f>
        <v>0.76250000000000018</v>
      </c>
      <c r="E36" s="54">
        <f>'Operating Case'!E$53</f>
        <v>1.1695535714285716</v>
      </c>
      <c r="F36" s="54">
        <f>'Operating Case'!F$53</f>
        <v>2.2539641600000002</v>
      </c>
      <c r="G36" s="54">
        <f>'Operating Case'!G$53</f>
        <v>3.6155578742637795</v>
      </c>
      <c r="H36" s="54">
        <f>'Operating Case'!H$53</f>
        <v>5.5412883088957567</v>
      </c>
      <c r="I36" s="54">
        <f>'Operating Case'!I$53</f>
        <v>6.7736211804198199</v>
      </c>
      <c r="J36" s="54">
        <f>'Operating Case'!J$53</f>
        <v>7.8296296296296291</v>
      </c>
      <c r="K36" s="54">
        <f>'Operating Case'!K$53</f>
        <v>7.8533333333333317</v>
      </c>
      <c r="L36" s="54">
        <f>'Operating Case'!L$53</f>
        <v>7.8533333333333317</v>
      </c>
      <c r="M36" s="54">
        <f>'Operating Case'!M$53</f>
        <v>7.8533333333333317</v>
      </c>
      <c r="N36" s="54">
        <f>'Operating Case'!N$53</f>
        <v>7.8533333333333317</v>
      </c>
    </row>
    <row r="37" spans="1:14" ht="15" customHeight="1" x14ac:dyDescent="0.3">
      <c r="A37" s="6" t="s">
        <v>16</v>
      </c>
      <c r="B37" s="6" t="s">
        <v>218</v>
      </c>
      <c r="C37" s="6" t="s">
        <v>211</v>
      </c>
      <c r="D37" s="13">
        <f>'Operating Case'!D$54</f>
        <v>4799015.3714879304</v>
      </c>
      <c r="E37" s="13">
        <f>'Operating Case'!E$54</f>
        <v>6598646.1357959034</v>
      </c>
      <c r="F37" s="13">
        <f>'Operating Case'!F$54</f>
        <v>10382861.716828996</v>
      </c>
      <c r="G37" s="13">
        <f>'Operating Case'!G$54</f>
        <v>17312305.573535062</v>
      </c>
      <c r="H37" s="13">
        <f>'Operating Case'!H$54</f>
        <v>24393213.913717866</v>
      </c>
      <c r="I37" s="13">
        <f>'Operating Case'!I$54</f>
        <v>28863232.136912081</v>
      </c>
      <c r="J37" s="13">
        <f>'Operating Case'!J$54</f>
        <v>32674147.210130587</v>
      </c>
      <c r="K37" s="13">
        <f>'Operating Case'!K$54</f>
        <v>32674147.210130587</v>
      </c>
      <c r="L37" s="13">
        <f>'Operating Case'!L$54</f>
        <v>32674147.210130587</v>
      </c>
      <c r="M37" s="13">
        <f>'Operating Case'!M$54</f>
        <v>32674147.210130587</v>
      </c>
      <c r="N37" s="13">
        <f>'Operating Case'!N$54</f>
        <v>32674147.210130587</v>
      </c>
    </row>
    <row r="38" spans="1:14" ht="15" customHeight="1" x14ac:dyDescent="0.3">
      <c r="A38" s="6" t="s">
        <v>82</v>
      </c>
      <c r="B38" s="6" t="s">
        <v>218</v>
      </c>
      <c r="C38" s="6" t="s">
        <v>211</v>
      </c>
      <c r="D38" s="13">
        <f>'Operating Case'!D$55</f>
        <v>940000</v>
      </c>
      <c r="E38" s="13">
        <f>'Operating Case'!E$55</f>
        <v>1292500</v>
      </c>
      <c r="F38" s="13">
        <f>'Operating Case'!F$55</f>
        <v>1913840</v>
      </c>
      <c r="G38" s="13">
        <f>'Operating Case'!G$55</f>
        <v>3067380.74</v>
      </c>
      <c r="H38" s="13">
        <f>'Operating Case'!H$55</f>
        <v>4170543.85414</v>
      </c>
      <c r="I38" s="13">
        <f>'Operating Case'!I$55</f>
        <v>4535737.9511215407</v>
      </c>
      <c r="J38" s="13">
        <f>'Operating Case'!J$55</f>
        <v>4868429.7734717233</v>
      </c>
      <c r="K38" s="13">
        <f>'Operating Case'!K$55</f>
        <v>5171512.0236327406</v>
      </c>
      <c r="L38" s="13">
        <f>'Operating Case'!L$55</f>
        <v>5095119.9535294268</v>
      </c>
      <c r="M38" s="13">
        <f>'Operating Case'!M$55</f>
        <v>4641654.2776653077</v>
      </c>
      <c r="N38" s="13">
        <f>'Operating Case'!N$55</f>
        <v>4228547.0469530951</v>
      </c>
    </row>
    <row r="39" spans="1:14" ht="15" customHeight="1" x14ac:dyDescent="0.3">
      <c r="A39" s="6" t="s">
        <v>83</v>
      </c>
      <c r="B39" s="6" t="s">
        <v>218</v>
      </c>
      <c r="C39" s="6" t="s">
        <v>211</v>
      </c>
      <c r="D39" s="13">
        <f>'Operating Case'!D$76</f>
        <v>-416363.33564972575</v>
      </c>
      <c r="E39" s="13">
        <f>'Operating Case'!E$76</f>
        <v>-314237.59088941268</v>
      </c>
      <c r="F39" s="13">
        <f>'Operating Case'!F$76</f>
        <v>619888.54838858498</v>
      </c>
      <c r="G39" s="13">
        <f>'Operating Case'!G$76</f>
        <v>1893784.4137191218</v>
      </c>
      <c r="H39" s="13">
        <f>'Operating Case'!H$76</f>
        <v>3379256.7652573627</v>
      </c>
      <c r="I39" s="13">
        <f>'Operating Case'!I$76</f>
        <v>4732208.3449837342</v>
      </c>
      <c r="J39" s="13">
        <f>'Operating Case'!J$76</f>
        <v>5366816.9622349702</v>
      </c>
      <c r="K39" s="13">
        <f>'Operating Case'!K$76</f>
        <v>5875761.3720322838</v>
      </c>
      <c r="L39" s="13">
        <f>'Operating Case'!L$76</f>
        <v>6522430.1942221401</v>
      </c>
      <c r="M39" s="13">
        <f>'Operating Case'!M$76</f>
        <v>5774620.3531437591</v>
      </c>
      <c r="N39" s="13">
        <f>'Operating Case'!N$76</f>
        <v>4979305.5780741982</v>
      </c>
    </row>
    <row r="40" spans="1:14" ht="15" customHeight="1" x14ac:dyDescent="0.3">
      <c r="A40" s="1" t="s">
        <v>18</v>
      </c>
      <c r="B40" s="6" t="s">
        <v>218</v>
      </c>
      <c r="C40" s="6" t="s">
        <v>211</v>
      </c>
      <c r="D40" s="26">
        <f>'Operating Case'!D$79</f>
        <v>-2562538.5500947256</v>
      </c>
      <c r="E40" s="26">
        <f>'Operating Case'!E$79</f>
        <v>-2666125.2168344129</v>
      </c>
      <c r="F40" s="26">
        <f>'Operating Case'!F$79</f>
        <v>-1823555.7063347653</v>
      </c>
      <c r="G40" s="26">
        <f>'Operating Case'!G$79</f>
        <v>-645223.16864592896</v>
      </c>
      <c r="H40" s="26">
        <f>'Operating Case'!H$79</f>
        <v>740483.35542136035</v>
      </c>
      <c r="I40" s="26">
        <f>'Operating Case'!I$79</f>
        <v>1989260.3968526518</v>
      </c>
      <c r="J40" s="26">
        <f>'Operating Case'!J$79</f>
        <v>2515068.5594999553</v>
      </c>
      <c r="K40" s="26">
        <f>'Operating Case'!K$79</f>
        <v>2910357.7800856186</v>
      </c>
      <c r="L40" s="26">
        <f>'Operating Case'!L$79</f>
        <v>3438275.5931596989</v>
      </c>
      <c r="M40" s="26">
        <f>'Operating Case'!M$79</f>
        <v>2566364.8786106259</v>
      </c>
      <c r="N40" s="26">
        <f>'Operating Case'!N$79</f>
        <v>1641331.6297399232</v>
      </c>
    </row>
    <row r="41" spans="1:14" ht="15" customHeight="1" x14ac:dyDescent="0.3">
      <c r="A41" s="6" t="s">
        <v>84</v>
      </c>
      <c r="B41" s="6" t="s">
        <v>219</v>
      </c>
      <c r="C41" s="6" t="s">
        <v>211</v>
      </c>
      <c r="D41" s="13">
        <f>'Operating Case'!D$84</f>
        <v>19</v>
      </c>
      <c r="E41" s="13">
        <f>'Operating Case'!E$84</f>
        <v>27.407813000000001</v>
      </c>
      <c r="F41" s="13">
        <f>'Operating Case'!F$84</f>
        <v>31.871079999999999</v>
      </c>
      <c r="G41" s="13">
        <f>'Operating Case'!G$84</f>
        <v>43.719389</v>
      </c>
      <c r="H41" s="13">
        <f>'Operating Case'!H$84</f>
        <v>57.586241000000001</v>
      </c>
      <c r="I41" s="13">
        <f>'Operating Case'!I$84</f>
        <v>63.133465000000001</v>
      </c>
      <c r="J41" s="13">
        <f>'Operating Case'!J$84</f>
        <v>68.599999999999994</v>
      </c>
      <c r="K41" s="13">
        <f>'Operating Case'!K$84</f>
        <v>68.599999999999994</v>
      </c>
      <c r="L41" s="13">
        <f>'Operating Case'!L$84</f>
        <v>68.599999999999994</v>
      </c>
      <c r="M41" s="13">
        <f>'Operating Case'!M$84</f>
        <v>68.599999999999994</v>
      </c>
      <c r="N41" s="13">
        <f>'Operating Case'!N$84</f>
        <v>68.599999999999994</v>
      </c>
    </row>
    <row r="42" spans="1:14" ht="15" customHeight="1" x14ac:dyDescent="0.3">
      <c r="A42" s="6" t="s">
        <v>86</v>
      </c>
      <c r="B42" s="6" t="s">
        <v>219</v>
      </c>
      <c r="C42" s="6" t="s">
        <v>220</v>
      </c>
      <c r="D42" s="13">
        <f>'Org &amp; Capacity'!D$199</f>
        <v>178</v>
      </c>
      <c r="E42" s="13">
        <f>'Org &amp; Capacity'!E$199</f>
        <v>244</v>
      </c>
      <c r="F42" s="13">
        <f>'Org &amp; Capacity'!F$199</f>
        <v>382</v>
      </c>
      <c r="G42" s="13">
        <f>'Org &amp; Capacity'!G$199</f>
        <v>633</v>
      </c>
      <c r="H42" s="13">
        <f>'Org &amp; Capacity'!H$199</f>
        <v>894</v>
      </c>
      <c r="I42" s="13">
        <f>'Org &amp; Capacity'!I$199</f>
        <v>1056</v>
      </c>
      <c r="J42" s="13">
        <f>'Org &amp; Capacity'!J$199</f>
        <v>1193</v>
      </c>
      <c r="K42" s="13">
        <f>'Org &amp; Capacity'!K$199</f>
        <v>1193</v>
      </c>
      <c r="L42" s="13">
        <f>'Org &amp; Capacity'!L$199</f>
        <v>1193</v>
      </c>
      <c r="M42" s="13">
        <f>'Org &amp; Capacity'!M$199</f>
        <v>1193</v>
      </c>
      <c r="N42" s="13">
        <f>'Org &amp; Capacity'!N$199</f>
        <v>1193</v>
      </c>
    </row>
    <row r="43" spans="1:14" ht="15" customHeight="1" x14ac:dyDescent="0.3">
      <c r="A43" s="6" t="s">
        <v>221</v>
      </c>
      <c r="B43" s="6" t="s">
        <v>218</v>
      </c>
      <c r="C43" s="6" t="s">
        <v>222</v>
      </c>
      <c r="D43" s="13">
        <f>'Operating Case'!D$81</f>
        <v>-183593.75</v>
      </c>
      <c r="E43" s="13">
        <f>'Operating Case'!E$81</f>
        <v>-252441.40625</v>
      </c>
      <c r="F43" s="13">
        <f>'Operating Case'!F$81</f>
        <v>-397212.421875</v>
      </c>
      <c r="G43" s="13">
        <f>'Operating Case'!G$81</f>
        <v>-662309.00619218766</v>
      </c>
      <c r="H43" s="13">
        <f>'Operating Case'!H$81</f>
        <v>-933200.09841583471</v>
      </c>
      <c r="I43" s="13">
        <f>'Operating Case'!I$81</f>
        <v>-1104207.5540369065</v>
      </c>
      <c r="J43" s="13">
        <f>'Operating Case'!J$81</f>
        <v>-1250000</v>
      </c>
      <c r="K43" s="13">
        <f>'Operating Case'!K$81</f>
        <v>-1250000</v>
      </c>
      <c r="L43" s="13">
        <f>'Operating Case'!L$81</f>
        <v>-1250000</v>
      </c>
      <c r="M43" s="13">
        <f>'Operating Case'!M$81</f>
        <v>-1250000</v>
      </c>
      <c r="N43" s="13">
        <f>'Operating Case'!N$81</f>
        <v>-1250000</v>
      </c>
    </row>
    <row r="44" spans="1:14" ht="15" customHeight="1" x14ac:dyDescent="0.3">
      <c r="A44" s="6" t="s">
        <v>223</v>
      </c>
      <c r="B44" s="6" t="s">
        <v>218</v>
      </c>
      <c r="C44" s="6" t="s">
        <v>211</v>
      </c>
      <c r="D44" s="13">
        <f>'Transaction &amp; Liquidity'!D$117</f>
        <v>-600000</v>
      </c>
      <c r="E44" s="13">
        <f>'Transaction &amp; Liquidity'!E$117</f>
        <v>-150000</v>
      </c>
      <c r="F44" s="13">
        <f>'Transaction &amp; Liquidity'!F$117</f>
        <v>690882.59595316928</v>
      </c>
      <c r="G44" s="13">
        <f>'Transaction &amp; Liquidity'!G$117</f>
        <v>5901794.3363578524</v>
      </c>
      <c r="H44" s="13">
        <f>'Transaction &amp; Liquidity'!H$117</f>
        <v>6995206.0767625347</v>
      </c>
      <c r="I44" s="13">
        <f>'Transaction &amp; Liquidity'!I$117</f>
        <v>7083617.8171672188</v>
      </c>
      <c r="J44" s="13">
        <f>'Transaction &amp; Liquidity'!J$117</f>
        <v>7517029.557571901</v>
      </c>
      <c r="K44" s="13">
        <f>'Transaction &amp; Liquidity'!K$117</f>
        <v>7845441.2979765851</v>
      </c>
      <c r="L44" s="13">
        <f>'Transaction &amp; Liquidity'!L$117</f>
        <v>5443853.0383812673</v>
      </c>
      <c r="M44" s="13">
        <f>'Transaction &amp; Liquidity'!M$117</f>
        <v>4167264.7787859505</v>
      </c>
      <c r="N44" s="13">
        <f>'Transaction &amp; Liquidity'!N$117</f>
        <v>2890676.5191906337</v>
      </c>
    </row>
    <row r="45" spans="1:14" ht="15" customHeight="1" x14ac:dyDescent="0.3">
      <c r="A45" s="6" t="s">
        <v>40</v>
      </c>
      <c r="B45" s="6" t="s">
        <v>218</v>
      </c>
      <c r="C45" s="6" t="s">
        <v>211</v>
      </c>
      <c r="D45" s="13">
        <f>'Transaction &amp; Liquidity'!D$116</f>
        <v>8437694.8000947256</v>
      </c>
      <c r="E45" s="13">
        <f>'Transaction &amp; Liquidity'!E$116</f>
        <v>14385597.360679138</v>
      </c>
      <c r="F45" s="13">
        <f>'Transaction &amp; Liquidity'!F$116</f>
        <v>19361698.309993509</v>
      </c>
      <c r="G45" s="13">
        <f>'Transaction &amp; Liquidity'!G$116</f>
        <v>27397568.392910842</v>
      </c>
      <c r="H45" s="13">
        <f>'Transaction &amp; Liquidity'!H$116</f>
        <v>30740365.076280661</v>
      </c>
      <c r="I45" s="13">
        <f>'Transaction &amp; Liquidity'!I$116</f>
        <v>33978631.188968435</v>
      </c>
      <c r="J45" s="13">
        <f>'Transaction &amp; Liquidity'!J$116</f>
        <v>36500103.991811424</v>
      </c>
      <c r="K45" s="13">
        <f>'Transaction &amp; Liquidity'!K$116</f>
        <v>38639176.836959675</v>
      </c>
      <c r="L45" s="13">
        <f>'Transaction &amp; Liquidity'!L$116</f>
        <v>39561543.484372288</v>
      </c>
      <c r="M45" s="13">
        <f>'Transaction &amp; Liquidity'!M$116</f>
        <v>40081419.961672425</v>
      </c>
      <c r="N45" s="13">
        <f>'Transaction &amp; Liquidity'!N$116</f>
        <v>41416303.803181708</v>
      </c>
    </row>
    <row r="46" spans="1:14" ht="15" customHeight="1" x14ac:dyDescent="0.3">
      <c r="A46" s="6"/>
      <c r="B46" s="6"/>
      <c r="C46" s="6"/>
      <c r="D46" s="13"/>
      <c r="E46" s="13"/>
      <c r="F46" s="13"/>
      <c r="G46" s="13"/>
      <c r="H46" s="13"/>
      <c r="I46" s="13"/>
      <c r="J46" s="13"/>
      <c r="K46" s="13"/>
      <c r="L46" s="13"/>
      <c r="M46" s="13"/>
      <c r="N46" s="13"/>
    </row>
    <row r="47" spans="1:14" ht="15" customHeight="1" x14ac:dyDescent="0.3">
      <c r="A47" s="21" t="s">
        <v>224</v>
      </c>
      <c r="B47" s="2"/>
      <c r="C47" s="2"/>
      <c r="D47" s="2"/>
      <c r="E47" s="2"/>
      <c r="F47" s="2"/>
      <c r="G47" s="2"/>
      <c r="H47" s="2"/>
      <c r="I47" s="2"/>
      <c r="J47" s="2"/>
      <c r="K47" s="2"/>
      <c r="L47" s="2"/>
      <c r="M47" s="2"/>
      <c r="N47" s="2"/>
    </row>
    <row r="48" spans="1:14" ht="15" customHeight="1" x14ac:dyDescent="0.3">
      <c r="A48" s="21" t="s">
        <v>202</v>
      </c>
      <c r="B48" s="10"/>
      <c r="C48" s="10"/>
      <c r="D48" s="21" t="s">
        <v>203</v>
      </c>
      <c r="E48" s="21" t="s">
        <v>204</v>
      </c>
      <c r="F48" s="21" t="s">
        <v>205</v>
      </c>
      <c r="G48" s="21" t="s">
        <v>9</v>
      </c>
      <c r="H48" s="21" t="s">
        <v>206</v>
      </c>
      <c r="I48" s="21" t="s">
        <v>10</v>
      </c>
      <c r="J48" s="21" t="s">
        <v>207</v>
      </c>
      <c r="K48" s="21" t="s">
        <v>11</v>
      </c>
      <c r="L48" s="21" t="s">
        <v>208</v>
      </c>
      <c r="M48" s="21" t="s">
        <v>209</v>
      </c>
      <c r="N48" s="21" t="s">
        <v>12</v>
      </c>
    </row>
    <row r="49" spans="1:14" ht="15" customHeight="1" x14ac:dyDescent="0.3">
      <c r="A49" s="6" t="s">
        <v>225</v>
      </c>
      <c r="B49" s="6" t="s">
        <v>218</v>
      </c>
      <c r="C49" s="6" t="s">
        <v>211</v>
      </c>
      <c r="D49" s="13">
        <f>'Revenue &amp; Durability'!D$81</f>
        <v>940000</v>
      </c>
      <c r="E49" s="13">
        <f>'Revenue &amp; Durability'!E$81</f>
        <v>940000</v>
      </c>
      <c r="F49" s="13">
        <f>'Revenue &amp; Durability'!F$81</f>
        <v>856340</v>
      </c>
      <c r="G49" s="13">
        <f>'Revenue &amp; Durability'!G$81</f>
        <v>780125.74</v>
      </c>
      <c r="H49" s="13">
        <f>'Revenue &amp; Durability'!H$81</f>
        <v>710694.54914000002</v>
      </c>
      <c r="I49" s="13">
        <f>'Revenue &amp; Durability'!I$81</f>
        <v>647442.73426654004</v>
      </c>
      <c r="J49" s="13">
        <f>'Revenue &amp; Durability'!J$81</f>
        <v>589820.330916818</v>
      </c>
      <c r="K49" s="13">
        <f>'Revenue &amp; Durability'!K$81</f>
        <v>537326.32146522123</v>
      </c>
      <c r="L49" s="13">
        <f>'Revenue &amp; Durability'!L$81</f>
        <v>489504.27885481651</v>
      </c>
      <c r="M49" s="13">
        <f>'Revenue &amp; Durability'!M$81</f>
        <v>445938.39803673793</v>
      </c>
      <c r="N49" s="13">
        <f>'Revenue &amp; Durability'!N$81</f>
        <v>406249.88061146828</v>
      </c>
    </row>
    <row r="50" spans="1:14" ht="15" customHeight="1" x14ac:dyDescent="0.3">
      <c r="A50" s="6" t="s">
        <v>226</v>
      </c>
      <c r="B50" s="6" t="s">
        <v>218</v>
      </c>
      <c r="C50" s="6" t="s">
        <v>211</v>
      </c>
      <c r="D50" s="13">
        <f>'Revenue &amp; Durability'!D$82</f>
        <v>0</v>
      </c>
      <c r="E50" s="13">
        <f>'Revenue &amp; Durability'!E$82</f>
        <v>352500</v>
      </c>
      <c r="F50" s="13">
        <f>'Revenue &amp; Durability'!F$82</f>
        <v>705000</v>
      </c>
      <c r="G50" s="13">
        <f>'Revenue &amp; Durability'!G$82</f>
        <v>642255</v>
      </c>
      <c r="H50" s="13">
        <f>'Revenue &amp; Durability'!H$82</f>
        <v>585094.30500000005</v>
      </c>
      <c r="I50" s="13">
        <f>'Revenue &amp; Durability'!I$82</f>
        <v>533020.91185500007</v>
      </c>
      <c r="J50" s="13">
        <f>'Revenue &amp; Durability'!J$82</f>
        <v>485582.05069990508</v>
      </c>
      <c r="K50" s="13">
        <f>'Revenue &amp; Durability'!K$82</f>
        <v>442365.24818761356</v>
      </c>
      <c r="L50" s="13">
        <f>'Revenue &amp; Durability'!L$82</f>
        <v>402994.74109891587</v>
      </c>
      <c r="M50" s="13">
        <f>'Revenue &amp; Durability'!M$82</f>
        <v>367128.2091411124</v>
      </c>
      <c r="N50" s="13">
        <f>'Revenue &amp; Durability'!N$82</f>
        <v>334453.79852755344</v>
      </c>
    </row>
    <row r="51" spans="1:14" ht="15" customHeight="1" x14ac:dyDescent="0.3">
      <c r="A51" s="6" t="s">
        <v>227</v>
      </c>
      <c r="B51" s="6" t="s">
        <v>218</v>
      </c>
      <c r="C51" s="6" t="s">
        <v>211</v>
      </c>
      <c r="D51" s="13">
        <f>'Revenue &amp; Durability'!D$83</f>
        <v>0</v>
      </c>
      <c r="E51" s="13">
        <f>'Revenue &amp; Durability'!E$83</f>
        <v>0</v>
      </c>
      <c r="F51" s="13">
        <f>'Revenue &amp; Durability'!F$83</f>
        <v>352500</v>
      </c>
      <c r="G51" s="13">
        <f>'Revenue &amp; Durability'!G$83</f>
        <v>705000</v>
      </c>
      <c r="H51" s="13">
        <f>'Revenue &amp; Durability'!H$83</f>
        <v>642255</v>
      </c>
      <c r="I51" s="13">
        <f>'Revenue &amp; Durability'!I$83</f>
        <v>585094.30500000005</v>
      </c>
      <c r="J51" s="13">
        <f>'Revenue &amp; Durability'!J$83</f>
        <v>533020.91185500007</v>
      </c>
      <c r="K51" s="13">
        <f>'Revenue &amp; Durability'!K$83</f>
        <v>485582.05069990508</v>
      </c>
      <c r="L51" s="13">
        <f>'Revenue &amp; Durability'!L$83</f>
        <v>442365.24818761356</v>
      </c>
      <c r="M51" s="13">
        <f>'Revenue &amp; Durability'!M$83</f>
        <v>402994.74109891587</v>
      </c>
      <c r="N51" s="13">
        <f>'Revenue &amp; Durability'!N$83</f>
        <v>367128.2091411124</v>
      </c>
    </row>
    <row r="52" spans="1:14" ht="15" customHeight="1" x14ac:dyDescent="0.3">
      <c r="A52" s="6" t="s">
        <v>228</v>
      </c>
      <c r="B52" s="6" t="s">
        <v>218</v>
      </c>
      <c r="C52" s="6" t="s">
        <v>211</v>
      </c>
      <c r="D52" s="13">
        <f>'Revenue &amp; Durability'!D$84</f>
        <v>0</v>
      </c>
      <c r="E52" s="13">
        <f>'Revenue &amp; Durability'!E$84</f>
        <v>0</v>
      </c>
      <c r="F52" s="13">
        <f>'Revenue &amp; Durability'!F$84</f>
        <v>0</v>
      </c>
      <c r="G52" s="13">
        <f>'Revenue &amp; Durability'!G$84</f>
        <v>940000</v>
      </c>
      <c r="H52" s="13">
        <f>'Revenue &amp; Durability'!H$84</f>
        <v>1880000</v>
      </c>
      <c r="I52" s="13">
        <f>'Revenue &amp; Durability'!I$84</f>
        <v>1712680</v>
      </c>
      <c r="J52" s="13">
        <f>'Revenue &amp; Durability'!J$84</f>
        <v>1560251.48</v>
      </c>
      <c r="K52" s="13">
        <f>'Revenue &amp; Durability'!K$84</f>
        <v>1421389.09828</v>
      </c>
      <c r="L52" s="13">
        <f>'Revenue &amp; Durability'!L$84</f>
        <v>1294885.4685330801</v>
      </c>
      <c r="M52" s="13">
        <f>'Revenue &amp; Durability'!M$84</f>
        <v>1179640.661833636</v>
      </c>
      <c r="N52" s="13">
        <f>'Revenue &amp; Durability'!N$84</f>
        <v>1074652.6429304425</v>
      </c>
    </row>
    <row r="53" spans="1:14" ht="15" customHeight="1" x14ac:dyDescent="0.3">
      <c r="A53" s="6" t="s">
        <v>229</v>
      </c>
      <c r="B53" s="6" t="s">
        <v>218</v>
      </c>
      <c r="C53" s="6" t="s">
        <v>211</v>
      </c>
      <c r="D53" s="13">
        <f>'Revenue &amp; Durability'!D$85</f>
        <v>0</v>
      </c>
      <c r="E53" s="13">
        <f>'Revenue &amp; Durability'!E$85</f>
        <v>0</v>
      </c>
      <c r="F53" s="13">
        <f>'Revenue &amp; Durability'!F$85</f>
        <v>0</v>
      </c>
      <c r="G53" s="13">
        <f>'Revenue &amp; Durability'!G$85</f>
        <v>0</v>
      </c>
      <c r="H53" s="13">
        <f>'Revenue &amp; Durability'!H$85</f>
        <v>352500</v>
      </c>
      <c r="I53" s="13">
        <f>'Revenue &amp; Durability'!I$85</f>
        <v>705000</v>
      </c>
      <c r="J53" s="13">
        <f>'Revenue &amp; Durability'!J$85</f>
        <v>642255</v>
      </c>
      <c r="K53" s="13">
        <f>'Revenue &amp; Durability'!K$85</f>
        <v>585094.30500000005</v>
      </c>
      <c r="L53" s="13">
        <f>'Revenue &amp; Durability'!L$85</f>
        <v>533020.91185500007</v>
      </c>
      <c r="M53" s="13">
        <f>'Revenue &amp; Durability'!M$85</f>
        <v>485582.05069990508</v>
      </c>
      <c r="N53" s="13">
        <f>'Revenue &amp; Durability'!N$85</f>
        <v>442365.24818761356</v>
      </c>
    </row>
    <row r="54" spans="1:14" ht="15" customHeight="1" x14ac:dyDescent="0.3">
      <c r="A54" s="6" t="s">
        <v>230</v>
      </c>
      <c r="B54" s="6" t="s">
        <v>218</v>
      </c>
      <c r="C54" s="6" t="s">
        <v>211</v>
      </c>
      <c r="D54" s="13">
        <f>'Revenue &amp; Durability'!D$86</f>
        <v>0</v>
      </c>
      <c r="E54" s="13">
        <f>'Revenue &amp; Durability'!E$86</f>
        <v>0</v>
      </c>
      <c r="F54" s="13">
        <f>'Revenue &amp; Durability'!F$86</f>
        <v>0</v>
      </c>
      <c r="G54" s="13">
        <f>'Revenue &amp; Durability'!G$86</f>
        <v>0</v>
      </c>
      <c r="H54" s="13">
        <f>'Revenue &amp; Durability'!H$86</f>
        <v>0</v>
      </c>
      <c r="I54" s="13">
        <f>'Revenue &amp; Durability'!I$86</f>
        <v>352500</v>
      </c>
      <c r="J54" s="13">
        <f>'Revenue &amp; Durability'!J$86</f>
        <v>705000</v>
      </c>
      <c r="K54" s="13">
        <f>'Revenue &amp; Durability'!K$86</f>
        <v>642255</v>
      </c>
      <c r="L54" s="13">
        <f>'Revenue &amp; Durability'!L$86</f>
        <v>585094.30500000005</v>
      </c>
      <c r="M54" s="13">
        <f>'Revenue &amp; Durability'!M$86</f>
        <v>533020.91185500007</v>
      </c>
      <c r="N54" s="13">
        <f>'Revenue &amp; Durability'!N$86</f>
        <v>485582.05069990508</v>
      </c>
    </row>
    <row r="55" spans="1:14" ht="15" customHeight="1" x14ac:dyDescent="0.3">
      <c r="A55" s="6" t="s">
        <v>231</v>
      </c>
      <c r="B55" s="6" t="s">
        <v>218</v>
      </c>
      <c r="C55" s="6" t="s">
        <v>211</v>
      </c>
      <c r="D55" s="13">
        <f>'Revenue &amp; Durability'!D$87</f>
        <v>0</v>
      </c>
      <c r="E55" s="13">
        <f>'Revenue &amp; Durability'!E$87</f>
        <v>0</v>
      </c>
      <c r="F55" s="13">
        <f>'Revenue &amp; Durability'!F$87</f>
        <v>0</v>
      </c>
      <c r="G55" s="13">
        <f>'Revenue &amp; Durability'!G$87</f>
        <v>0</v>
      </c>
      <c r="H55" s="13">
        <f>'Revenue &amp; Durability'!H$87</f>
        <v>0</v>
      </c>
      <c r="I55" s="13">
        <f>'Revenue &amp; Durability'!I$87</f>
        <v>0</v>
      </c>
      <c r="J55" s="13">
        <f>'Revenue &amp; Durability'!J$87</f>
        <v>352500</v>
      </c>
      <c r="K55" s="13">
        <f>'Revenue &amp; Durability'!K$87</f>
        <v>705000</v>
      </c>
      <c r="L55" s="13">
        <f>'Revenue &amp; Durability'!L$87</f>
        <v>642255</v>
      </c>
      <c r="M55" s="13">
        <f>'Revenue &amp; Durability'!M$87</f>
        <v>585094.30500000005</v>
      </c>
      <c r="N55" s="13">
        <f>'Revenue &amp; Durability'!N$87</f>
        <v>533020.91185500007</v>
      </c>
    </row>
    <row r="56" spans="1:14" ht="15" customHeight="1" x14ac:dyDescent="0.3">
      <c r="A56" s="6" t="s">
        <v>232</v>
      </c>
      <c r="B56" s="6" t="s">
        <v>218</v>
      </c>
      <c r="C56" s="6" t="s">
        <v>211</v>
      </c>
      <c r="D56" s="13">
        <f>'Revenue &amp; Durability'!D$88</f>
        <v>0</v>
      </c>
      <c r="E56" s="13">
        <f>'Revenue &amp; Durability'!E$88</f>
        <v>0</v>
      </c>
      <c r="F56" s="13">
        <f>'Revenue &amp; Durability'!F$88</f>
        <v>0</v>
      </c>
      <c r="G56" s="13">
        <f>'Revenue &amp; Durability'!G$88</f>
        <v>0</v>
      </c>
      <c r="H56" s="13">
        <f>'Revenue &amp; Durability'!H$88</f>
        <v>0</v>
      </c>
      <c r="I56" s="13">
        <f>'Revenue &amp; Durability'!I$88</f>
        <v>0</v>
      </c>
      <c r="J56" s="13">
        <f>'Revenue &amp; Durability'!J$88</f>
        <v>0</v>
      </c>
      <c r="K56" s="13">
        <f>'Revenue &amp; Durability'!K$88</f>
        <v>352500</v>
      </c>
      <c r="L56" s="13">
        <f>'Revenue &amp; Durability'!L$88</f>
        <v>705000</v>
      </c>
      <c r="M56" s="13">
        <f>'Revenue &amp; Durability'!M$88</f>
        <v>642255</v>
      </c>
      <c r="N56" s="13">
        <f>'Revenue &amp; Durability'!N$88</f>
        <v>585094.30500000005</v>
      </c>
    </row>
    <row r="57" spans="1:14" ht="15" customHeight="1" x14ac:dyDescent="0.3">
      <c r="A57" s="1" t="s">
        <v>233</v>
      </c>
      <c r="B57" s="6" t="s">
        <v>218</v>
      </c>
      <c r="C57" s="6" t="s">
        <v>211</v>
      </c>
      <c r="D57" s="40">
        <f t="shared" ref="D57:N57" si="0">SUM(D49:D56)</f>
        <v>940000</v>
      </c>
      <c r="E57" s="40">
        <f t="shared" si="0"/>
        <v>1292500</v>
      </c>
      <c r="F57" s="40">
        <f t="shared" si="0"/>
        <v>1913840</v>
      </c>
      <c r="G57" s="40">
        <f t="shared" si="0"/>
        <v>3067380.74</v>
      </c>
      <c r="H57" s="40">
        <f t="shared" si="0"/>
        <v>4170543.85414</v>
      </c>
      <c r="I57" s="40">
        <f t="shared" si="0"/>
        <v>4535737.9511215407</v>
      </c>
      <c r="J57" s="40">
        <f t="shared" si="0"/>
        <v>4868429.7734717233</v>
      </c>
      <c r="K57" s="40">
        <f t="shared" si="0"/>
        <v>5171512.0236327406</v>
      </c>
      <c r="L57" s="40">
        <f t="shared" si="0"/>
        <v>5095119.9535294268</v>
      </c>
      <c r="M57" s="40">
        <f t="shared" si="0"/>
        <v>4641654.2776653077</v>
      </c>
      <c r="N57" s="40">
        <f t="shared" si="0"/>
        <v>4228547.0469530951</v>
      </c>
    </row>
    <row r="58" spans="1:14" ht="15" customHeight="1" x14ac:dyDescent="0.3">
      <c r="A58" s="6" t="s">
        <v>234</v>
      </c>
      <c r="B58" s="6" t="s">
        <v>218</v>
      </c>
      <c r="C58" s="6" t="s">
        <v>211</v>
      </c>
      <c r="D58" s="13">
        <f>D57-'Operating Case'!D$55</f>
        <v>0</v>
      </c>
      <c r="E58" s="13">
        <f>E57-'Operating Case'!E$55</f>
        <v>0</v>
      </c>
      <c r="F58" s="13">
        <f>F57-'Operating Case'!F$55</f>
        <v>0</v>
      </c>
      <c r="G58" s="13">
        <f>G57-'Operating Case'!G$55</f>
        <v>0</v>
      </c>
      <c r="H58" s="13">
        <f>H57-'Operating Case'!H$55</f>
        <v>0</v>
      </c>
      <c r="I58" s="13">
        <f>I57-'Operating Case'!I$55</f>
        <v>0</v>
      </c>
      <c r="J58" s="13">
        <f>J57-'Operating Case'!J$55</f>
        <v>0</v>
      </c>
      <c r="K58" s="13">
        <f>K57-'Operating Case'!K$55</f>
        <v>0</v>
      </c>
      <c r="L58" s="13">
        <f>L57-'Operating Case'!L$55</f>
        <v>0</v>
      </c>
      <c r="M58" s="13">
        <f>M57-'Operating Case'!M$55</f>
        <v>0</v>
      </c>
      <c r="N58" s="13">
        <f>N57-'Operating Case'!N$55</f>
        <v>0</v>
      </c>
    </row>
    <row r="59" spans="1:14" ht="15" customHeight="1" x14ac:dyDescent="0.3">
      <c r="A59" s="6"/>
      <c r="B59" s="6"/>
      <c r="C59" s="6"/>
      <c r="D59" s="13"/>
      <c r="E59" s="13"/>
      <c r="F59" s="13"/>
      <c r="G59" s="13"/>
      <c r="H59" s="13"/>
      <c r="I59" s="13"/>
      <c r="J59" s="13"/>
      <c r="K59" s="13"/>
      <c r="L59" s="13"/>
      <c r="M59" s="13"/>
      <c r="N59" s="13"/>
    </row>
    <row r="60" spans="1:14" ht="15" customHeight="1" x14ac:dyDescent="0.3">
      <c r="A60" s="21" t="s">
        <v>235</v>
      </c>
      <c r="B60" s="6"/>
      <c r="C60" s="6"/>
      <c r="D60" s="40"/>
      <c r="E60" s="40"/>
      <c r="F60" s="40"/>
      <c r="G60" s="40"/>
      <c r="H60" s="40"/>
      <c r="I60" s="40"/>
      <c r="J60" s="40"/>
      <c r="K60" s="40"/>
      <c r="L60" s="40"/>
      <c r="M60" s="40"/>
      <c r="N60" s="40"/>
    </row>
    <row r="61" spans="1:14" ht="15" customHeight="1" x14ac:dyDescent="0.3">
      <c r="A61" s="6" t="s">
        <v>236</v>
      </c>
      <c r="B61" s="6"/>
      <c r="C61" s="6"/>
      <c r="D61" s="13"/>
      <c r="E61" s="13"/>
      <c r="F61" s="13"/>
      <c r="G61" s="13"/>
      <c r="H61" s="13"/>
      <c r="I61" s="13"/>
      <c r="J61" s="13"/>
      <c r="K61" s="13"/>
      <c r="L61" s="13"/>
      <c r="M61" s="13"/>
      <c r="N61" s="13"/>
    </row>
    <row r="62" spans="1:14" ht="15" customHeight="1" x14ac:dyDescent="0.3">
      <c r="A62" s="21" t="s">
        <v>202</v>
      </c>
      <c r="B62" s="6"/>
      <c r="C62" s="6"/>
      <c r="D62" s="21" t="s">
        <v>203</v>
      </c>
      <c r="E62" s="21" t="s">
        <v>204</v>
      </c>
      <c r="F62" s="21" t="s">
        <v>205</v>
      </c>
      <c r="G62" s="21" t="s">
        <v>9</v>
      </c>
      <c r="H62" s="21" t="s">
        <v>206</v>
      </c>
      <c r="I62" s="21" t="s">
        <v>10</v>
      </c>
      <c r="J62" s="21" t="s">
        <v>207</v>
      </c>
      <c r="K62" s="21" t="s">
        <v>11</v>
      </c>
      <c r="L62" s="21" t="s">
        <v>208</v>
      </c>
      <c r="M62" s="21" t="s">
        <v>209</v>
      </c>
      <c r="N62" s="21" t="s">
        <v>12</v>
      </c>
    </row>
    <row r="63" spans="1:14" ht="15" customHeight="1" x14ac:dyDescent="0.3">
      <c r="A63" s="6" t="s">
        <v>225</v>
      </c>
      <c r="B63" s="6" t="s">
        <v>218</v>
      </c>
      <c r="C63" s="6" t="s">
        <v>211</v>
      </c>
      <c r="D63" s="13">
        <f>'Revenue &amp; Durability'!D$81+IF(D57=0,0,'Revenue &amp; Durability'!D$81/D57*('Operating Case'!D$79-D57))</f>
        <v>-2562538.5500947256</v>
      </c>
      <c r="E63" s="13">
        <f>'Revenue &amp; Durability'!E$81+IF(E57=0,0,'Revenue &amp; Durability'!E$81/E57*('Operating Case'!E$79-E57))</f>
        <v>-1939000.1576977549</v>
      </c>
      <c r="F63" s="13">
        <f>'Revenue &amp; Durability'!F$81+IF(F57=0,0,'Revenue &amp; Durability'!F$81/F57*('Operating Case'!F$79-F57))</f>
        <v>-815942.65641992679</v>
      </c>
      <c r="G63" s="13">
        <f>'Revenue &amp; Durability'!G$81+IF(G57=0,0,'Revenue &amp; Durability'!G$81/G57*('Operating Case'!G$79-G57))</f>
        <v>-164099.35530372092</v>
      </c>
      <c r="H63" s="13">
        <f>'Revenue &amp; Durability'!H$81+IF(H57=0,0,'Revenue &amp; Durability'!H$81/H57*('Operating Case'!H$79-H57))</f>
        <v>126184.37854440848</v>
      </c>
      <c r="I63" s="13">
        <f>'Revenue &amp; Durability'!I$81+IF(I57=0,0,'Revenue &amp; Durability'!I$81/I57*('Operating Case'!I$79-I57))</f>
        <v>283952.07227259671</v>
      </c>
      <c r="J63" s="13">
        <f>'Revenue &amp; Durability'!J$81+IF(J57=0,0,'Revenue &amp; Durability'!J$81/J57*('Operating Case'!J$79-J57))</f>
        <v>304705.75505187875</v>
      </c>
      <c r="K63" s="13">
        <f>'Revenue &amp; Durability'!K$81+IF(K57=0,0,'Revenue &amp; Durability'!K$81/K57*('Operating Case'!K$79-K57))</f>
        <v>302389.67500699911</v>
      </c>
      <c r="L63" s="13">
        <f>'Revenue &amp; Durability'!L$81+IF(L57=0,0,'Revenue &amp; Durability'!L$81/L57*('Operating Case'!L$79-L57))</f>
        <v>330326.00411456329</v>
      </c>
      <c r="M63" s="13">
        <f>'Revenue &amp; Durability'!M$81+IF(M57=0,0,'Revenue &amp; Durability'!M$81/M57*('Operating Case'!M$79-M57))</f>
        <v>246558.78578725358</v>
      </c>
      <c r="N63" s="13">
        <f>'Revenue &amp; Durability'!N$81+IF(N57=0,0,'Revenue &amp; Durability'!N$81/N57*('Operating Case'!N$79-N57))</f>
        <v>157687.9176752049</v>
      </c>
    </row>
    <row r="64" spans="1:14" ht="15" customHeight="1" x14ac:dyDescent="0.3">
      <c r="A64" s="6" t="s">
        <v>226</v>
      </c>
      <c r="B64" s="6" t="s">
        <v>218</v>
      </c>
      <c r="C64" s="6" t="s">
        <v>211</v>
      </c>
      <c r="D64" s="13">
        <f>'Revenue &amp; Durability'!D$82+IF(D57=0,0,'Revenue &amp; Durability'!D$82/D57*('Operating Case'!D$79-D57))</f>
        <v>0</v>
      </c>
      <c r="E64" s="13">
        <f>'Revenue &amp; Durability'!E$82+IF(E57=0,0,'Revenue &amp; Durability'!E$82/E57*('Operating Case'!E$79-E57))</f>
        <v>-727125.05913665798</v>
      </c>
      <c r="F64" s="13">
        <f>'Revenue &amp; Durability'!F$82+IF(F57=0,0,'Revenue &amp; Durability'!F$82/F57*('Operating Case'!F$79-F57))</f>
        <v>-671742.03327655885</v>
      </c>
      <c r="G64" s="13">
        <f>'Revenue &amp; Durability'!G$82+IF(G57=0,0,'Revenue &amp; Durability'!G$82/G57*('Operating Case'!G$79-G57))</f>
        <v>-135098.26177584042</v>
      </c>
      <c r="H64" s="13">
        <f>'Revenue &amp; Durability'!H$82+IF(H57=0,0,'Revenue &amp; Durability'!H$82/H57*('Operating Case'!H$79-H57))</f>
        <v>103883.95599155471</v>
      </c>
      <c r="I64" s="13">
        <f>'Revenue &amp; Durability'!I$82+IF(I57=0,0,'Revenue &amp; Durability'!I$82/I57*('Operating Case'!I$79-I57))</f>
        <v>233769.54358336719</v>
      </c>
      <c r="J64" s="13">
        <f>'Revenue &amp; Durability'!J$82+IF(J57=0,0,'Revenue &amp; Durability'!J$82/J57*('Operating Case'!J$79-J57))</f>
        <v>250855.45146971356</v>
      </c>
      <c r="K64" s="13">
        <f>'Revenue &amp; Durability'!K$82+IF(K57=0,0,'Revenue &amp; Durability'!K$82/K57*('Operating Case'!K$79-K57))</f>
        <v>248948.68963254595</v>
      </c>
      <c r="L64" s="13">
        <f>'Revenue &amp; Durability'!L$82+IF(L57=0,0,'Revenue &amp; Durability'!L$82/L57*('Operating Case'!L$79-L57))</f>
        <v>271947.86288246152</v>
      </c>
      <c r="M64" s="13">
        <f>'Revenue &amp; Durability'!M$82+IF(M57=0,0,'Revenue &amp; Durability'!M$82/M57*('Operating Case'!M$79-M57))</f>
        <v>202984.73034076858</v>
      </c>
      <c r="N64" s="13">
        <f>'Revenue &amp; Durability'!N$82+IF(N57=0,0,'Revenue &amp; Durability'!N$82/N57*('Operating Case'!N$79-N57))</f>
        <v>129819.91027047604</v>
      </c>
    </row>
    <row r="65" spans="1:14" ht="15" customHeight="1" x14ac:dyDescent="0.3">
      <c r="A65" s="6" t="s">
        <v>227</v>
      </c>
      <c r="B65" s="6" t="s">
        <v>218</v>
      </c>
      <c r="C65" s="6" t="s">
        <v>211</v>
      </c>
      <c r="D65" s="13">
        <f>'Revenue &amp; Durability'!D$83+IF(D57=0,0,'Revenue &amp; Durability'!D$83/D57*('Operating Case'!D$79-D57))</f>
        <v>0</v>
      </c>
      <c r="E65" s="13">
        <f>'Revenue &amp; Durability'!E$83+IF(E57=0,0,'Revenue &amp; Durability'!E$83/E57*('Operating Case'!E$79-E57))</f>
        <v>0</v>
      </c>
      <c r="F65" s="13">
        <f>'Revenue &amp; Durability'!F$83+IF(F57=0,0,'Revenue &amp; Durability'!F$83/F57*('Operating Case'!F$79-F57))</f>
        <v>-335871.01663827943</v>
      </c>
      <c r="G65" s="13">
        <f>'Revenue &amp; Durability'!G$83+IF(G57=0,0,'Revenue &amp; Durability'!G$83/G57*('Operating Case'!G$79-G57))</f>
        <v>-148296.66495701473</v>
      </c>
      <c r="H65" s="13">
        <f>'Revenue &amp; Durability'!H$83+IF(H57=0,0,'Revenue &amp; Durability'!H$83/H57*('Operating Case'!H$79-H57))</f>
        <v>114032.88253738172</v>
      </c>
      <c r="I65" s="13">
        <f>'Revenue &amp; Durability'!I$83+IF(I57=0,0,'Revenue &amp; Durability'!I$83/I57*('Operating Case'!I$79-I57))</f>
        <v>256607.62193563906</v>
      </c>
      <c r="J65" s="13">
        <f>'Revenue &amp; Durability'!J$83+IF(J57=0,0,'Revenue &amp; Durability'!J$83/J57*('Operating Case'!J$79-J57))</f>
        <v>275362.73487345065</v>
      </c>
      <c r="K65" s="13">
        <f>'Revenue &amp; Durability'!K$83+IF(K57=0,0,'Revenue &amp; Durability'!K$83/K57*('Operating Case'!K$79-K57))</f>
        <v>273269.6922420921</v>
      </c>
      <c r="L65" s="13">
        <f>'Revenue &amp; Durability'!L$83+IF(L57=0,0,'Revenue &amp; Durability'!L$83/L57*('Operating Case'!L$79-L57))</f>
        <v>298515.7660619776</v>
      </c>
      <c r="M65" s="13">
        <f>'Revenue &amp; Durability'!M$83+IF(M57=0,0,'Revenue &amp; Durability'!M$83/M57*('Operating Case'!M$79-M57))</f>
        <v>222815.29126319269</v>
      </c>
      <c r="N65" s="13">
        <f>'Revenue &amp; Durability'!N$83+IF(N57=0,0,'Revenue &amp; Durability'!N$83/N57*('Operating Case'!N$79-N57))</f>
        <v>142502.64574146655</v>
      </c>
    </row>
    <row r="66" spans="1:14" ht="15" customHeight="1" x14ac:dyDescent="0.3">
      <c r="A66" s="6" t="s">
        <v>228</v>
      </c>
      <c r="B66" s="6" t="s">
        <v>218</v>
      </c>
      <c r="C66" s="6" t="s">
        <v>211</v>
      </c>
      <c r="D66" s="13">
        <f>'Revenue &amp; Durability'!D$84+IF(D57=0,0,'Revenue &amp; Durability'!D$84/D57*('Operating Case'!D$79-D57))</f>
        <v>0</v>
      </c>
      <c r="E66" s="13">
        <f>'Revenue &amp; Durability'!E$84+IF(E57=0,0,'Revenue &amp; Durability'!E$84/E57*('Operating Case'!E$79-E57))</f>
        <v>0</v>
      </c>
      <c r="F66" s="13">
        <f>'Revenue &amp; Durability'!F$84+IF(F57=0,0,'Revenue &amp; Durability'!F$84/F57*('Operating Case'!F$79-F57))</f>
        <v>0</v>
      </c>
      <c r="G66" s="13">
        <f>'Revenue &amp; Durability'!G$84+IF(G57=0,0,'Revenue &amp; Durability'!G$84/G57*('Operating Case'!G$79-G57))</f>
        <v>-197728.88660935289</v>
      </c>
      <c r="H66" s="13">
        <f>'Revenue &amp; Durability'!H$84+IF(H57=0,0,'Revenue &amp; Durability'!H$84/H57*('Operating Case'!H$79-H57))</f>
        <v>333795.48492464446</v>
      </c>
      <c r="I66" s="13">
        <f>'Revenue &amp; Durability'!I$84+IF(I57=0,0,'Revenue &amp; Durability'!I$84/I57*('Operating Case'!I$79-I57))</f>
        <v>751138.30057998979</v>
      </c>
      <c r="J66" s="13">
        <f>'Revenue &amp; Durability'!J$84+IF(J57=0,0,'Revenue &amp; Durability'!J$84/J57*('Operating Case'!J$79-J57))</f>
        <v>806038.00914292177</v>
      </c>
      <c r="K66" s="13">
        <f>'Revenue &amp; Durability'!K$84+IF(K57=0,0,'Revenue &amp; Durability'!K$84/K57*('Operating Case'!K$79-K57))</f>
        <v>799911.28354801924</v>
      </c>
      <c r="L66" s="13">
        <f>'Revenue &amp; Durability'!L$84+IF(L57=0,0,'Revenue &amp; Durability'!L$84/L57*('Operating Case'!L$79-L57))</f>
        <v>873811.24350377615</v>
      </c>
      <c r="M66" s="13">
        <f>'Revenue &amp; Durability'!M$84+IF(M57=0,0,'Revenue &amp; Durability'!M$84/M57*('Operating Case'!M$79-M57))</f>
        <v>652221.85514289851</v>
      </c>
      <c r="N66" s="13">
        <f>'Revenue &amp; Durability'!N$84+IF(N57=0,0,'Revenue &amp; Durability'!N$84/N57*('Operating Case'!N$79-N57))</f>
        <v>417131.78409503563</v>
      </c>
    </row>
    <row r="67" spans="1:14" ht="15" customHeight="1" x14ac:dyDescent="0.3">
      <c r="A67" s="6" t="s">
        <v>229</v>
      </c>
      <c r="B67" s="6" t="s">
        <v>218</v>
      </c>
      <c r="C67" s="6" t="s">
        <v>211</v>
      </c>
      <c r="D67" s="13">
        <f>'Revenue &amp; Durability'!D$85+IF(D57=0,0,'Revenue &amp; Durability'!D$85/D57*('Operating Case'!D$79-D57))</f>
        <v>0</v>
      </c>
      <c r="E67" s="13">
        <f>'Revenue &amp; Durability'!E$85+IF(E57=0,0,'Revenue &amp; Durability'!E$85/E57*('Operating Case'!E$79-E57))</f>
        <v>0</v>
      </c>
      <c r="F67" s="13">
        <f>'Revenue &amp; Durability'!F$85+IF(F57=0,0,'Revenue &amp; Durability'!F$85/F57*('Operating Case'!F$79-F57))</f>
        <v>0</v>
      </c>
      <c r="G67" s="13">
        <f>'Revenue &amp; Durability'!G$85+IF(G57=0,0,'Revenue &amp; Durability'!G$85/G57*('Operating Case'!G$79-G57))</f>
        <v>0</v>
      </c>
      <c r="H67" s="13">
        <f>'Revenue &amp; Durability'!H$85+IF(H57=0,0,'Revenue &amp; Durability'!H$85/H57*('Operating Case'!H$79-H57))</f>
        <v>62586.653423370852</v>
      </c>
      <c r="I67" s="13">
        <f>'Revenue &amp; Durability'!I$85+IF(I57=0,0,'Revenue &amp; Durability'!I$85/I57*('Operating Case'!I$79-I57))</f>
        <v>309195.23898737237</v>
      </c>
      <c r="J67" s="13">
        <f>'Revenue &amp; Durability'!J$85+IF(J57=0,0,'Revenue &amp; Durability'!J$85/J57*('Operating Case'!J$79-J57))</f>
        <v>331793.91155718511</v>
      </c>
      <c r="K67" s="13">
        <f>'Revenue &amp; Durability'!K$85+IF(K57=0,0,'Revenue &amp; Durability'!K$85/K57*('Operating Case'!K$79-K57))</f>
        <v>329271.93340341083</v>
      </c>
      <c r="L67" s="13">
        <f>'Revenue &amp; Durability'!L$85+IF(L57=0,0,'Revenue &amp; Durability'!L$85/L57*('Operating Case'!L$79-L57))</f>
        <v>359691.78519639524</v>
      </c>
      <c r="M67" s="13">
        <f>'Revenue &amp; Durability'!M$85+IF(M57=0,0,'Revenue &amp; Durability'!M$85/M57*('Operating Case'!M$79-M57))</f>
        <v>268477.71205113828</v>
      </c>
      <c r="N67" s="13">
        <f>'Revenue &amp; Durability'!N$85+IF(N57=0,0,'Revenue &amp; Durability'!N$85/N57*('Operating Case'!N$79-N57))</f>
        <v>171706.27775591478</v>
      </c>
    </row>
    <row r="68" spans="1:14" ht="15" customHeight="1" x14ac:dyDescent="0.3">
      <c r="A68" s="6" t="s">
        <v>230</v>
      </c>
      <c r="B68" s="6" t="s">
        <v>218</v>
      </c>
      <c r="C68" s="6" t="s">
        <v>211</v>
      </c>
      <c r="D68" s="13">
        <f>'Revenue &amp; Durability'!D$86+IF(D57=0,0,'Revenue &amp; Durability'!D$86/D57*('Operating Case'!D$79-D57))</f>
        <v>0</v>
      </c>
      <c r="E68" s="13">
        <f>'Revenue &amp; Durability'!E$86+IF(E57=0,0,'Revenue &amp; Durability'!E$86/E57*('Operating Case'!E$79-E57))</f>
        <v>0</v>
      </c>
      <c r="F68" s="13">
        <f>'Revenue &amp; Durability'!F$86+IF(F57=0,0,'Revenue &amp; Durability'!F$86/F57*('Operating Case'!F$79-F57))</f>
        <v>0</v>
      </c>
      <c r="G68" s="13">
        <f>'Revenue &amp; Durability'!G$86+IF(G57=0,0,'Revenue &amp; Durability'!G$86/G57*('Operating Case'!G$79-G57))</f>
        <v>0</v>
      </c>
      <c r="H68" s="13">
        <f>'Revenue &amp; Durability'!H$86+IF(H57=0,0,'Revenue &amp; Durability'!H$86/H57*('Operating Case'!H$79-H57))</f>
        <v>0</v>
      </c>
      <c r="I68" s="13">
        <f>'Revenue &amp; Durability'!I$86+IF(I57=0,0,'Revenue &amp; Durability'!I$86/I57*('Operating Case'!I$79-I57))</f>
        <v>154597.61949368619</v>
      </c>
      <c r="J68" s="13">
        <f>'Revenue &amp; Durability'!J$86+IF(J57=0,0,'Revenue &amp; Durability'!J$86/J57*('Operating Case'!J$79-J57))</f>
        <v>364208.46493653691</v>
      </c>
      <c r="K68" s="13">
        <f>'Revenue &amp; Durability'!K$86+IF(K57=0,0,'Revenue &amp; Durability'!K$86/K57*('Operating Case'!K$79-K57))</f>
        <v>361440.10252844216</v>
      </c>
      <c r="L68" s="13">
        <f>'Revenue &amp; Durability'!L$86+IF(L57=0,0,'Revenue &amp; Durability'!L$86/L57*('Operating Case'!L$79-L57))</f>
        <v>394831.81690054364</v>
      </c>
      <c r="M68" s="13">
        <f>'Revenue &amp; Durability'!M$86+IF(M57=0,0,'Revenue &amp; Durability'!M$86/M57*('Operating Case'!M$79-M57))</f>
        <v>294706.59939751728</v>
      </c>
      <c r="N68" s="13">
        <f>'Revenue &amp; Durability'!N$86+IF(N57=0,0,'Revenue &amp; Durability'!N$86/N57*('Operating Case'!N$79-N57))</f>
        <v>188481.09523152007</v>
      </c>
    </row>
    <row r="69" spans="1:14" ht="15" customHeight="1" x14ac:dyDescent="0.3">
      <c r="A69" s="6" t="s">
        <v>231</v>
      </c>
      <c r="B69" s="6" t="s">
        <v>218</v>
      </c>
      <c r="C69" s="6" t="s">
        <v>211</v>
      </c>
      <c r="D69" s="13">
        <f>'Revenue &amp; Durability'!D$87+IF(D57=0,0,'Revenue &amp; Durability'!D$87/D57*('Operating Case'!D$79-D57))</f>
        <v>0</v>
      </c>
      <c r="E69" s="13">
        <f>'Revenue &amp; Durability'!E$87+IF(E57=0,0,'Revenue &amp; Durability'!E$87/E57*('Operating Case'!E$79-E57))</f>
        <v>0</v>
      </c>
      <c r="F69" s="13">
        <f>'Revenue &amp; Durability'!F$87+IF(F57=0,0,'Revenue &amp; Durability'!F$87/F57*('Operating Case'!F$79-F57))</f>
        <v>0</v>
      </c>
      <c r="G69" s="13">
        <f>'Revenue &amp; Durability'!G$87+IF(G57=0,0,'Revenue &amp; Durability'!G$87/G57*('Operating Case'!G$79-G57))</f>
        <v>0</v>
      </c>
      <c r="H69" s="13">
        <f>'Revenue &amp; Durability'!H$87+IF(H57=0,0,'Revenue &amp; Durability'!H$87/H57*('Operating Case'!H$79-H57))</f>
        <v>0</v>
      </c>
      <c r="I69" s="13">
        <f>'Revenue &amp; Durability'!I$87+IF(I57=0,0,'Revenue &amp; Durability'!I$87/I57*('Operating Case'!I$79-I57))</f>
        <v>0</v>
      </c>
      <c r="J69" s="13">
        <f>'Revenue &amp; Durability'!J$87+IF(J57=0,0,'Revenue &amp; Durability'!J$87/J57*('Operating Case'!J$79-J57))</f>
        <v>182104.23246826846</v>
      </c>
      <c r="K69" s="13">
        <f>'Revenue &amp; Durability'!K$87+IF(K57=0,0,'Revenue &amp; Durability'!K$87/K57*('Operating Case'!K$79-K57))</f>
        <v>396750.93581607257</v>
      </c>
      <c r="L69" s="13">
        <f>'Revenue &amp; Durability'!L$87+IF(L57=0,0,'Revenue &amp; Durability'!L$87/L57*('Operating Case'!L$79-L57))</f>
        <v>433404.8484089392</v>
      </c>
      <c r="M69" s="13">
        <f>'Revenue &amp; Durability'!M$87+IF(M57=0,0,'Revenue &amp; Durability'!M$87/M57*('Operating Case'!M$79-M57))</f>
        <v>323497.91371846024</v>
      </c>
      <c r="N69" s="13">
        <f>'Revenue &amp; Durability'!N$87+IF(N57=0,0,'Revenue &amp; Durability'!N$87/N57*('Operating Case'!N$79-N57))</f>
        <v>206894.72583042819</v>
      </c>
    </row>
    <row r="70" spans="1:14" ht="15" customHeight="1" x14ac:dyDescent="0.3">
      <c r="A70" s="6" t="s">
        <v>232</v>
      </c>
      <c r="B70" s="6" t="s">
        <v>218</v>
      </c>
      <c r="C70" s="6" t="s">
        <v>211</v>
      </c>
      <c r="D70" s="13">
        <f>'Revenue &amp; Durability'!D$88+IF(D57=0,0,'Revenue &amp; Durability'!D$88/D57*('Operating Case'!D$79-D57))</f>
        <v>0</v>
      </c>
      <c r="E70" s="13">
        <f>'Revenue &amp; Durability'!E$88+IF(E57=0,0,'Revenue &amp; Durability'!E$88/E57*('Operating Case'!E$79-E57))</f>
        <v>0</v>
      </c>
      <c r="F70" s="13">
        <f>'Revenue &amp; Durability'!F$88+IF(F57=0,0,'Revenue &amp; Durability'!F$88/F57*('Operating Case'!F$79-F57))</f>
        <v>0</v>
      </c>
      <c r="G70" s="13">
        <f>'Revenue &amp; Durability'!G$88+IF(G57=0,0,'Revenue &amp; Durability'!G$88/G57*('Operating Case'!G$79-G57))</f>
        <v>0</v>
      </c>
      <c r="H70" s="13">
        <f>'Revenue &amp; Durability'!H$88+IF(H57=0,0,'Revenue &amp; Durability'!H$88/H57*('Operating Case'!H$79-H57))</f>
        <v>0</v>
      </c>
      <c r="I70" s="13">
        <f>'Revenue &amp; Durability'!I$88+IF(I57=0,0,'Revenue &amp; Durability'!I$88/I57*('Operating Case'!I$79-I57))</f>
        <v>0</v>
      </c>
      <c r="J70" s="13">
        <f>'Revenue &amp; Durability'!J$88+IF(J57=0,0,'Revenue &amp; Durability'!J$88/J57*('Operating Case'!J$79-J57))</f>
        <v>0</v>
      </c>
      <c r="K70" s="13">
        <f>'Revenue &amp; Durability'!K$88+IF(K57=0,0,'Revenue &amp; Durability'!K$88/K57*('Operating Case'!K$79-K57))</f>
        <v>198375.46790803628</v>
      </c>
      <c r="L70" s="13">
        <f>'Revenue &amp; Durability'!L$88+IF(L57=0,0,'Revenue &amp; Durability'!L$88/L57*('Operating Case'!L$79-L57))</f>
        <v>475746.26609104191</v>
      </c>
      <c r="M70" s="13">
        <f>'Revenue &amp; Durability'!M$88+IF(M57=0,0,'Revenue &amp; Durability'!M$88/M57*('Operating Case'!M$79-M57))</f>
        <v>355101.9909093965</v>
      </c>
      <c r="N70" s="13">
        <f>'Revenue &amp; Durability'!N$88+IF(N57=0,0,'Revenue &amp; Durability'!N$88/N57*('Operating Case'!N$79-N57))</f>
        <v>227107.27313987724</v>
      </c>
    </row>
    <row r="71" spans="1:14" ht="15" customHeight="1" x14ac:dyDescent="0.3">
      <c r="A71" s="1" t="s">
        <v>237</v>
      </c>
      <c r="B71" s="6" t="s">
        <v>218</v>
      </c>
      <c r="C71" s="6" t="s">
        <v>211</v>
      </c>
      <c r="D71" s="40">
        <f t="shared" ref="D71:N71" si="1">SUM(D63:D70)</f>
        <v>-2562538.5500947256</v>
      </c>
      <c r="E71" s="40">
        <f t="shared" si="1"/>
        <v>-2666125.2168344129</v>
      </c>
      <c r="F71" s="40">
        <f t="shared" si="1"/>
        <v>-1823555.7063347651</v>
      </c>
      <c r="G71" s="40">
        <f t="shared" si="1"/>
        <v>-645223.16864592896</v>
      </c>
      <c r="H71" s="40">
        <f t="shared" si="1"/>
        <v>740483.35542136012</v>
      </c>
      <c r="I71" s="40">
        <f t="shared" si="1"/>
        <v>1989260.3968526511</v>
      </c>
      <c r="J71" s="40">
        <f t="shared" si="1"/>
        <v>2515068.5594999548</v>
      </c>
      <c r="K71" s="40">
        <f t="shared" si="1"/>
        <v>2910357.7800856181</v>
      </c>
      <c r="L71" s="40">
        <f t="shared" si="1"/>
        <v>3438275.5931596984</v>
      </c>
      <c r="M71" s="40">
        <f t="shared" si="1"/>
        <v>2566364.8786106259</v>
      </c>
      <c r="N71" s="40">
        <f t="shared" si="1"/>
        <v>1641331.6297399234</v>
      </c>
    </row>
    <row r="72" spans="1:14" ht="15" customHeight="1" x14ac:dyDescent="0.3">
      <c r="A72" s="6" t="s">
        <v>238</v>
      </c>
      <c r="B72" s="6" t="s">
        <v>218</v>
      </c>
      <c r="C72" s="6" t="s">
        <v>211</v>
      </c>
      <c r="D72" s="13">
        <f>D71-'Operating Case'!D$79</f>
        <v>0</v>
      </c>
      <c r="E72" s="13">
        <f>E71-'Operating Case'!E$79</f>
        <v>0</v>
      </c>
      <c r="F72" s="13">
        <f>F71-'Operating Case'!F$79</f>
        <v>0</v>
      </c>
      <c r="G72" s="13">
        <f>G71-'Operating Case'!G$79</f>
        <v>0</v>
      </c>
      <c r="H72" s="13">
        <f>H71-'Operating Case'!H$79</f>
        <v>0</v>
      </c>
      <c r="I72" s="13">
        <f>I71-'Operating Case'!I$79</f>
        <v>0</v>
      </c>
      <c r="J72" s="13">
        <f>J71-'Operating Case'!J$79</f>
        <v>0</v>
      </c>
      <c r="K72" s="13">
        <f>K71-'Operating Case'!K$79</f>
        <v>0</v>
      </c>
      <c r="L72" s="13">
        <f>L71-'Operating Case'!L$79</f>
        <v>0</v>
      </c>
      <c r="M72" s="13">
        <f>M71-'Operating Case'!M$79</f>
        <v>0</v>
      </c>
      <c r="N72" s="13">
        <f>N71-'Operating Case'!N$79</f>
        <v>0</v>
      </c>
    </row>
    <row r="73" spans="1:14" ht="15" customHeight="1" x14ac:dyDescent="0.3">
      <c r="A73" s="21"/>
      <c r="B73" s="10"/>
      <c r="C73" s="10"/>
      <c r="D73" s="10"/>
      <c r="E73" s="10"/>
      <c r="F73" s="10"/>
      <c r="G73" s="10"/>
      <c r="H73" s="10"/>
      <c r="I73" s="10"/>
      <c r="J73" s="10"/>
      <c r="K73" s="10"/>
      <c r="L73" s="10"/>
      <c r="M73" s="10"/>
      <c r="N73" s="10"/>
    </row>
    <row r="74" spans="1:14" ht="15" customHeight="1" x14ac:dyDescent="0.3">
      <c r="A74" s="21" t="s">
        <v>239</v>
      </c>
      <c r="B74" s="10"/>
      <c r="C74" s="10"/>
      <c r="D74" s="21"/>
      <c r="E74" s="21"/>
      <c r="F74" s="21"/>
      <c r="G74" s="21"/>
      <c r="H74" s="21"/>
      <c r="I74" s="21"/>
      <c r="J74" s="21"/>
      <c r="K74" s="21"/>
      <c r="L74" s="21"/>
      <c r="M74" s="21"/>
      <c r="N74" s="21"/>
    </row>
    <row r="75" spans="1:14" ht="15" customHeight="1" x14ac:dyDescent="0.3">
      <c r="A75" s="21" t="s">
        <v>202</v>
      </c>
      <c r="B75" s="6"/>
      <c r="C75" s="6"/>
      <c r="D75" s="21" t="s">
        <v>203</v>
      </c>
      <c r="E75" s="21" t="s">
        <v>204</v>
      </c>
      <c r="F75" s="21" t="s">
        <v>205</v>
      </c>
      <c r="G75" s="21" t="s">
        <v>9</v>
      </c>
      <c r="H75" s="21" t="s">
        <v>206</v>
      </c>
      <c r="I75" s="21" t="s">
        <v>10</v>
      </c>
      <c r="J75" s="21" t="s">
        <v>207</v>
      </c>
      <c r="K75" s="21" t="s">
        <v>11</v>
      </c>
      <c r="L75" s="21" t="s">
        <v>208</v>
      </c>
      <c r="M75" s="21" t="s">
        <v>209</v>
      </c>
      <c r="N75" s="21" t="s">
        <v>12</v>
      </c>
    </row>
    <row r="76" spans="1:14" ht="15" customHeight="1" x14ac:dyDescent="0.3">
      <c r="A76" s="1" t="s">
        <v>240</v>
      </c>
      <c r="B76" s="6" t="s">
        <v>218</v>
      </c>
      <c r="C76" s="6" t="s">
        <v>211</v>
      </c>
      <c r="D76" s="39">
        <f>'Operating Case'!D$55</f>
        <v>940000</v>
      </c>
      <c r="E76" s="39">
        <f>'Operating Case'!E$55</f>
        <v>1292500</v>
      </c>
      <c r="F76" s="39">
        <f>'Operating Case'!F$55</f>
        <v>1913840</v>
      </c>
      <c r="G76" s="39">
        <f>'Operating Case'!G$55</f>
        <v>3067380.74</v>
      </c>
      <c r="H76" s="39">
        <f>'Operating Case'!H$55</f>
        <v>4170543.85414</v>
      </c>
      <c r="I76" s="39">
        <f>'Operating Case'!I$55</f>
        <v>4535737.9511215407</v>
      </c>
      <c r="J76" s="39">
        <f>'Operating Case'!J$55</f>
        <v>4868429.7734717233</v>
      </c>
      <c r="K76" s="39">
        <f>'Operating Case'!K$55</f>
        <v>5171512.0236327406</v>
      </c>
      <c r="L76" s="39">
        <f>'Operating Case'!L$55</f>
        <v>5095119.9535294268</v>
      </c>
      <c r="M76" s="39">
        <f>'Operating Case'!M$55</f>
        <v>4641654.2776653077</v>
      </c>
      <c r="N76" s="39">
        <f>'Operating Case'!N$55</f>
        <v>4228547.0469530951</v>
      </c>
    </row>
    <row r="77" spans="1:14" ht="15" customHeight="1" x14ac:dyDescent="0.3">
      <c r="A77" s="6" t="s">
        <v>241</v>
      </c>
      <c r="B77" s="6" t="s">
        <v>218</v>
      </c>
      <c r="C77" s="6" t="s">
        <v>222</v>
      </c>
      <c r="D77" s="13">
        <f>'Operating Case'!D$56</f>
        <v>0</v>
      </c>
      <c r="E77" s="13">
        <f>'Operating Case'!E$56</f>
        <v>0</v>
      </c>
      <c r="F77" s="13">
        <f>'Operating Case'!F$56</f>
        <v>119887.60000000019</v>
      </c>
      <c r="G77" s="13">
        <f>'Operating Case'!G$56</f>
        <v>323641.37170400063</v>
      </c>
      <c r="H77" s="13">
        <f>'Operating Case'!H$56</f>
        <v>607440.64974907355</v>
      </c>
      <c r="I77" s="13">
        <f>'Operating Case'!I$56</f>
        <v>1117804.7255474194</v>
      </c>
      <c r="J77" s="13">
        <f>'Operating Case'!J$56</f>
        <v>1531570.2265282767</v>
      </c>
      <c r="K77" s="13">
        <f>'Operating Case'!K$56</f>
        <v>1228487.9763672594</v>
      </c>
      <c r="L77" s="13">
        <f>'Operating Case'!L$56</f>
        <v>1304880.0464705732</v>
      </c>
      <c r="M77" s="13">
        <f>'Operating Case'!M$56</f>
        <v>1758345.7223346923</v>
      </c>
      <c r="N77" s="13">
        <f>'Operating Case'!N$56</f>
        <v>2171452.9530469049</v>
      </c>
    </row>
    <row r="78" spans="1:14" ht="15" customHeight="1" x14ac:dyDescent="0.3">
      <c r="A78" s="6" t="s">
        <v>242</v>
      </c>
      <c r="B78" s="6" t="s">
        <v>218</v>
      </c>
      <c r="C78" s="6" t="s">
        <v>211</v>
      </c>
      <c r="D78" s="13">
        <f>'Operating Case'!D$58</f>
        <v>1342318.7387005482</v>
      </c>
      <c r="E78" s="13">
        <f>'Operating Case'!E$58</f>
        <v>1819819.0819456815</v>
      </c>
      <c r="F78" s="13">
        <f>'Operating Case'!F$58</f>
        <v>2735014.0027123471</v>
      </c>
      <c r="G78" s="13">
        <f>'Operating Case'!G$58</f>
        <v>4537674.5139547624</v>
      </c>
      <c r="H78" s="13">
        <f>'Operating Case'!H$58</f>
        <v>6372007.1317362897</v>
      </c>
      <c r="I78" s="13">
        <f>'Operating Case'!I$58</f>
        <v>7101738.4831588939</v>
      </c>
      <c r="J78" s="13">
        <f>'Operating Case'!J$58</f>
        <v>7820148.0930763679</v>
      </c>
      <c r="K78" s="13">
        <f>'Operating Case'!K$58</f>
        <v>8528944.5970154479</v>
      </c>
      <c r="L78" s="13">
        <f>'Operating Case'!L$58</f>
        <v>8642496.3787731882</v>
      </c>
      <c r="M78" s="13">
        <f>'Operating Case'!M$58</f>
        <v>8109513.6270942437</v>
      </c>
      <c r="N78" s="13">
        <f>'Operating Case'!N$58</f>
        <v>7609399.9217113415</v>
      </c>
    </row>
    <row r="79" spans="1:14" ht="15" customHeight="1" x14ac:dyDescent="0.3">
      <c r="A79" s="6" t="s">
        <v>243</v>
      </c>
      <c r="B79" s="6" t="s">
        <v>218</v>
      </c>
      <c r="C79" s="6" t="s">
        <v>211</v>
      </c>
      <c r="D79" s="13">
        <f>'Operating Case'!D$59</f>
        <v>-862012.62999999989</v>
      </c>
      <c r="E79" s="13">
        <f>'Operating Case'!E$59</f>
        <v>-1740982.2791857501</v>
      </c>
      <c r="F79" s="13">
        <f>'Operating Case'!F$59</f>
        <v>-2343782.8318440998</v>
      </c>
      <c r="G79" s="13">
        <f>'Operating Case'!G$59</f>
        <v>-3790121.0972822127</v>
      </c>
      <c r="H79" s="13">
        <f>'Operating Case'!H$59</f>
        <v>-5211901.0344628152</v>
      </c>
      <c r="I79" s="13">
        <f>'Operating Case'!I$59</f>
        <v>-6143522.1012323834</v>
      </c>
      <c r="J79" s="13">
        <f>'Operating Case'!J$59</f>
        <v>-6948193.2986329906</v>
      </c>
      <c r="K79" s="13">
        <f>'Operating Case'!K$59</f>
        <v>-7156639.0975919804</v>
      </c>
      <c r="L79" s="13">
        <f>'Operating Case'!L$59</f>
        <v>-7371338.2705197409</v>
      </c>
      <c r="M79" s="13">
        <f>'Operating Case'!M$59</f>
        <v>-7592478.418635332</v>
      </c>
      <c r="N79" s="13">
        <f>'Operating Case'!N$59</f>
        <v>-7820252.7711943919</v>
      </c>
    </row>
    <row r="80" spans="1:14" ht="15" customHeight="1" x14ac:dyDescent="0.3">
      <c r="A80" s="6" t="s">
        <v>244</v>
      </c>
      <c r="B80" s="6" t="s">
        <v>218</v>
      </c>
      <c r="C80" s="6" t="s">
        <v>245</v>
      </c>
      <c r="D80" s="13">
        <f>'Operating Case'!D$60</f>
        <v>-671159.36935027409</v>
      </c>
      <c r="E80" s="13">
        <f>'Operating Case'!E$60</f>
        <v>-238750.17162256665</v>
      </c>
      <c r="F80" s="13">
        <f>'Operating Case'!F$60</f>
        <v>-457597.4603833328</v>
      </c>
      <c r="G80" s="13">
        <f>'Operating Case'!G$60</f>
        <v>-901330.25562120765</v>
      </c>
      <c r="H80" s="13">
        <f>'Operating Case'!H$60</f>
        <v>-917166.30889076367</v>
      </c>
      <c r="I80" s="13">
        <f>'Operating Case'!I$60</f>
        <v>-364865.67571130209</v>
      </c>
      <c r="J80" s="13">
        <f>'Operating Case'!J$60</f>
        <v>-359204.80495873699</v>
      </c>
      <c r="K80" s="13">
        <f>'Operating Case'!K$60</f>
        <v>-354398.25196954003</v>
      </c>
      <c r="L80" s="13">
        <f>'Operating Case'!L$60</f>
        <v>-56775.890878870152</v>
      </c>
      <c r="M80" s="13">
        <f>'Operating Case'!M$60</f>
        <v>0</v>
      </c>
      <c r="N80" s="13">
        <f>'Operating Case'!N$60</f>
        <v>0</v>
      </c>
    </row>
    <row r="81" spans="1:14" ht="15" customHeight="1" x14ac:dyDescent="0.3">
      <c r="A81" s="6" t="s">
        <v>246</v>
      </c>
      <c r="B81" s="6" t="s">
        <v>218</v>
      </c>
      <c r="C81" s="6" t="s">
        <v>222</v>
      </c>
      <c r="D81" s="13">
        <f>'Operating Case'!D$61</f>
        <v>0</v>
      </c>
      <c r="E81" s="13">
        <f>'Operating Case'!E$61</f>
        <v>0</v>
      </c>
      <c r="F81" s="13">
        <f>'Operating Case'!F$61</f>
        <v>0</v>
      </c>
      <c r="G81" s="13">
        <f>'Operating Case'!G$61</f>
        <v>0</v>
      </c>
      <c r="H81" s="13">
        <f>'Operating Case'!H$61</f>
        <v>0</v>
      </c>
      <c r="I81" s="13">
        <f>'Operating Case'!I$61</f>
        <v>0</v>
      </c>
      <c r="J81" s="13">
        <f>'Operating Case'!J$61</f>
        <v>0</v>
      </c>
      <c r="K81" s="13">
        <f>'Operating Case'!K$61</f>
        <v>0</v>
      </c>
      <c r="L81" s="13">
        <f>'Operating Case'!L$61</f>
        <v>0</v>
      </c>
      <c r="M81" s="13">
        <f>'Operating Case'!M$61</f>
        <v>0</v>
      </c>
      <c r="N81" s="13">
        <f>'Operating Case'!N$61</f>
        <v>0</v>
      </c>
    </row>
    <row r="82" spans="1:14" ht="15" customHeight="1" x14ac:dyDescent="0.3">
      <c r="A82" s="6" t="s">
        <v>187</v>
      </c>
      <c r="B82" s="6" t="s">
        <v>218</v>
      </c>
      <c r="C82" s="6" t="s">
        <v>217</v>
      </c>
      <c r="D82" s="13">
        <f>'Operating Case'!D$62</f>
        <v>-685510.07499999995</v>
      </c>
      <c r="E82" s="13">
        <f>'Operating Case'!E$62</f>
        <v>-685510.07499999995</v>
      </c>
      <c r="F82" s="13">
        <f>'Operating Case'!F$62</f>
        <v>-706075.37725000002</v>
      </c>
      <c r="G82" s="13">
        <f>'Operating Case'!G$62</f>
        <v>-727257.63856749993</v>
      </c>
      <c r="H82" s="13">
        <f>'Operating Case'!H$62</f>
        <v>-885668.20963312499</v>
      </c>
      <c r="I82" s="13">
        <f>'Operating Case'!I$62</f>
        <v>-912238.25592211867</v>
      </c>
      <c r="J82" s="13">
        <f>'Operating Case'!J$62</f>
        <v>-939605.40359978215</v>
      </c>
      <c r="K82" s="13">
        <f>'Operating Case'!K$62</f>
        <v>-967793.56570777576</v>
      </c>
      <c r="L82" s="13">
        <f>'Operating Case'!L$62</f>
        <v>-996827.37267900899</v>
      </c>
      <c r="M82" s="13">
        <f>'Operating Case'!M$62</f>
        <v>-1026732.1938593792</v>
      </c>
      <c r="N82" s="13">
        <f>'Operating Case'!N$62</f>
        <v>-1057534.1596751607</v>
      </c>
    </row>
    <row r="83" spans="1:14" ht="15" customHeight="1" x14ac:dyDescent="0.3">
      <c r="A83" s="6" t="s">
        <v>247</v>
      </c>
      <c r="B83" s="6" t="s">
        <v>218</v>
      </c>
      <c r="C83" s="6" t="s">
        <v>222</v>
      </c>
      <c r="D83" s="13">
        <f>'Operating Case'!D$63</f>
        <v>0</v>
      </c>
      <c r="E83" s="13">
        <f>'Operating Case'!E$63</f>
        <v>-343395.9975</v>
      </c>
      <c r="F83" s="13">
        <f>'Operating Case'!F$63</f>
        <v>-353697.87742500001</v>
      </c>
      <c r="G83" s="13">
        <f>'Operating Case'!G$63</f>
        <v>-564396.21776939998</v>
      </c>
      <c r="H83" s="13">
        <f>'Operating Case'!H$63</f>
        <v>-956566.18246266444</v>
      </c>
      <c r="I83" s="13">
        <f>'Operating Case'!I$63</f>
        <v>-985263.16793654428</v>
      </c>
      <c r="J83" s="13">
        <f>'Operating Case'!J$63</f>
        <v>-1117227.8562964427</v>
      </c>
      <c r="K83" s="13">
        <f>'Operating Case'!K$63</f>
        <v>-1150744.6919853359</v>
      </c>
      <c r="L83" s="13">
        <f>'Operating Case'!L$63</f>
        <v>-1185267.0327448961</v>
      </c>
      <c r="M83" s="13">
        <f>'Operating Case'!M$63</f>
        <v>-1220825.0437272429</v>
      </c>
      <c r="N83" s="13">
        <f>'Operating Case'!N$63</f>
        <v>-1257449.7950390603</v>
      </c>
    </row>
    <row r="84" spans="1:14" ht="15" customHeight="1" x14ac:dyDescent="0.3">
      <c r="A84" s="6" t="s">
        <v>248</v>
      </c>
      <c r="B84" s="6" t="s">
        <v>218</v>
      </c>
      <c r="C84" s="6" t="s">
        <v>222</v>
      </c>
      <c r="D84" s="13">
        <f>'Operating Case'!D$64</f>
        <v>-480000</v>
      </c>
      <c r="E84" s="13">
        <f>'Operating Case'!E$64</f>
        <v>-480000</v>
      </c>
      <c r="F84" s="13">
        <f>'Operating Case'!F$64</f>
        <v>-480000</v>
      </c>
      <c r="G84" s="13">
        <f>'Operating Case'!G$64</f>
        <v>-480000</v>
      </c>
      <c r="H84" s="13">
        <f>'Operating Case'!H$64</f>
        <v>-480000</v>
      </c>
      <c r="I84" s="13">
        <f>'Operating Case'!I$64</f>
        <v>-480000</v>
      </c>
      <c r="J84" s="13">
        <f>'Operating Case'!J$64</f>
        <v>-480000</v>
      </c>
      <c r="K84" s="13">
        <f>'Operating Case'!K$64</f>
        <v>-480000</v>
      </c>
      <c r="L84" s="13">
        <f>'Operating Case'!L$64</f>
        <v>0</v>
      </c>
      <c r="M84" s="13">
        <f>'Operating Case'!M$64</f>
        <v>0</v>
      </c>
      <c r="N84" s="13">
        <f>'Operating Case'!N$64</f>
        <v>0</v>
      </c>
    </row>
    <row r="85" spans="1:14" ht="15" customHeight="1" x14ac:dyDescent="0.3">
      <c r="A85" s="6" t="s">
        <v>189</v>
      </c>
      <c r="B85" s="6" t="s">
        <v>218</v>
      </c>
      <c r="C85" s="6" t="s">
        <v>222</v>
      </c>
      <c r="D85" s="13">
        <f>'Operating Case'!D$65</f>
        <v>0</v>
      </c>
      <c r="E85" s="13">
        <f>'Operating Case'!E$65</f>
        <v>28750</v>
      </c>
      <c r="F85" s="13">
        <f>'Operating Case'!F$65</f>
        <v>71250</v>
      </c>
      <c r="G85" s="13">
        <f>'Operating Case'!G$65</f>
        <v>115000</v>
      </c>
      <c r="H85" s="13">
        <f>'Operating Case'!H$65</f>
        <v>183750</v>
      </c>
      <c r="I85" s="13">
        <f>'Operating Case'!I$65</f>
        <v>246250</v>
      </c>
      <c r="J85" s="13">
        <f>'Operating Case'!J$65</f>
        <v>283750</v>
      </c>
      <c r="K85" s="13">
        <f>'Operating Case'!K$65</f>
        <v>321250</v>
      </c>
      <c r="L85" s="13">
        <f>'Operating Case'!L$65</f>
        <v>355000</v>
      </c>
      <c r="M85" s="13">
        <f>'Operating Case'!M$65</f>
        <v>370000</v>
      </c>
      <c r="N85" s="13">
        <f>'Operating Case'!N$65</f>
        <v>370000</v>
      </c>
    </row>
    <row r="86" spans="1:14" ht="15" customHeight="1" x14ac:dyDescent="0.3">
      <c r="A86" s="1" t="s">
        <v>249</v>
      </c>
      <c r="B86" s="6" t="s">
        <v>218</v>
      </c>
      <c r="C86" s="6" t="s">
        <v>211</v>
      </c>
      <c r="D86" s="40">
        <f t="shared" ref="D86:N86" si="2">D76+D77+D78+D79+D80+D81+D82+D83+D84+D85</f>
        <v>-416363.33564972575</v>
      </c>
      <c r="E86" s="40">
        <f t="shared" si="2"/>
        <v>-347569.44136263517</v>
      </c>
      <c r="F86" s="40">
        <f t="shared" si="2"/>
        <v>498838.0558099146</v>
      </c>
      <c r="G86" s="40">
        <f t="shared" si="2"/>
        <v>1580591.4164184437</v>
      </c>
      <c r="H86" s="40">
        <f t="shared" si="2"/>
        <v>2882439.9001759943</v>
      </c>
      <c r="I86" s="40">
        <f t="shared" si="2"/>
        <v>4115641.9590255069</v>
      </c>
      <c r="J86" s="40">
        <f t="shared" si="2"/>
        <v>4659666.7295884155</v>
      </c>
      <c r="K86" s="40">
        <f t="shared" si="2"/>
        <v>5140618.9897608161</v>
      </c>
      <c r="L86" s="40">
        <f t="shared" si="2"/>
        <v>5787287.8119506724</v>
      </c>
      <c r="M86" s="40">
        <f t="shared" si="2"/>
        <v>5039477.9708722886</v>
      </c>
      <c r="N86" s="40">
        <f t="shared" si="2"/>
        <v>4244163.1958027277</v>
      </c>
    </row>
    <row r="87" spans="1:14" ht="15" customHeight="1" x14ac:dyDescent="0.3">
      <c r="A87" s="6" t="s">
        <v>250</v>
      </c>
      <c r="B87" s="6" t="s">
        <v>218</v>
      </c>
      <c r="C87" s="6" t="s">
        <v>222</v>
      </c>
      <c r="D87" s="13">
        <f>'Operating Case'!D$67+'Operating Case'!D$68</f>
        <v>0</v>
      </c>
      <c r="E87" s="13">
        <f>'Operating Case'!E$67+'Operating Case'!E$68</f>
        <v>22618.75</v>
      </c>
      <c r="F87" s="13">
        <f>'Operating Case'!F$67+'Operating Case'!F$68</f>
        <v>71180.465999999986</v>
      </c>
      <c r="G87" s="13">
        <f>'Operating Case'!G$67+'Operating Case'!G$68</f>
        <v>178028.66086446005</v>
      </c>
      <c r="H87" s="13">
        <f>'Operating Case'!H$67+'Operating Case'!H$68</f>
        <v>250844.18645417638</v>
      </c>
      <c r="I87" s="13">
        <f>'Operating Case'!I$67+'Operating Case'!I$68</f>
        <v>296810.9905251204</v>
      </c>
      <c r="J87" s="13">
        <f>'Operating Case'!J$67+'Operating Case'!J$68</f>
        <v>336000</v>
      </c>
      <c r="K87" s="13">
        <f>'Operating Case'!K$67+'Operating Case'!K$68</f>
        <v>336000</v>
      </c>
      <c r="L87" s="13">
        <f>'Operating Case'!L$67+'Operating Case'!L$68</f>
        <v>336000</v>
      </c>
      <c r="M87" s="13">
        <f>'Operating Case'!M$67+'Operating Case'!M$68</f>
        <v>336000</v>
      </c>
      <c r="N87" s="13">
        <f>'Operating Case'!N$67+'Operating Case'!N$68</f>
        <v>336000</v>
      </c>
    </row>
    <row r="88" spans="1:14" ht="15" customHeight="1" x14ac:dyDescent="0.3">
      <c r="A88" s="6" t="s">
        <v>251</v>
      </c>
      <c r="B88" s="6" t="s">
        <v>218</v>
      </c>
      <c r="C88" s="6" t="s">
        <v>222</v>
      </c>
      <c r="D88" s="13">
        <f>'Operating Case'!D$69+'Operating Case'!D$70</f>
        <v>0</v>
      </c>
      <c r="E88" s="13">
        <f>'Operating Case'!E$69+'Operating Case'!E$70</f>
        <v>16098.517139889198</v>
      </c>
      <c r="F88" s="13">
        <f>'Operating Case'!F$69+'Operating Case'!F$70</f>
        <v>50661.506578670349</v>
      </c>
      <c r="G88" s="13">
        <f>'Operating Case'!G$69+'Operating Case'!G$70</f>
        <v>126708.92283251858</v>
      </c>
      <c r="H88" s="13">
        <f>'Operating Case'!H$69+'Operating Case'!H$70</f>
        <v>178534.155736905</v>
      </c>
      <c r="I88" s="13">
        <f>'Operating Case'!I$69+'Operating Case'!I$70</f>
        <v>211250.25999562937</v>
      </c>
      <c r="J88" s="13">
        <f>'Operating Case'!J$69+'Operating Case'!J$70</f>
        <v>239142.38227146817</v>
      </c>
      <c r="K88" s="13">
        <f>'Operating Case'!K$69+'Operating Case'!K$70</f>
        <v>239142.38227146817</v>
      </c>
      <c r="L88" s="13">
        <f>'Operating Case'!L$69+'Operating Case'!L$70</f>
        <v>239142.38227146817</v>
      </c>
      <c r="M88" s="13">
        <f>'Operating Case'!M$69+'Operating Case'!M$70</f>
        <v>239142.38227146817</v>
      </c>
      <c r="N88" s="13">
        <f>'Operating Case'!N$69+'Operating Case'!N$70</f>
        <v>239142.38227146817</v>
      </c>
    </row>
    <row r="89" spans="1:14" ht="15" customHeight="1" x14ac:dyDescent="0.3">
      <c r="A89" s="6" t="s">
        <v>252</v>
      </c>
      <c r="B89" s="6" t="s">
        <v>218</v>
      </c>
      <c r="C89" s="6" t="s">
        <v>222</v>
      </c>
      <c r="D89" s="13">
        <f>'Operating Case'!D$71+'Operating Case'!D$72</f>
        <v>0</v>
      </c>
      <c r="E89" s="13">
        <f>'Operating Case'!E$71+'Operating Case'!E$72</f>
        <v>10770.833333333334</v>
      </c>
      <c r="F89" s="13">
        <f>'Operating Case'!F$71+'Operating Case'!F$72</f>
        <v>33895.46</v>
      </c>
      <c r="G89" s="13">
        <f>'Operating Case'!G$71+'Operating Case'!G$72</f>
        <v>84775.552792600021</v>
      </c>
      <c r="H89" s="13">
        <f>'Operating Case'!H$71+'Operating Case'!H$72</f>
        <v>119449.61259722683</v>
      </c>
      <c r="I89" s="13">
        <f>'Operating Case'!I$71+'Operating Case'!I$72</f>
        <v>141338.56691672403</v>
      </c>
      <c r="J89" s="13">
        <f>'Operating Case'!J$71+'Operating Case'!J$72</f>
        <v>160000</v>
      </c>
      <c r="K89" s="13">
        <f>'Operating Case'!K$71+'Operating Case'!K$72</f>
        <v>160000</v>
      </c>
      <c r="L89" s="13">
        <f>'Operating Case'!L$71+'Operating Case'!L$72</f>
        <v>160000</v>
      </c>
      <c r="M89" s="13">
        <f>'Operating Case'!M$71+'Operating Case'!M$72</f>
        <v>160000</v>
      </c>
      <c r="N89" s="13">
        <f>'Operating Case'!N$71+'Operating Case'!N$72</f>
        <v>160000</v>
      </c>
    </row>
    <row r="90" spans="1:14" ht="15" customHeight="1" x14ac:dyDescent="0.3">
      <c r="A90" s="6" t="s">
        <v>253</v>
      </c>
      <c r="B90" s="6" t="s">
        <v>218</v>
      </c>
      <c r="C90" s="6" t="s">
        <v>222</v>
      </c>
      <c r="D90" s="13">
        <f>'Operating Case'!D$73</f>
        <v>0</v>
      </c>
      <c r="E90" s="13">
        <f>'Operating Case'!E$73</f>
        <v>-16156.25</v>
      </c>
      <c r="F90" s="13">
        <f>'Operating Case'!F$73</f>
        <v>-34686.939999999995</v>
      </c>
      <c r="G90" s="13">
        <f>'Operating Case'!G$73</f>
        <v>-76320.139188900037</v>
      </c>
      <c r="H90" s="13">
        <f>'Operating Case'!H$73</f>
        <v>-52011.089706940242</v>
      </c>
      <c r="I90" s="13">
        <f>'Operating Case'!I$73</f>
        <v>-32833.431479245766</v>
      </c>
      <c r="J90" s="13">
        <f>'Operating Case'!J$73</f>
        <v>-27992.14962491396</v>
      </c>
      <c r="K90" s="13">
        <f>'Operating Case'!K$73</f>
        <v>0</v>
      </c>
      <c r="L90" s="13">
        <f>'Operating Case'!L$73</f>
        <v>0</v>
      </c>
      <c r="M90" s="13">
        <f>'Operating Case'!M$73</f>
        <v>0</v>
      </c>
      <c r="N90" s="13">
        <f>'Operating Case'!N$73</f>
        <v>0</v>
      </c>
    </row>
    <row r="91" spans="1:14" ht="15" customHeight="1" x14ac:dyDescent="0.3">
      <c r="A91" s="1" t="s">
        <v>254</v>
      </c>
      <c r="B91" s="6" t="s">
        <v>218</v>
      </c>
      <c r="C91" s="6" t="s">
        <v>211</v>
      </c>
      <c r="D91" s="61">
        <f t="shared" ref="D91:N91" si="3">D86+D87+D88+D89+D90</f>
        <v>-416363.33564972575</v>
      </c>
      <c r="E91" s="61">
        <f t="shared" si="3"/>
        <v>-314237.59088941268</v>
      </c>
      <c r="F91" s="61">
        <f t="shared" si="3"/>
        <v>619888.54838858498</v>
      </c>
      <c r="G91" s="61">
        <f t="shared" si="3"/>
        <v>1893784.4137191223</v>
      </c>
      <c r="H91" s="61">
        <f t="shared" si="3"/>
        <v>3379256.7652573623</v>
      </c>
      <c r="I91" s="61">
        <f t="shared" si="3"/>
        <v>4732208.3449837342</v>
      </c>
      <c r="J91" s="61">
        <f t="shared" si="3"/>
        <v>5366816.9622349702</v>
      </c>
      <c r="K91" s="61">
        <f t="shared" si="3"/>
        <v>5875761.3720322847</v>
      </c>
      <c r="L91" s="61">
        <f t="shared" si="3"/>
        <v>6522430.1942221411</v>
      </c>
      <c r="M91" s="61">
        <f t="shared" si="3"/>
        <v>5774620.3531437572</v>
      </c>
      <c r="N91" s="61">
        <f t="shared" si="3"/>
        <v>4979305.5780741964</v>
      </c>
    </row>
    <row r="92" spans="1:14" ht="15" customHeight="1" x14ac:dyDescent="0.3">
      <c r="A92" s="6" t="s">
        <v>255</v>
      </c>
      <c r="B92" s="6" t="s">
        <v>218</v>
      </c>
      <c r="C92" s="6" t="s">
        <v>211</v>
      </c>
      <c r="D92" s="13">
        <f>'Operating Case'!D$77</f>
        <v>-1446175.214445</v>
      </c>
      <c r="E92" s="13">
        <f>'Operating Case'!E$77</f>
        <v>-1651887.6259450002</v>
      </c>
      <c r="F92" s="13">
        <f>'Operating Case'!F$77</f>
        <v>-1701444.2547233503</v>
      </c>
      <c r="G92" s="13">
        <f>'Operating Case'!G$77</f>
        <v>-1752487.5823650507</v>
      </c>
      <c r="H92" s="13">
        <f>'Operating Case'!H$77</f>
        <v>-1805062.2098360022</v>
      </c>
      <c r="I92" s="13">
        <f>'Operating Case'!I$77</f>
        <v>-1859214.0761310821</v>
      </c>
      <c r="J92" s="13">
        <f>'Operating Case'!J$77</f>
        <v>-1914990.4984150145</v>
      </c>
      <c r="K92" s="13">
        <f>'Operating Case'!K$77</f>
        <v>-1972440.2133674652</v>
      </c>
      <c r="L92" s="13">
        <f>'Operating Case'!L$77</f>
        <v>-2031613.4197684892</v>
      </c>
      <c r="M92" s="13">
        <f>'Operating Case'!M$77</f>
        <v>-2092561.8223615435</v>
      </c>
      <c r="N92" s="13">
        <f>'Operating Case'!N$77</f>
        <v>-2155338.6770323901</v>
      </c>
    </row>
    <row r="93" spans="1:14" ht="15" customHeight="1" x14ac:dyDescent="0.3">
      <c r="A93" s="6" t="s">
        <v>192</v>
      </c>
      <c r="B93" s="6" t="s">
        <v>218</v>
      </c>
      <c r="C93" s="6" t="s">
        <v>222</v>
      </c>
      <c r="D93" s="13">
        <f>'Operating Case'!D$78</f>
        <v>-700000</v>
      </c>
      <c r="E93" s="13">
        <f>'Operating Case'!E$78</f>
        <v>-700000</v>
      </c>
      <c r="F93" s="13">
        <f>'Operating Case'!F$78</f>
        <v>-742000</v>
      </c>
      <c r="G93" s="13">
        <f>'Operating Case'!G$78</f>
        <v>-786520.00000000012</v>
      </c>
      <c r="H93" s="13">
        <f>'Operating Case'!H$78</f>
        <v>-833711.20000000019</v>
      </c>
      <c r="I93" s="13">
        <f>'Operating Case'!I$78</f>
        <v>-883733.87200000021</v>
      </c>
      <c r="J93" s="13">
        <f>'Operating Case'!J$78</f>
        <v>-936757.90432000032</v>
      </c>
      <c r="K93" s="13">
        <f>'Operating Case'!K$78</f>
        <v>-992963.37857920036</v>
      </c>
      <c r="L93" s="13">
        <f>'Operating Case'!L$78</f>
        <v>-1052541.1812939525</v>
      </c>
      <c r="M93" s="13">
        <f>'Operating Case'!M$78</f>
        <v>-1115693.6521715897</v>
      </c>
      <c r="N93" s="13">
        <f>'Operating Case'!N$78</f>
        <v>-1182635.2713018849</v>
      </c>
    </row>
    <row r="94" spans="1:14" ht="15" customHeight="1" x14ac:dyDescent="0.3">
      <c r="A94" s="1" t="s">
        <v>256</v>
      </c>
      <c r="B94" s="6" t="s">
        <v>218</v>
      </c>
      <c r="C94" s="6" t="s">
        <v>211</v>
      </c>
      <c r="D94" s="61">
        <f t="shared" ref="D94:N94" si="4">D91+D92+D93</f>
        <v>-2562538.5500947256</v>
      </c>
      <c r="E94" s="61">
        <f t="shared" si="4"/>
        <v>-2666125.2168344129</v>
      </c>
      <c r="F94" s="61">
        <f t="shared" si="4"/>
        <v>-1823555.7063347653</v>
      </c>
      <c r="G94" s="61">
        <f t="shared" si="4"/>
        <v>-645223.1686459285</v>
      </c>
      <c r="H94" s="61">
        <f t="shared" si="4"/>
        <v>740483.35542135988</v>
      </c>
      <c r="I94" s="61">
        <f t="shared" si="4"/>
        <v>1989260.3968526518</v>
      </c>
      <c r="J94" s="61">
        <f t="shared" si="4"/>
        <v>2515068.5594999553</v>
      </c>
      <c r="K94" s="61">
        <f t="shared" si="4"/>
        <v>2910357.7800856195</v>
      </c>
      <c r="L94" s="61">
        <f t="shared" si="4"/>
        <v>3438275.5931596998</v>
      </c>
      <c r="M94" s="61">
        <f t="shared" si="4"/>
        <v>2566364.878610624</v>
      </c>
      <c r="N94" s="61">
        <f t="shared" si="4"/>
        <v>1641331.6297399213</v>
      </c>
    </row>
    <row r="95" spans="1:14" ht="15" customHeight="1" x14ac:dyDescent="0.3">
      <c r="A95" s="6" t="s">
        <v>221</v>
      </c>
      <c r="B95" s="6" t="s">
        <v>218</v>
      </c>
      <c r="C95" s="6" t="s">
        <v>222</v>
      </c>
      <c r="D95" s="13">
        <f>'Operating Case'!D$81</f>
        <v>-183593.75</v>
      </c>
      <c r="E95" s="13">
        <f>'Operating Case'!E$81</f>
        <v>-252441.40625</v>
      </c>
      <c r="F95" s="13">
        <f>'Operating Case'!F$81</f>
        <v>-397212.421875</v>
      </c>
      <c r="G95" s="13">
        <f>'Operating Case'!G$81</f>
        <v>-662309.00619218766</v>
      </c>
      <c r="H95" s="13">
        <f>'Operating Case'!H$81</f>
        <v>-933200.09841583471</v>
      </c>
      <c r="I95" s="13">
        <f>'Operating Case'!I$81</f>
        <v>-1104207.5540369065</v>
      </c>
      <c r="J95" s="13">
        <f>'Operating Case'!J$81</f>
        <v>-1250000</v>
      </c>
      <c r="K95" s="13">
        <f>'Operating Case'!K$81</f>
        <v>-1250000</v>
      </c>
      <c r="L95" s="13">
        <f>'Operating Case'!L$81</f>
        <v>-1250000</v>
      </c>
      <c r="M95" s="13">
        <f>'Operating Case'!M$81</f>
        <v>-1250000</v>
      </c>
      <c r="N95" s="13">
        <f>'Operating Case'!N$81</f>
        <v>-1250000</v>
      </c>
    </row>
    <row r="96" spans="1:14" ht="15" customHeight="1" x14ac:dyDescent="0.3">
      <c r="A96" s="1" t="s">
        <v>257</v>
      </c>
      <c r="B96" s="6" t="s">
        <v>218</v>
      </c>
      <c r="C96" s="6" t="s">
        <v>211</v>
      </c>
      <c r="D96" s="40">
        <f t="shared" ref="D96:N96" si="5">D94+D95</f>
        <v>-2746132.3000947256</v>
      </c>
      <c r="E96" s="40">
        <f t="shared" si="5"/>
        <v>-2918566.6230844129</v>
      </c>
      <c r="F96" s="40">
        <f t="shared" si="5"/>
        <v>-2220768.1282097651</v>
      </c>
      <c r="G96" s="40">
        <f t="shared" si="5"/>
        <v>-1307532.1748381162</v>
      </c>
      <c r="H96" s="40">
        <f t="shared" si="5"/>
        <v>-192716.74299447483</v>
      </c>
      <c r="I96" s="40">
        <f t="shared" si="5"/>
        <v>885052.84281574539</v>
      </c>
      <c r="J96" s="40">
        <f t="shared" si="5"/>
        <v>1265068.5594999553</v>
      </c>
      <c r="K96" s="40">
        <f t="shared" si="5"/>
        <v>1660357.7800856195</v>
      </c>
      <c r="L96" s="40">
        <f t="shared" si="5"/>
        <v>2188275.5931596998</v>
      </c>
      <c r="M96" s="40">
        <f t="shared" si="5"/>
        <v>1316364.878610624</v>
      </c>
      <c r="N96" s="40">
        <f t="shared" si="5"/>
        <v>391331.62973992131</v>
      </c>
    </row>
    <row r="97" spans="1:14" ht="15" customHeight="1" x14ac:dyDescent="0.3">
      <c r="A97" s="6" t="s">
        <v>234</v>
      </c>
      <c r="B97" s="6" t="s">
        <v>218</v>
      </c>
      <c r="C97" s="6" t="s">
        <v>211</v>
      </c>
      <c r="D97" s="13">
        <f>D94-'Operating Case'!D$79</f>
        <v>0</v>
      </c>
      <c r="E97" s="13">
        <f>E94-'Operating Case'!E$79</f>
        <v>0</v>
      </c>
      <c r="F97" s="13">
        <f>F94-'Operating Case'!F$79</f>
        <v>0</v>
      </c>
      <c r="G97" s="13">
        <f>G94-'Operating Case'!G$79</f>
        <v>0</v>
      </c>
      <c r="H97" s="13">
        <f>H94-'Operating Case'!H$79</f>
        <v>0</v>
      </c>
      <c r="I97" s="13">
        <f>I94-'Operating Case'!I$79</f>
        <v>0</v>
      </c>
      <c r="J97" s="13">
        <f>J94-'Operating Case'!J$79</f>
        <v>0</v>
      </c>
      <c r="K97" s="13">
        <f>K94-'Operating Case'!K$79</f>
        <v>0</v>
      </c>
      <c r="L97" s="13">
        <f>L94-'Operating Case'!L$79</f>
        <v>0</v>
      </c>
      <c r="M97" s="13">
        <f>M94-'Operating Case'!M$79</f>
        <v>0</v>
      </c>
      <c r="N97" s="13">
        <f>N94-'Operating Case'!N$79</f>
        <v>-1.862645149230957E-9</v>
      </c>
    </row>
    <row r="98" spans="1:14" ht="15" customHeight="1" x14ac:dyDescent="0.3">
      <c r="A98" s="21"/>
      <c r="B98" s="10"/>
      <c r="C98" s="10"/>
      <c r="D98" s="21"/>
      <c r="E98" s="21"/>
      <c r="F98" s="21"/>
      <c r="G98" s="21"/>
      <c r="H98" s="21"/>
      <c r="I98" s="21"/>
      <c r="J98" s="21"/>
      <c r="K98" s="21"/>
      <c r="L98" s="21"/>
      <c r="M98" s="21"/>
      <c r="N98" s="21"/>
    </row>
    <row r="99" spans="1:14" ht="15" customHeight="1" x14ac:dyDescent="0.3">
      <c r="A99" s="21" t="s">
        <v>258</v>
      </c>
      <c r="B99" s="6"/>
      <c r="C99" s="6"/>
      <c r="D99" s="13"/>
      <c r="E99" s="13"/>
      <c r="F99" s="13"/>
      <c r="G99" s="13"/>
      <c r="H99" s="13"/>
      <c r="I99" s="13"/>
      <c r="J99" s="13"/>
      <c r="K99" s="13"/>
      <c r="L99" s="13"/>
      <c r="M99" s="13"/>
      <c r="N99" s="13"/>
    </row>
    <row r="100" spans="1:14" ht="15" customHeight="1" x14ac:dyDescent="0.3">
      <c r="A100" s="21" t="s">
        <v>202</v>
      </c>
      <c r="B100" s="6"/>
      <c r="C100" s="6"/>
      <c r="D100" s="21" t="s">
        <v>203</v>
      </c>
      <c r="E100" s="21" t="s">
        <v>204</v>
      </c>
      <c r="F100" s="21" t="s">
        <v>205</v>
      </c>
      <c r="G100" s="21" t="s">
        <v>9</v>
      </c>
      <c r="H100" s="21" t="s">
        <v>206</v>
      </c>
      <c r="I100" s="21" t="s">
        <v>10</v>
      </c>
      <c r="J100" s="21" t="s">
        <v>207</v>
      </c>
      <c r="K100" s="21" t="s">
        <v>11</v>
      </c>
      <c r="L100" s="21" t="s">
        <v>208</v>
      </c>
      <c r="M100" s="21" t="s">
        <v>209</v>
      </c>
      <c r="N100" s="21" t="s">
        <v>12</v>
      </c>
    </row>
    <row r="101" spans="1:14" ht="15" customHeight="1" x14ac:dyDescent="0.3">
      <c r="A101" s="6" t="s">
        <v>259</v>
      </c>
      <c r="B101" s="6" t="s">
        <v>218</v>
      </c>
      <c r="C101" s="6" t="s">
        <v>211</v>
      </c>
      <c r="D101" s="13">
        <f>'Transaction &amp; Liquidity'!D$110</f>
        <v>-5100000</v>
      </c>
      <c r="E101" s="13">
        <f>'Transaction &amp; Liquidity'!E$110</f>
        <v>-2550000</v>
      </c>
      <c r="F101" s="13">
        <f>'Transaction &amp; Liquidity'!F$110</f>
        <v>-2159117.4040468307</v>
      </c>
      <c r="G101" s="13">
        <f>'Transaction &amp; Liquidity'!G$110</f>
        <v>-5250000</v>
      </c>
      <c r="H101" s="13">
        <f>'Transaction &amp; Liquidity'!H$110</f>
        <v>-1500000</v>
      </c>
      <c r="I101" s="13">
        <f>'Transaction &amp; Liquidity'!I$110</f>
        <v>-1500000</v>
      </c>
      <c r="J101" s="13">
        <f>'Transaction &amp; Liquidity'!J$110</f>
        <v>-1500000</v>
      </c>
      <c r="K101" s="13">
        <f>'Transaction &amp; Liquidity'!K$110</f>
        <v>-1500000</v>
      </c>
      <c r="L101" s="13">
        <f>'Transaction &amp; Liquidity'!L$110</f>
        <v>0</v>
      </c>
      <c r="M101" s="13">
        <f>'Transaction &amp; Liquidity'!M$110</f>
        <v>0</v>
      </c>
      <c r="N101" s="13">
        <f>'Transaction &amp; Liquidity'!N$110</f>
        <v>0</v>
      </c>
    </row>
    <row r="102" spans="1:14" ht="15" customHeight="1" x14ac:dyDescent="0.3">
      <c r="A102" s="6" t="s">
        <v>260</v>
      </c>
      <c r="B102" s="6" t="s">
        <v>218</v>
      </c>
      <c r="C102" s="6" t="s">
        <v>222</v>
      </c>
      <c r="D102" s="13">
        <f>'Transaction &amp; Liquidity'!D$111</f>
        <v>-430000</v>
      </c>
      <c r="E102" s="13">
        <f>'Transaction &amp; Liquidity'!E$111</f>
        <v>-340000</v>
      </c>
      <c r="F102" s="13">
        <f>'Transaction &amp; Liquidity'!F$111</f>
        <v>-340000</v>
      </c>
      <c r="G102" s="13">
        <f>'Transaction &amp; Liquidity'!G$111</f>
        <v>-815000</v>
      </c>
      <c r="H102" s="13">
        <f>'Transaction &amp; Liquidity'!H$111</f>
        <v>-340000</v>
      </c>
      <c r="I102" s="13">
        <f>'Transaction &amp; Liquidity'!I$111</f>
        <v>-340000</v>
      </c>
      <c r="J102" s="13">
        <f>'Transaction &amp; Liquidity'!J$111</f>
        <v>-340000</v>
      </c>
      <c r="K102" s="13">
        <f>'Transaction &amp; Liquidity'!K$111</f>
        <v>-340000</v>
      </c>
      <c r="L102" s="13">
        <f>'Transaction &amp; Liquidity'!L$111</f>
        <v>0</v>
      </c>
      <c r="M102" s="13">
        <f>'Transaction &amp; Liquidity'!M$111</f>
        <v>0</v>
      </c>
      <c r="N102" s="13">
        <f>'Transaction &amp; Liquidity'!N$111</f>
        <v>0</v>
      </c>
    </row>
    <row r="103" spans="1:14" ht="15" customHeight="1" x14ac:dyDescent="0.3">
      <c r="A103" s="6" t="s">
        <v>261</v>
      </c>
      <c r="B103" s="6" t="s">
        <v>218</v>
      </c>
      <c r="C103" s="6" t="s">
        <v>211</v>
      </c>
      <c r="D103" s="13">
        <f>-'Transaction &amp; Liquidity'!D$114</f>
        <v>-8437694.8000947256</v>
      </c>
      <c r="E103" s="13">
        <f>-'Transaction &amp; Liquidity'!E$114</f>
        <v>-5947902.5605844129</v>
      </c>
      <c r="F103" s="13">
        <f>-'Transaction &amp; Liquidity'!F$114</f>
        <v>-4976100.9493143717</v>
      </c>
      <c r="G103" s="13">
        <f>-'Transaction &amp; Liquidity'!G$114</f>
        <v>-8035870.0829173326</v>
      </c>
      <c r="H103" s="13">
        <f>-'Transaction &amp; Liquidity'!H$114</f>
        <v>-3342796.6833698195</v>
      </c>
      <c r="I103" s="13">
        <f>-'Transaction &amp; Liquidity'!I$114</f>
        <v>-3238266.1126877773</v>
      </c>
      <c r="J103" s="13">
        <f>-'Transaction &amp; Liquidity'!J$114</f>
        <v>-2521472.8028429928</v>
      </c>
      <c r="K103" s="13">
        <f>-'Transaction &amp; Liquidity'!K$114</f>
        <v>-2139072.8451482505</v>
      </c>
      <c r="L103" s="13">
        <f>-'Transaction &amp; Liquidity'!L$114</f>
        <v>-922366.64741261676</v>
      </c>
      <c r="M103" s="13">
        <f>-'Transaction &amp; Liquidity'!M$114</f>
        <v>-519876.47730013402</v>
      </c>
      <c r="N103" s="13">
        <f>-'Transaction &amp; Liquidity'!N$114</f>
        <v>-1334883.8415092812</v>
      </c>
    </row>
    <row r="104" spans="1:14" ht="15" customHeight="1" x14ac:dyDescent="0.3">
      <c r="A104" s="1" t="s">
        <v>262</v>
      </c>
      <c r="B104" s="6" t="s">
        <v>218</v>
      </c>
      <c r="C104" s="6" t="s">
        <v>211</v>
      </c>
      <c r="D104" s="39">
        <f>'Transaction &amp; Liquidity'!D$116</f>
        <v>8437694.8000947256</v>
      </c>
      <c r="E104" s="39">
        <f>'Transaction &amp; Liquidity'!E$116</f>
        <v>14385597.360679138</v>
      </c>
      <c r="F104" s="39">
        <f>'Transaction &amp; Liquidity'!F$116</f>
        <v>19361698.309993509</v>
      </c>
      <c r="G104" s="39">
        <f>'Transaction &amp; Liquidity'!G$116</f>
        <v>27397568.392910842</v>
      </c>
      <c r="H104" s="39">
        <f>'Transaction &amp; Liquidity'!H$116</f>
        <v>30740365.076280661</v>
      </c>
      <c r="I104" s="39">
        <f>'Transaction &amp; Liquidity'!I$116</f>
        <v>33978631.188968435</v>
      </c>
      <c r="J104" s="39">
        <f>'Transaction &amp; Liquidity'!J$116</f>
        <v>36500103.991811424</v>
      </c>
      <c r="K104" s="39">
        <f>'Transaction &amp; Liquidity'!K$116</f>
        <v>38639176.836959675</v>
      </c>
      <c r="L104" s="39">
        <f>'Transaction &amp; Liquidity'!L$116</f>
        <v>39561543.484372288</v>
      </c>
      <c r="M104" s="39">
        <f>'Transaction &amp; Liquidity'!M$116</f>
        <v>40081419.961672425</v>
      </c>
      <c r="N104" s="39">
        <f>'Transaction &amp; Liquidity'!N$116</f>
        <v>41416303.803181708</v>
      </c>
    </row>
    <row r="105" spans="1:14" ht="15" customHeight="1" x14ac:dyDescent="0.3">
      <c r="A105" s="6" t="s">
        <v>263</v>
      </c>
      <c r="B105" s="6" t="s">
        <v>218</v>
      </c>
      <c r="C105" s="6" t="s">
        <v>211</v>
      </c>
      <c r="D105" s="13">
        <f>IF(0=INDEX(Assumptions!$D$13:$F$13,1,2),Returns!$E$51,0)</f>
        <v>0</v>
      </c>
      <c r="E105" s="13">
        <f>IF(1=INDEX(Assumptions!$D$13:$F$13,1,2),Returns!$E$51,0)</f>
        <v>0</v>
      </c>
      <c r="F105" s="13">
        <f>IF(2=INDEX(Assumptions!$D$13:$F$13,1,2),Returns!$E$51,0)</f>
        <v>0</v>
      </c>
      <c r="G105" s="13">
        <f>IF(3=INDEX(Assumptions!$D$13:$F$13,1,2),Returns!$E$51,0)</f>
        <v>0</v>
      </c>
      <c r="H105" s="13">
        <f>IF(4=INDEX(Assumptions!$D$13:$F$13,1,2),Returns!$E$51,0)</f>
        <v>0</v>
      </c>
      <c r="I105" s="13">
        <f>IF(5=INDEX(Assumptions!$D$13:$F$13,1,2),Returns!$E$51,0)</f>
        <v>0</v>
      </c>
      <c r="J105" s="13">
        <f>IF(6=INDEX(Assumptions!$D$13:$F$13,1,2),Returns!$E$51,0)</f>
        <v>0</v>
      </c>
      <c r="K105" s="13">
        <f>IF(7=INDEX(Assumptions!$D$13:$F$13,1,2),Returns!$E$51,0)</f>
        <v>19249989.634620525</v>
      </c>
      <c r="L105" s="13">
        <f>IF(8=INDEX(Assumptions!$D$13:$F$13,1,2),Returns!$E$51,0)</f>
        <v>0</v>
      </c>
      <c r="M105" s="13">
        <f>IF(9=INDEX(Assumptions!$D$13:$F$13,1,2),Returns!$E$51,0)</f>
        <v>0</v>
      </c>
      <c r="N105" s="13">
        <f>IF(10=INDEX(Assumptions!$D$13:$F$13,1,2),Returns!$E$51,0)</f>
        <v>0</v>
      </c>
    </row>
    <row r="106" spans="1:14" ht="15" customHeight="1" x14ac:dyDescent="0.3">
      <c r="A106" s="1" t="s">
        <v>264</v>
      </c>
      <c r="B106" s="6" t="s">
        <v>218</v>
      </c>
      <c r="C106" s="6" t="s">
        <v>211</v>
      </c>
      <c r="D106" s="39">
        <f>-'Transaction &amp; Liquidity'!D$114+D105</f>
        <v>-8437694.8000947256</v>
      </c>
      <c r="E106" s="39">
        <f>-'Transaction &amp; Liquidity'!E$114+E105</f>
        <v>-5947902.5605844129</v>
      </c>
      <c r="F106" s="39">
        <f>-'Transaction &amp; Liquidity'!F$114+F105</f>
        <v>-4976100.9493143717</v>
      </c>
      <c r="G106" s="39">
        <f>-'Transaction &amp; Liquidity'!G$114+G105</f>
        <v>-8035870.0829173326</v>
      </c>
      <c r="H106" s="39">
        <f>-'Transaction &amp; Liquidity'!H$114+H105</f>
        <v>-3342796.6833698195</v>
      </c>
      <c r="I106" s="39">
        <f>-'Transaction &amp; Liquidity'!I$114+I105</f>
        <v>-3238266.1126877773</v>
      </c>
      <c r="J106" s="39">
        <f>-'Transaction &amp; Liquidity'!J$114+J105</f>
        <v>-2521472.8028429928</v>
      </c>
      <c r="K106" s="39">
        <f>-'Transaction &amp; Liquidity'!K$114+K105</f>
        <v>17110916.789472274</v>
      </c>
      <c r="L106" s="39">
        <f>-'Transaction &amp; Liquidity'!L$114+L105</f>
        <v>-922366.64741261676</v>
      </c>
      <c r="M106" s="39">
        <f>-'Transaction &amp; Liquidity'!M$114+M105</f>
        <v>-519876.47730013402</v>
      </c>
      <c r="N106" s="39">
        <f>-'Transaction &amp; Liquidity'!N$114+N105</f>
        <v>-1334883.8415092812</v>
      </c>
    </row>
    <row r="107" spans="1:14" ht="15" customHeight="1" x14ac:dyDescent="0.3">
      <c r="A107" s="1" t="s">
        <v>47</v>
      </c>
      <c r="B107" s="6" t="s">
        <v>265</v>
      </c>
      <c r="C107" s="6" t="s">
        <v>211</v>
      </c>
      <c r="D107" s="41">
        <f>Returns!$E$56</f>
        <v>0.49819875086488025</v>
      </c>
      <c r="E107" s="13"/>
      <c r="F107" s="13"/>
      <c r="G107" s="13"/>
      <c r="H107" s="13"/>
      <c r="I107" s="13"/>
      <c r="J107" s="13"/>
      <c r="K107" s="13"/>
      <c r="L107" s="13"/>
      <c r="M107" s="13"/>
      <c r="N107" s="13"/>
    </row>
    <row r="108" spans="1:14" ht="15" customHeight="1" x14ac:dyDescent="0.3">
      <c r="A108" s="1" t="s">
        <v>266</v>
      </c>
      <c r="B108" s="6" t="s">
        <v>267</v>
      </c>
      <c r="C108" s="6" t="s">
        <v>211</v>
      </c>
      <c r="D108" s="62">
        <f>Returns!$E$57</f>
        <v>-0.15920530713648884</v>
      </c>
      <c r="E108" s="12"/>
      <c r="F108" s="12"/>
      <c r="G108" s="12"/>
      <c r="H108" s="12"/>
      <c r="I108" s="12"/>
      <c r="J108" s="12"/>
      <c r="K108" s="12"/>
      <c r="L108" s="12"/>
      <c r="M108" s="12"/>
      <c r="N108" s="12"/>
    </row>
    <row r="109" spans="1:14" ht="15" customHeight="1" x14ac:dyDescent="0.3">
      <c r="A109" s="6" t="s">
        <v>125</v>
      </c>
      <c r="B109" s="6" t="s">
        <v>265</v>
      </c>
      <c r="C109" s="6" t="s">
        <v>211</v>
      </c>
      <c r="D109" s="12">
        <f>Returns!$E$60</f>
        <v>0.29916047102050203</v>
      </c>
      <c r="E109" s="2"/>
      <c r="F109" s="2"/>
      <c r="G109" s="2"/>
      <c r="H109" s="2"/>
      <c r="I109" s="2"/>
      <c r="J109" s="2"/>
      <c r="K109" s="2"/>
      <c r="L109" s="2"/>
      <c r="M109" s="2"/>
      <c r="N109" s="2"/>
    </row>
    <row r="110" spans="1:14" ht="15" customHeight="1" x14ac:dyDescent="0.3">
      <c r="A110" s="6" t="s">
        <v>268</v>
      </c>
      <c r="B110" s="6" t="s">
        <v>218</v>
      </c>
      <c r="C110" s="6" t="s">
        <v>211</v>
      </c>
      <c r="D110" s="13">
        <f>N104-'Transaction &amp; Liquidity'!N$116</f>
        <v>0</v>
      </c>
      <c r="E110" s="10"/>
      <c r="F110" s="10"/>
      <c r="G110" s="10"/>
      <c r="H110" s="10"/>
      <c r="I110" s="10"/>
      <c r="J110" s="10"/>
      <c r="K110" s="10"/>
      <c r="L110" s="10"/>
      <c r="M110" s="10"/>
      <c r="N110" s="10"/>
    </row>
    <row r="111" spans="1:14" ht="15" customHeight="1" x14ac:dyDescent="0.3">
      <c r="A111" s="21"/>
      <c r="B111" s="21"/>
      <c r="C111" s="21"/>
      <c r="D111" s="21"/>
      <c r="E111" s="2"/>
      <c r="F111" s="2"/>
      <c r="G111" s="2"/>
      <c r="H111" s="2"/>
      <c r="I111" s="2"/>
      <c r="J111" s="2"/>
      <c r="K111" s="2"/>
      <c r="L111" s="2"/>
      <c r="M111" s="2"/>
      <c r="N111" s="2"/>
    </row>
    <row r="112" spans="1:14" ht="15" customHeight="1" x14ac:dyDescent="0.3">
      <c r="A112" s="21" t="s">
        <v>269</v>
      </c>
      <c r="B112" s="6"/>
      <c r="C112" s="6"/>
      <c r="D112" s="39"/>
      <c r="E112" s="2"/>
      <c r="F112" s="2"/>
      <c r="G112" s="2"/>
      <c r="H112" s="2"/>
      <c r="I112" s="2"/>
      <c r="J112" s="2"/>
      <c r="K112" s="2"/>
      <c r="L112" s="2"/>
      <c r="M112" s="2"/>
      <c r="N112" s="2"/>
    </row>
    <row r="113" spans="1:14" ht="15" customHeight="1" x14ac:dyDescent="0.3">
      <c r="A113" s="21" t="s">
        <v>202</v>
      </c>
      <c r="B113" s="6"/>
      <c r="C113" s="6"/>
      <c r="D113" s="21" t="s">
        <v>203</v>
      </c>
      <c r="E113" s="21" t="s">
        <v>204</v>
      </c>
      <c r="F113" s="21" t="s">
        <v>205</v>
      </c>
      <c r="G113" s="21" t="s">
        <v>9</v>
      </c>
      <c r="H113" s="21" t="s">
        <v>206</v>
      </c>
      <c r="I113" s="21" t="s">
        <v>10</v>
      </c>
      <c r="J113" s="21" t="s">
        <v>207</v>
      </c>
      <c r="K113" s="21" t="s">
        <v>11</v>
      </c>
      <c r="L113" s="21" t="s">
        <v>208</v>
      </c>
      <c r="M113" s="21" t="s">
        <v>209</v>
      </c>
      <c r="N113" s="21" t="s">
        <v>12</v>
      </c>
    </row>
    <row r="114" spans="1:14" ht="15" customHeight="1" x14ac:dyDescent="0.3">
      <c r="A114" s="6" t="s">
        <v>270</v>
      </c>
      <c r="B114" s="6" t="s">
        <v>219</v>
      </c>
      <c r="C114" s="6" t="s">
        <v>211</v>
      </c>
      <c r="D114" s="13">
        <f>'Org &amp; Capacity'!D$177</f>
        <v>6.58</v>
      </c>
      <c r="E114" s="13">
        <f>'Org &amp; Capacity'!E$177</f>
        <v>9.4</v>
      </c>
      <c r="F114" s="13">
        <f>'Org &amp; Capacity'!F$177</f>
        <v>14.45438</v>
      </c>
      <c r="G114" s="13">
        <f>'Org &amp; Capacity'!G$177</f>
        <v>23.288920180000002</v>
      </c>
      <c r="H114" s="13">
        <f>'Org &amp; Capacity'!H$177</f>
        <v>31.713656283980001</v>
      </c>
      <c r="I114" s="13">
        <f>'Org &amp; Capacity'!I$177</f>
        <v>34.782120874705782</v>
      </c>
      <c r="J114" s="13">
        <f>'Org &amp; Capacity'!J$177</f>
        <v>37.577492116856966</v>
      </c>
      <c r="K114" s="13">
        <f>'Org &amp; Capacity'!K$177</f>
        <v>40.124075318456697</v>
      </c>
      <c r="L114" s="13">
        <f>'Org &amp; Capacity'!L$177</f>
        <v>39.624012615114054</v>
      </c>
      <c r="M114" s="13">
        <f>'Org &amp; Capacity'!M$177</f>
        <v>36.097475492368901</v>
      </c>
      <c r="N114" s="13">
        <f>'Org &amp; Capacity'!N$177</f>
        <v>32.884800173548072</v>
      </c>
    </row>
    <row r="115" spans="1:14" ht="15" customHeight="1" x14ac:dyDescent="0.3">
      <c r="A115" s="6" t="s">
        <v>271</v>
      </c>
      <c r="B115" s="6" t="s">
        <v>219</v>
      </c>
      <c r="C115" s="6" t="s">
        <v>211</v>
      </c>
      <c r="D115" s="13">
        <f>'Org &amp; Capacity'!D$183</f>
        <v>8</v>
      </c>
      <c r="E115" s="13">
        <f>'Org &amp; Capacity'!E$183</f>
        <v>12.407813000000001</v>
      </c>
      <c r="F115" s="13">
        <f>'Org &amp; Capacity'!F$183</f>
        <v>16.871079999999999</v>
      </c>
      <c r="G115" s="13">
        <f>'Org &amp; Capacity'!G$183</f>
        <v>26.719389</v>
      </c>
      <c r="H115" s="13">
        <f>'Org &amp; Capacity'!H$183</f>
        <v>36.586241000000001</v>
      </c>
      <c r="I115" s="13">
        <f>'Org &amp; Capacity'!I$183</f>
        <v>42.133465000000001</v>
      </c>
      <c r="J115" s="13">
        <f>'Org &amp; Capacity'!J$183</f>
        <v>46.6</v>
      </c>
      <c r="K115" s="13">
        <f>'Org &amp; Capacity'!K$183</f>
        <v>46.6</v>
      </c>
      <c r="L115" s="13">
        <f>'Org &amp; Capacity'!L$183</f>
        <v>46.6</v>
      </c>
      <c r="M115" s="13">
        <f>'Org &amp; Capacity'!M$183</f>
        <v>46.6</v>
      </c>
      <c r="N115" s="13">
        <f>'Org &amp; Capacity'!N$183</f>
        <v>46.6</v>
      </c>
    </row>
    <row r="116" spans="1:14" ht="15" customHeight="1" x14ac:dyDescent="0.3">
      <c r="A116" s="6" t="s">
        <v>272</v>
      </c>
      <c r="B116" s="6" t="s">
        <v>219</v>
      </c>
      <c r="C116" s="6" t="s">
        <v>211</v>
      </c>
      <c r="D116" s="13">
        <f>'Org &amp; Capacity'!D$185</f>
        <v>7</v>
      </c>
      <c r="E116" s="13">
        <f>'Org &amp; Capacity'!E$185</f>
        <v>8</v>
      </c>
      <c r="F116" s="13">
        <f>'Org &amp; Capacity'!F$185</f>
        <v>8</v>
      </c>
      <c r="G116" s="13">
        <f>'Org &amp; Capacity'!G$185</f>
        <v>8</v>
      </c>
      <c r="H116" s="13">
        <f>'Org &amp; Capacity'!H$185</f>
        <v>8</v>
      </c>
      <c r="I116" s="13">
        <f>'Org &amp; Capacity'!I$185</f>
        <v>8</v>
      </c>
      <c r="J116" s="13">
        <f>'Org &amp; Capacity'!J$185</f>
        <v>8</v>
      </c>
      <c r="K116" s="13">
        <f>'Org &amp; Capacity'!K$185</f>
        <v>8</v>
      </c>
      <c r="L116" s="13">
        <f>'Org &amp; Capacity'!L$185</f>
        <v>8</v>
      </c>
      <c r="M116" s="13">
        <f>'Org &amp; Capacity'!M$185</f>
        <v>8</v>
      </c>
      <c r="N116" s="13">
        <f>'Org &amp; Capacity'!N$185</f>
        <v>8</v>
      </c>
    </row>
    <row r="117" spans="1:14" ht="15" customHeight="1" x14ac:dyDescent="0.3">
      <c r="A117" s="6" t="s">
        <v>273</v>
      </c>
      <c r="B117" s="6" t="s">
        <v>219</v>
      </c>
      <c r="C117" s="6" t="s">
        <v>217</v>
      </c>
      <c r="D117" s="13">
        <f>'Org &amp; Capacity'!D$188</f>
        <v>4</v>
      </c>
      <c r="E117" s="13">
        <f>'Org &amp; Capacity'!E$188</f>
        <v>4</v>
      </c>
      <c r="F117" s="13">
        <f>'Org &amp; Capacity'!F$188</f>
        <v>4</v>
      </c>
      <c r="G117" s="13">
        <f>'Org &amp; Capacity'!G$188</f>
        <v>4</v>
      </c>
      <c r="H117" s="13">
        <f>'Org &amp; Capacity'!H$188</f>
        <v>5</v>
      </c>
      <c r="I117" s="13">
        <f>'Org &amp; Capacity'!I$188</f>
        <v>5</v>
      </c>
      <c r="J117" s="13">
        <f>'Org &amp; Capacity'!J$188</f>
        <v>5</v>
      </c>
      <c r="K117" s="13">
        <f>'Org &amp; Capacity'!K$188</f>
        <v>5</v>
      </c>
      <c r="L117" s="13">
        <f>'Org &amp; Capacity'!L$188</f>
        <v>5</v>
      </c>
      <c r="M117" s="13">
        <f>'Org &amp; Capacity'!M$188</f>
        <v>5</v>
      </c>
      <c r="N117" s="13">
        <f>'Org &amp; Capacity'!N$188</f>
        <v>5</v>
      </c>
    </row>
    <row r="118" spans="1:14" ht="15" customHeight="1" x14ac:dyDescent="0.3">
      <c r="A118" s="6" t="s">
        <v>274</v>
      </c>
      <c r="B118" s="6" t="s">
        <v>219</v>
      </c>
      <c r="C118" s="6" t="s">
        <v>222</v>
      </c>
      <c r="D118" s="13">
        <f>'Org &amp; Capacity'!D$191</f>
        <v>0</v>
      </c>
      <c r="E118" s="13">
        <f>'Org &amp; Capacity'!E$191</f>
        <v>3</v>
      </c>
      <c r="F118" s="13">
        <f>'Org &amp; Capacity'!F$191</f>
        <v>3</v>
      </c>
      <c r="G118" s="13">
        <f>'Org &amp; Capacity'!G$191</f>
        <v>5</v>
      </c>
      <c r="H118" s="13">
        <f>'Org &amp; Capacity'!H$191</f>
        <v>8</v>
      </c>
      <c r="I118" s="13">
        <f>'Org &amp; Capacity'!I$191</f>
        <v>8</v>
      </c>
      <c r="J118" s="13">
        <f>'Org &amp; Capacity'!J$191</f>
        <v>9</v>
      </c>
      <c r="K118" s="13">
        <f>'Org &amp; Capacity'!K$191</f>
        <v>9</v>
      </c>
      <c r="L118" s="13">
        <f>'Org &amp; Capacity'!L$191</f>
        <v>9</v>
      </c>
      <c r="M118" s="13">
        <f>'Org &amp; Capacity'!M$191</f>
        <v>9</v>
      </c>
      <c r="N118" s="13">
        <f>'Org &amp; Capacity'!N$191</f>
        <v>9</v>
      </c>
    </row>
    <row r="119" spans="1:14" ht="15" customHeight="1" x14ac:dyDescent="0.3">
      <c r="A119" s="1" t="s">
        <v>275</v>
      </c>
      <c r="B119" s="6" t="s">
        <v>219</v>
      </c>
      <c r="C119" s="6" t="s">
        <v>211</v>
      </c>
      <c r="D119" s="26">
        <f>'Org &amp; Capacity'!D$198</f>
        <v>19</v>
      </c>
      <c r="E119" s="26">
        <f>'Org &amp; Capacity'!E$198</f>
        <v>27.407813000000001</v>
      </c>
      <c r="F119" s="26">
        <f>'Org &amp; Capacity'!F$198</f>
        <v>31.871079999999999</v>
      </c>
      <c r="G119" s="26">
        <f>'Org &amp; Capacity'!G$198</f>
        <v>43.719389</v>
      </c>
      <c r="H119" s="26">
        <f>'Org &amp; Capacity'!H$198</f>
        <v>57.586241000000001</v>
      </c>
      <c r="I119" s="26">
        <f>'Org &amp; Capacity'!I$198</f>
        <v>63.133465000000001</v>
      </c>
      <c r="J119" s="26">
        <f>'Org &amp; Capacity'!J$198</f>
        <v>68.599999999999994</v>
      </c>
      <c r="K119" s="26">
        <f>'Org &amp; Capacity'!K$198</f>
        <v>68.599999999999994</v>
      </c>
      <c r="L119" s="26">
        <f>'Org &amp; Capacity'!L$198</f>
        <v>68.599999999999994</v>
      </c>
      <c r="M119" s="26">
        <f>'Org &amp; Capacity'!M$198</f>
        <v>68.599999999999994</v>
      </c>
      <c r="N119" s="26">
        <f>'Org &amp; Capacity'!N$198</f>
        <v>68.599999999999994</v>
      </c>
    </row>
    <row r="120" spans="1:14" ht="15" customHeight="1" x14ac:dyDescent="0.3">
      <c r="A120" s="6" t="s">
        <v>276</v>
      </c>
      <c r="B120" s="6" t="s">
        <v>219</v>
      </c>
      <c r="C120" s="6" t="s">
        <v>220</v>
      </c>
      <c r="D120" s="13">
        <f>'Org &amp; Capacity'!D$199</f>
        <v>178</v>
      </c>
      <c r="E120" s="13">
        <f>'Org &amp; Capacity'!E$199</f>
        <v>244</v>
      </c>
      <c r="F120" s="13">
        <f>'Org &amp; Capacity'!F$199</f>
        <v>382</v>
      </c>
      <c r="G120" s="13">
        <f>'Org &amp; Capacity'!G$199</f>
        <v>633</v>
      </c>
      <c r="H120" s="13">
        <f>'Org &amp; Capacity'!H$199</f>
        <v>894</v>
      </c>
      <c r="I120" s="13">
        <f>'Org &amp; Capacity'!I$199</f>
        <v>1056</v>
      </c>
      <c r="J120" s="13">
        <f>'Org &amp; Capacity'!J$199</f>
        <v>1193</v>
      </c>
      <c r="K120" s="13">
        <f>'Org &amp; Capacity'!K$199</f>
        <v>1193</v>
      </c>
      <c r="L120" s="13">
        <f>'Org &amp; Capacity'!L$199</f>
        <v>1193</v>
      </c>
      <c r="M120" s="13">
        <f>'Org &amp; Capacity'!M$199</f>
        <v>1193</v>
      </c>
      <c r="N120" s="13">
        <f>'Org &amp; Capacity'!N$199</f>
        <v>1193</v>
      </c>
    </row>
    <row r="121" spans="1:14" ht="15" customHeight="1" x14ac:dyDescent="0.3">
      <c r="A121" s="6" t="s">
        <v>277</v>
      </c>
      <c r="B121" s="6" t="s">
        <v>210</v>
      </c>
      <c r="C121" s="6" t="s">
        <v>211</v>
      </c>
      <c r="D121" s="13">
        <f>IF(D119=0,0,'Operating Case'!D$50/D119)</f>
        <v>386.51315789473682</v>
      </c>
      <c r="E121" s="13">
        <f>IF(E119=0,0,'Operating Case'!E$50/E119)</f>
        <v>368.42254615499598</v>
      </c>
      <c r="F121" s="13">
        <f>IF(F119=0,0,'Operating Case'!F$50/F119)</f>
        <v>498.52395573039888</v>
      </c>
      <c r="G121" s="13">
        <f>IF(G119=0,0,'Operating Case'!G$50/G119)</f>
        <v>605.96364344633241</v>
      </c>
      <c r="H121" s="13">
        <f>IF(H119=0,0,'Operating Case'!H$50/H119)</f>
        <v>648.21046292348524</v>
      </c>
      <c r="I121" s="13">
        <f>IF(I119=0,0,'Operating Case'!I$50/I119)</f>
        <v>699.60205988181156</v>
      </c>
      <c r="J121" s="13">
        <f>IF(J119=0,0,'Operating Case'!J$50/J119)</f>
        <v>728.86297376093296</v>
      </c>
      <c r="K121" s="13">
        <f>IF(K119=0,0,'Operating Case'!K$50/K119)</f>
        <v>728.86297376093296</v>
      </c>
      <c r="L121" s="13">
        <f>IF(L119=0,0,'Operating Case'!L$50/L119)</f>
        <v>728.86297376093296</v>
      </c>
      <c r="M121" s="13">
        <f>IF(M119=0,0,'Operating Case'!M$50/M119)</f>
        <v>728.86297376093296</v>
      </c>
      <c r="N121" s="13">
        <f>IF(N119=0,0,'Operating Case'!N$50/N119)</f>
        <v>728.86297376093296</v>
      </c>
    </row>
    <row r="122" spans="1:14" ht="15" customHeight="1" x14ac:dyDescent="0.3">
      <c r="A122" s="6"/>
      <c r="B122" s="6"/>
      <c r="C122" s="6"/>
      <c r="D122" s="13"/>
      <c r="E122" s="2"/>
      <c r="F122" s="6"/>
      <c r="G122" s="2"/>
      <c r="H122" s="2"/>
      <c r="I122" s="2"/>
      <c r="J122" s="2"/>
      <c r="K122" s="2"/>
      <c r="L122" s="2"/>
      <c r="M122" s="2"/>
      <c r="N122" s="2"/>
    </row>
    <row r="123" spans="1:14" ht="15" customHeight="1" x14ac:dyDescent="0.3">
      <c r="A123" s="21" t="s">
        <v>278</v>
      </c>
      <c r="B123" s="6"/>
      <c r="C123" s="6"/>
      <c r="D123" s="13"/>
      <c r="E123" s="2"/>
      <c r="F123" s="2"/>
      <c r="G123" s="2"/>
      <c r="H123" s="2"/>
      <c r="I123" s="2"/>
      <c r="J123" s="2"/>
      <c r="K123" s="2"/>
      <c r="L123" s="2"/>
      <c r="M123" s="2"/>
      <c r="N123" s="2"/>
    </row>
    <row r="124" spans="1:14" ht="15" customHeight="1" x14ac:dyDescent="0.3">
      <c r="A124" s="21" t="s">
        <v>202</v>
      </c>
      <c r="B124" s="6"/>
      <c r="C124" s="6"/>
      <c r="D124" s="21" t="s">
        <v>203</v>
      </c>
      <c r="E124" s="21" t="s">
        <v>204</v>
      </c>
      <c r="F124" s="21" t="s">
        <v>205</v>
      </c>
      <c r="G124" s="21" t="s">
        <v>9</v>
      </c>
      <c r="H124" s="21" t="s">
        <v>206</v>
      </c>
      <c r="I124" s="21" t="s">
        <v>10</v>
      </c>
      <c r="J124" s="21" t="s">
        <v>207</v>
      </c>
      <c r="K124" s="21" t="s">
        <v>11</v>
      </c>
      <c r="L124" s="21" t="s">
        <v>208</v>
      </c>
      <c r="M124" s="21" t="s">
        <v>209</v>
      </c>
      <c r="N124" s="21" t="s">
        <v>12</v>
      </c>
    </row>
    <row r="125" spans="1:14" ht="15" customHeight="1" x14ac:dyDescent="0.3">
      <c r="A125" s="6" t="s">
        <v>279</v>
      </c>
      <c r="B125" s="6" t="s">
        <v>218</v>
      </c>
      <c r="C125" s="6" t="s">
        <v>211</v>
      </c>
      <c r="D125" s="13">
        <f>'Org &amp; Capacity'!D$178</f>
        <v>1009700.462693161</v>
      </c>
      <c r="E125" s="13">
        <f>'Org &amp; Capacity'!E$178</f>
        <v>1384134.3332616447</v>
      </c>
      <c r="F125" s="13">
        <f>'Org &amp; Capacity'!F$178</f>
        <v>2104432.895215489</v>
      </c>
      <c r="G125" s="13">
        <f>'Org &amp; Capacity'!G$178</f>
        <v>3518394.8200000501</v>
      </c>
      <c r="H125" s="13">
        <f>'Org &amp; Capacity'!H$178</f>
        <v>4956914.5178486947</v>
      </c>
      <c r="I125" s="13">
        <f>'Org &amp; Capacity'!I$178</f>
        <v>5531585.986895185</v>
      </c>
      <c r="J125" s="13">
        <f>'Org &amp; Capacity'!J$178</f>
        <v>6097228.3980664453</v>
      </c>
      <c r="K125" s="13">
        <f>'Org &amp; Capacity'!K$178</f>
        <v>6655190.901310266</v>
      </c>
      <c r="L125" s="13">
        <f>'Org &amp; Capacity'!L$178</f>
        <v>6746256.7825935623</v>
      </c>
      <c r="M125" s="13">
        <f>'Org &amp; Capacity'!M$178</f>
        <v>6330215.1268110182</v>
      </c>
      <c r="N125" s="13">
        <f>'Org &amp; Capacity'!N$178</f>
        <v>5939830.7599405823</v>
      </c>
    </row>
    <row r="126" spans="1:14" ht="15" customHeight="1" x14ac:dyDescent="0.3">
      <c r="A126" s="6" t="s">
        <v>243</v>
      </c>
      <c r="B126" s="6" t="s">
        <v>218</v>
      </c>
      <c r="C126" s="6" t="s">
        <v>211</v>
      </c>
      <c r="D126" s="13">
        <f>'Org &amp; Capacity'!D$184</f>
        <v>862012.62999999989</v>
      </c>
      <c r="E126" s="13">
        <f>'Org &amp; Capacity'!E$184</f>
        <v>1740982.2791857501</v>
      </c>
      <c r="F126" s="13">
        <f>'Org &amp; Capacity'!F$184</f>
        <v>2343782.8318440998</v>
      </c>
      <c r="G126" s="13">
        <f>'Org &amp; Capacity'!G$184</f>
        <v>3790121.0972822127</v>
      </c>
      <c r="H126" s="13">
        <f>'Org &amp; Capacity'!H$184</f>
        <v>5211901.0344628152</v>
      </c>
      <c r="I126" s="13">
        <f>'Org &amp; Capacity'!I$184</f>
        <v>6143522.1012323834</v>
      </c>
      <c r="J126" s="13">
        <f>'Org &amp; Capacity'!J$184</f>
        <v>6948193.2986329906</v>
      </c>
      <c r="K126" s="13">
        <f>'Org &amp; Capacity'!K$184</f>
        <v>7156639.0975919804</v>
      </c>
      <c r="L126" s="13">
        <f>'Org &amp; Capacity'!L$184</f>
        <v>7371338.2705197409</v>
      </c>
      <c r="M126" s="13">
        <f>'Org &amp; Capacity'!M$184</f>
        <v>7592478.418635332</v>
      </c>
      <c r="N126" s="13">
        <f>'Org &amp; Capacity'!N$184</f>
        <v>7820252.7711943919</v>
      </c>
    </row>
    <row r="127" spans="1:14" ht="15" customHeight="1" x14ac:dyDescent="0.3">
      <c r="A127" s="6" t="s">
        <v>255</v>
      </c>
      <c r="B127" s="6" t="s">
        <v>218</v>
      </c>
      <c r="C127" s="6" t="s">
        <v>211</v>
      </c>
      <c r="D127" s="13">
        <f>'Org &amp; Capacity'!D$186</f>
        <v>1446175.214445</v>
      </c>
      <c r="E127" s="13">
        <f>'Org &amp; Capacity'!E$186</f>
        <v>1651887.6259450002</v>
      </c>
      <c r="F127" s="13">
        <f>'Org &amp; Capacity'!F$186</f>
        <v>1701444.2547233503</v>
      </c>
      <c r="G127" s="13">
        <f>'Org &amp; Capacity'!G$186</f>
        <v>1752487.5823650507</v>
      </c>
      <c r="H127" s="13">
        <f>'Org &amp; Capacity'!H$186</f>
        <v>1805062.2098360022</v>
      </c>
      <c r="I127" s="13">
        <f>'Org &amp; Capacity'!I$186</f>
        <v>1859214.0761310821</v>
      </c>
      <c r="J127" s="13">
        <f>'Org &amp; Capacity'!J$186</f>
        <v>1914990.4984150145</v>
      </c>
      <c r="K127" s="13">
        <f>'Org &amp; Capacity'!K$186</f>
        <v>1972440.2133674652</v>
      </c>
      <c r="L127" s="13">
        <f>'Org &amp; Capacity'!L$186</f>
        <v>2031613.4197684892</v>
      </c>
      <c r="M127" s="13">
        <f>'Org &amp; Capacity'!M$186</f>
        <v>2092561.8223615435</v>
      </c>
      <c r="N127" s="13">
        <f>'Org &amp; Capacity'!N$186</f>
        <v>2155338.6770323901</v>
      </c>
    </row>
    <row r="128" spans="1:14" ht="15" customHeight="1" x14ac:dyDescent="0.3">
      <c r="A128" s="6" t="s">
        <v>280</v>
      </c>
      <c r="B128" s="6" t="s">
        <v>218</v>
      </c>
      <c r="C128" s="6" t="s">
        <v>211</v>
      </c>
      <c r="D128" s="13">
        <f>'Org &amp; Capacity'!D$187</f>
        <v>0</v>
      </c>
      <c r="E128" s="13">
        <f>'Org &amp; Capacity'!E$187</f>
        <v>0</v>
      </c>
      <c r="F128" s="13">
        <f>'Org &amp; Capacity'!F$187</f>
        <v>0</v>
      </c>
      <c r="G128" s="13">
        <f>'Org &amp; Capacity'!G$187</f>
        <v>0</v>
      </c>
      <c r="H128" s="13">
        <f>'Org &amp; Capacity'!H$187</f>
        <v>0</v>
      </c>
      <c r="I128" s="13">
        <f>'Org &amp; Capacity'!I$187</f>
        <v>0</v>
      </c>
      <c r="J128" s="13">
        <f>'Org &amp; Capacity'!J$187</f>
        <v>0</v>
      </c>
      <c r="K128" s="13">
        <f>'Org &amp; Capacity'!K$187</f>
        <v>0</v>
      </c>
      <c r="L128" s="13">
        <f>'Org &amp; Capacity'!L$187</f>
        <v>0</v>
      </c>
      <c r="M128" s="13">
        <f>'Org &amp; Capacity'!M$187</f>
        <v>0</v>
      </c>
      <c r="N128" s="13">
        <f>'Org &amp; Capacity'!N$187</f>
        <v>0</v>
      </c>
    </row>
    <row r="129" spans="1:14" ht="15" customHeight="1" x14ac:dyDescent="0.3">
      <c r="A129" s="6" t="s">
        <v>187</v>
      </c>
      <c r="B129" s="6" t="s">
        <v>218</v>
      </c>
      <c r="C129" s="6" t="s">
        <v>217</v>
      </c>
      <c r="D129" s="13">
        <f>'Org &amp; Capacity'!D$189</f>
        <v>685510.07499999995</v>
      </c>
      <c r="E129" s="13">
        <f>'Org &amp; Capacity'!E$189</f>
        <v>685510.07499999995</v>
      </c>
      <c r="F129" s="13">
        <f>'Org &amp; Capacity'!F$189</f>
        <v>706075.37725000002</v>
      </c>
      <c r="G129" s="13">
        <f>'Org &amp; Capacity'!G$189</f>
        <v>727257.63856749993</v>
      </c>
      <c r="H129" s="13">
        <f>'Org &amp; Capacity'!H$189</f>
        <v>885668.20963312499</v>
      </c>
      <c r="I129" s="13">
        <f>'Org &amp; Capacity'!I$189</f>
        <v>912238.25592211867</v>
      </c>
      <c r="J129" s="13">
        <f>'Org &amp; Capacity'!J$189</f>
        <v>939605.40359978215</v>
      </c>
      <c r="K129" s="13">
        <f>'Org &amp; Capacity'!K$189</f>
        <v>967793.56570777576</v>
      </c>
      <c r="L129" s="13">
        <f>'Org &amp; Capacity'!L$189</f>
        <v>996827.37267900899</v>
      </c>
      <c r="M129" s="13">
        <f>'Org &amp; Capacity'!M$189</f>
        <v>1026732.1938593792</v>
      </c>
      <c r="N129" s="13">
        <f>'Org &amp; Capacity'!N$189</f>
        <v>1057534.1596751607</v>
      </c>
    </row>
    <row r="130" spans="1:14" ht="15" customHeight="1" x14ac:dyDescent="0.3">
      <c r="A130" s="6" t="s">
        <v>247</v>
      </c>
      <c r="B130" s="6" t="s">
        <v>218</v>
      </c>
      <c r="C130" s="6" t="s">
        <v>222</v>
      </c>
      <c r="D130" s="13">
        <f>'Org &amp; Capacity'!D$192</f>
        <v>0</v>
      </c>
      <c r="E130" s="13">
        <f>'Org &amp; Capacity'!E$192</f>
        <v>343395.9975</v>
      </c>
      <c r="F130" s="13">
        <f>'Org &amp; Capacity'!F$192</f>
        <v>353697.87742500001</v>
      </c>
      <c r="G130" s="13">
        <f>'Org &amp; Capacity'!G$192</f>
        <v>564396.21776939998</v>
      </c>
      <c r="H130" s="13">
        <f>'Org &amp; Capacity'!H$192</f>
        <v>956566.18246266444</v>
      </c>
      <c r="I130" s="13">
        <f>'Org &amp; Capacity'!I$192</f>
        <v>985263.16793654428</v>
      </c>
      <c r="J130" s="13">
        <f>'Org &amp; Capacity'!J$192</f>
        <v>1117227.8562964427</v>
      </c>
      <c r="K130" s="13">
        <f>'Org &amp; Capacity'!K$192</f>
        <v>1150744.6919853359</v>
      </c>
      <c r="L130" s="13">
        <f>'Org &amp; Capacity'!L$192</f>
        <v>1185267.0327448961</v>
      </c>
      <c r="M130" s="13">
        <f>'Org &amp; Capacity'!M$192</f>
        <v>1220825.0437272429</v>
      </c>
      <c r="N130" s="13">
        <f>'Org &amp; Capacity'!N$192</f>
        <v>1257449.7950390603</v>
      </c>
    </row>
    <row r="131" spans="1:14" ht="15" customHeight="1" x14ac:dyDescent="0.3">
      <c r="A131" s="6" t="s">
        <v>244</v>
      </c>
      <c r="B131" s="6" t="s">
        <v>218</v>
      </c>
      <c r="C131" s="6" t="s">
        <v>245</v>
      </c>
      <c r="D131" s="13">
        <f>'Org &amp; Capacity'!D$193</f>
        <v>671159.36935027409</v>
      </c>
      <c r="E131" s="13">
        <f>'Org &amp; Capacity'!E$193</f>
        <v>238750.17162256665</v>
      </c>
      <c r="F131" s="13">
        <f>'Org &amp; Capacity'!F$193</f>
        <v>457597.4603833328</v>
      </c>
      <c r="G131" s="13">
        <f>'Org &amp; Capacity'!G$193</f>
        <v>901330.25562120765</v>
      </c>
      <c r="H131" s="13">
        <f>'Org &amp; Capacity'!H$193</f>
        <v>917166.30889076367</v>
      </c>
      <c r="I131" s="13">
        <f>'Org &amp; Capacity'!I$193</f>
        <v>364865.67571130209</v>
      </c>
      <c r="J131" s="13">
        <f>'Org &amp; Capacity'!J$193</f>
        <v>359204.80495873699</v>
      </c>
      <c r="K131" s="13">
        <f>'Org &amp; Capacity'!K$193</f>
        <v>354398.25196954003</v>
      </c>
      <c r="L131" s="13">
        <f>'Org &amp; Capacity'!L$193</f>
        <v>56775.890878870152</v>
      </c>
      <c r="M131" s="13">
        <f>'Org &amp; Capacity'!M$193</f>
        <v>0</v>
      </c>
      <c r="N131" s="13">
        <f>'Org &amp; Capacity'!N$193</f>
        <v>0</v>
      </c>
    </row>
    <row r="132" spans="1:14" ht="15" customHeight="1" x14ac:dyDescent="0.3">
      <c r="A132" s="1" t="s">
        <v>281</v>
      </c>
      <c r="B132" s="6" t="s">
        <v>218</v>
      </c>
      <c r="C132" s="6" t="s">
        <v>211</v>
      </c>
      <c r="D132" s="61">
        <f t="shared" ref="D132:N132" si="6">D126+D127+D129+D130+D131</f>
        <v>3664857.2887952738</v>
      </c>
      <c r="E132" s="61">
        <f t="shared" si="6"/>
        <v>4660526.1492533172</v>
      </c>
      <c r="F132" s="61">
        <f t="shared" si="6"/>
        <v>5562597.8016257826</v>
      </c>
      <c r="G132" s="61">
        <f t="shared" si="6"/>
        <v>7735592.7916053711</v>
      </c>
      <c r="H132" s="61">
        <f t="shared" si="6"/>
        <v>9776363.9452853706</v>
      </c>
      <c r="I132" s="61">
        <f t="shared" si="6"/>
        <v>10265103.276933432</v>
      </c>
      <c r="J132" s="61">
        <f t="shared" si="6"/>
        <v>11279221.861902965</v>
      </c>
      <c r="K132" s="61">
        <f t="shared" si="6"/>
        <v>11602015.820622096</v>
      </c>
      <c r="L132" s="61">
        <f t="shared" si="6"/>
        <v>11641821.986591004</v>
      </c>
      <c r="M132" s="61">
        <f t="shared" si="6"/>
        <v>11932597.478583498</v>
      </c>
      <c r="N132" s="61">
        <f t="shared" si="6"/>
        <v>12290575.402941002</v>
      </c>
    </row>
    <row r="133" spans="1:14" ht="15" customHeight="1" x14ac:dyDescent="0.3">
      <c r="A133" s="6" t="s">
        <v>282</v>
      </c>
      <c r="B133" s="6" t="s">
        <v>218</v>
      </c>
      <c r="C133" s="6" t="s">
        <v>220</v>
      </c>
      <c r="D133" s="13">
        <f>'Org &amp; Capacity'!D$202</f>
        <v>12969207.5</v>
      </c>
      <c r="E133" s="13">
        <f>'Org &amp; Capacity'!E$202</f>
        <v>17772495</v>
      </c>
      <c r="F133" s="13">
        <f>'Org &amp; Capacity'!F$202</f>
        <v>28646754.490000002</v>
      </c>
      <c r="G133" s="13">
        <f>'Org &amp; Capacity'!G$202</f>
        <v>48895341.634099998</v>
      </c>
      <c r="H133" s="13">
        <f>'Org &amp; Capacity'!H$202</f>
        <v>71139703.711025506</v>
      </c>
      <c r="I133" s="13">
        <f>'Org &amp; Capacity'!I$202</f>
        <v>86538490.550169677</v>
      </c>
      <c r="J133" s="13">
        <f>'Org &amp; Capacity'!J$202</f>
        <v>100706300.55317435</v>
      </c>
      <c r="K133" s="13">
        <f>'Org &amp; Capacity'!K$202</f>
        <v>103727489.56976959</v>
      </c>
      <c r="L133" s="13">
        <f>'Org &amp; Capacity'!L$202</f>
        <v>106839314.25686269</v>
      </c>
      <c r="M133" s="13">
        <f>'Org &amp; Capacity'!M$202</f>
        <v>110044493.68456855</v>
      </c>
      <c r="N133" s="13">
        <f>'Org &amp; Capacity'!N$202</f>
        <v>113345828.49510561</v>
      </c>
    </row>
    <row r="134" spans="1:14" ht="15" customHeight="1" x14ac:dyDescent="0.3">
      <c r="A134" s="6" t="s">
        <v>283</v>
      </c>
      <c r="B134" s="6" t="s">
        <v>265</v>
      </c>
      <c r="C134" s="6" t="s">
        <v>211</v>
      </c>
      <c r="D134" s="12">
        <f>'Org &amp; Capacity'!$I$61</f>
        <v>1.2062329576774666</v>
      </c>
      <c r="E134" s="12">
        <f>'Org &amp; Capacity'!$I$61</f>
        <v>1.2062329576774666</v>
      </c>
      <c r="F134" s="12">
        <f>'Org &amp; Capacity'!$I$61</f>
        <v>1.2062329576774666</v>
      </c>
      <c r="G134" s="12">
        <f>'Org &amp; Capacity'!$I$61</f>
        <v>1.2062329576774666</v>
      </c>
      <c r="H134" s="12">
        <f>'Org &amp; Capacity'!$I$61</f>
        <v>1.2062329576774666</v>
      </c>
      <c r="I134" s="12">
        <f>'Org &amp; Capacity'!$I$61</f>
        <v>1.2062329576774666</v>
      </c>
      <c r="J134" s="12">
        <f>'Org &amp; Capacity'!$I$61</f>
        <v>1.2062329576774666</v>
      </c>
      <c r="K134" s="12">
        <f>'Org &amp; Capacity'!$I$61</f>
        <v>1.2062329576774666</v>
      </c>
      <c r="L134" s="12">
        <f>'Org &amp; Capacity'!$I$61</f>
        <v>1.2062329576774666</v>
      </c>
      <c r="M134" s="12">
        <f>'Org &amp; Capacity'!$I$61</f>
        <v>1.2062329576774666</v>
      </c>
      <c r="N134" s="12">
        <f>'Org &amp; Capacity'!$I$61</f>
        <v>1.2062329576774666</v>
      </c>
    </row>
    <row r="136" spans="1:14" ht="15" customHeight="1" x14ac:dyDescent="0.25">
      <c r="A136" s="21" t="s">
        <v>284</v>
      </c>
    </row>
    <row r="137" spans="1:14" ht="15" customHeight="1" x14ac:dyDescent="0.25">
      <c r="A137" s="21" t="s">
        <v>202</v>
      </c>
      <c r="B137" s="21" t="s">
        <v>285</v>
      </c>
      <c r="C137" s="21" t="s">
        <v>286</v>
      </c>
      <c r="D137" s="21" t="s">
        <v>287</v>
      </c>
    </row>
    <row r="138" spans="1:14" ht="15" customHeight="1" x14ac:dyDescent="0.3">
      <c r="A138" s="1" t="s">
        <v>288</v>
      </c>
      <c r="B138" s="6" t="s">
        <v>289</v>
      </c>
      <c r="C138" s="6" t="s">
        <v>211</v>
      </c>
      <c r="D138" s="39">
        <f>'Operating Case'!K$55</f>
        <v>5171512.0236327406</v>
      </c>
    </row>
    <row r="139" spans="1:14" ht="15" customHeight="1" x14ac:dyDescent="0.3">
      <c r="A139" s="6" t="s">
        <v>241</v>
      </c>
      <c r="B139" s="6" t="s">
        <v>289</v>
      </c>
      <c r="C139" s="6" t="s">
        <v>211</v>
      </c>
      <c r="D139" s="13">
        <f>'Operating Case'!K$56</f>
        <v>1228487.9763672594</v>
      </c>
    </row>
    <row r="140" spans="1:14" ht="15" customHeight="1" x14ac:dyDescent="0.3">
      <c r="A140" s="6" t="s">
        <v>290</v>
      </c>
      <c r="B140" s="6" t="s">
        <v>289</v>
      </c>
      <c r="C140" s="6" t="s">
        <v>211</v>
      </c>
      <c r="D140" s="13">
        <f>'Operating Case'!K$58+'Operating Case'!K$59+'Operating Case'!K$60+'Operating Case'!K$61+'Operating Case'!K$62+'Operating Case'!K$64+'Operating Case'!K$65</f>
        <v>-108636.31825384824</v>
      </c>
    </row>
    <row r="141" spans="1:14" ht="15" customHeight="1" x14ac:dyDescent="0.3">
      <c r="A141" s="6" t="s">
        <v>291</v>
      </c>
      <c r="B141" s="6" t="s">
        <v>289</v>
      </c>
      <c r="C141" s="6" t="s">
        <v>211</v>
      </c>
      <c r="D141" s="13">
        <f>'Operating Case'!K$74</f>
        <v>-415602.30971386773</v>
      </c>
    </row>
    <row r="142" spans="1:14" ht="15" customHeight="1" x14ac:dyDescent="0.3">
      <c r="A142" s="6" t="s">
        <v>292</v>
      </c>
      <c r="B142" s="6" t="s">
        <v>289</v>
      </c>
      <c r="C142" s="6" t="s">
        <v>211</v>
      </c>
      <c r="D142" s="13">
        <f>'Operating Case'!K$77+'Operating Case'!K$78</f>
        <v>-2965403.5919466657</v>
      </c>
    </row>
    <row r="143" spans="1:14" ht="15" customHeight="1" x14ac:dyDescent="0.3">
      <c r="A143" s="1" t="s">
        <v>256</v>
      </c>
      <c r="B143" s="6" t="s">
        <v>289</v>
      </c>
      <c r="C143" s="6" t="s">
        <v>211</v>
      </c>
      <c r="D143" s="26">
        <f>'Operating Case'!K$79</f>
        <v>2910357.7800856186</v>
      </c>
    </row>
    <row r="144" spans="1:14" ht="15" customHeight="1" x14ac:dyDescent="0.3">
      <c r="A144" s="6" t="s">
        <v>293</v>
      </c>
      <c r="B144" s="6" t="s">
        <v>289</v>
      </c>
      <c r="C144" s="6" t="s">
        <v>211</v>
      </c>
      <c r="D144" s="13">
        <f>INDEX(Assumptions!$D$23:$F$23,1,2)</f>
        <v>10000000</v>
      </c>
    </row>
    <row r="145" spans="1:6" ht="15" customHeight="1" x14ac:dyDescent="0.3">
      <c r="A145" s="6" t="s">
        <v>294</v>
      </c>
      <c r="B145" s="6" t="s">
        <v>289</v>
      </c>
      <c r="C145" s="6" t="s">
        <v>211</v>
      </c>
      <c r="D145" s="7">
        <f>'Operating Case'!K$79-INDEX(Assumptions!$D$23:$F$23,1,2)</f>
        <v>-7089642.2199143814</v>
      </c>
    </row>
    <row r="146" spans="1:6" ht="15" customHeight="1" x14ac:dyDescent="0.3">
      <c r="A146" s="6" t="s">
        <v>40</v>
      </c>
      <c r="B146" s="6" t="s">
        <v>289</v>
      </c>
      <c r="C146" s="6" t="s">
        <v>211</v>
      </c>
      <c r="D146" s="13">
        <f>'Transaction &amp; Liquidity'!K$116</f>
        <v>38639176.836959675</v>
      </c>
    </row>
    <row r="147" spans="1:6" ht="15" customHeight="1" x14ac:dyDescent="0.3">
      <c r="A147" s="6" t="s">
        <v>13</v>
      </c>
      <c r="B147" s="6" t="s">
        <v>289</v>
      </c>
      <c r="C147" s="6" t="s">
        <v>211</v>
      </c>
      <c r="D147" s="13">
        <f>'Operating Case'!K$50</f>
        <v>50000</v>
      </c>
    </row>
    <row r="148" spans="1:6" ht="15" customHeight="1" x14ac:dyDescent="0.3">
      <c r="A148" s="6" t="s">
        <v>295</v>
      </c>
      <c r="B148" s="6" t="s">
        <v>289</v>
      </c>
      <c r="C148" s="6" t="s">
        <v>211</v>
      </c>
      <c r="D148" s="13">
        <f>IF('Operating Case'!K$50=0,0,INDEX(Assumptions!$D$23:$F$23,1,2)/'Operating Case'!K$50)</f>
        <v>200</v>
      </c>
      <c r="F148" s="6" t="s">
        <v>296</v>
      </c>
    </row>
    <row r="149" spans="1:6" ht="15" customHeight="1" x14ac:dyDescent="0.3">
      <c r="A149" s="6" t="s">
        <v>297</v>
      </c>
      <c r="B149" s="6" t="s">
        <v>289</v>
      </c>
      <c r="C149" s="6" t="s">
        <v>211</v>
      </c>
      <c r="D149" s="13">
        <f>'Operating Case'!K$86</f>
        <v>58.207155601712373</v>
      </c>
    </row>
    <row r="150" spans="1:6" ht="15" customHeight="1" x14ac:dyDescent="0.3">
      <c r="A150" s="6" t="s">
        <v>298</v>
      </c>
      <c r="B150" s="6" t="s">
        <v>289</v>
      </c>
      <c r="C150" s="6" t="s">
        <v>211</v>
      </c>
      <c r="D150" s="19">
        <f>'Operating Case'!K$87</f>
        <v>0.1958735130511895</v>
      </c>
    </row>
    <row r="151" spans="1:6" ht="15" customHeight="1" x14ac:dyDescent="0.3">
      <c r="A151" s="1" t="s">
        <v>299</v>
      </c>
      <c r="B151" s="6" t="s">
        <v>289</v>
      </c>
      <c r="C151" s="6" t="s">
        <v>211</v>
      </c>
      <c r="D151" s="62">
        <f>'Operating Case'!K$88</f>
        <v>8.5412490652747433E-2</v>
      </c>
    </row>
    <row r="152" spans="1:6" ht="15" customHeight="1" x14ac:dyDescent="0.3">
      <c r="A152" s="6" t="s">
        <v>300</v>
      </c>
      <c r="B152" s="6" t="s">
        <v>289</v>
      </c>
      <c r="C152" s="6" t="s">
        <v>211</v>
      </c>
      <c r="D152" s="19">
        <f>'Operating Case'!K$89</f>
        <v>-0.11046102239844206</v>
      </c>
    </row>
    <row r="154" spans="1:6" ht="15" customHeight="1" x14ac:dyDescent="0.3">
      <c r="A154" s="6" t="s">
        <v>301</v>
      </c>
      <c r="B154" s="6" t="s">
        <v>289</v>
      </c>
      <c r="C154" s="6" t="s">
        <v>211</v>
      </c>
      <c r="D154" s="63">
        <f>K58</f>
        <v>0</v>
      </c>
      <c r="F154" s="6" t="s">
        <v>302</v>
      </c>
    </row>
    <row r="155" spans="1:6" ht="15" customHeight="1" x14ac:dyDescent="0.3">
      <c r="A155" s="6" t="s">
        <v>303</v>
      </c>
      <c r="B155" s="6" t="s">
        <v>289</v>
      </c>
      <c r="C155" s="6" t="s">
        <v>211</v>
      </c>
      <c r="D155" s="63">
        <f>K72</f>
        <v>0</v>
      </c>
    </row>
    <row r="156" spans="1:6" ht="15" customHeight="1" x14ac:dyDescent="0.3">
      <c r="A156" s="6" t="s">
        <v>304</v>
      </c>
      <c r="B156" s="6" t="s">
        <v>289</v>
      </c>
      <c r="C156" s="6" t="s">
        <v>211</v>
      </c>
      <c r="D156" s="63">
        <f>K97</f>
        <v>0</v>
      </c>
    </row>
    <row r="157" spans="1:6" ht="15" customHeight="1" x14ac:dyDescent="0.3">
      <c r="A157" s="6" t="s">
        <v>305</v>
      </c>
      <c r="B157" s="6" t="s">
        <v>289</v>
      </c>
      <c r="C157" s="6" t="s">
        <v>211</v>
      </c>
      <c r="D157" s="63">
        <f>D110</f>
        <v>0</v>
      </c>
    </row>
    <row r="158" spans="1:6" ht="15" customHeight="1" x14ac:dyDescent="0.3">
      <c r="A158" s="6" t="s">
        <v>306</v>
      </c>
      <c r="B158" s="6" t="s">
        <v>289</v>
      </c>
      <c r="C158" s="6" t="s">
        <v>211</v>
      </c>
      <c r="D158" s="13">
        <f>K132-('Org &amp; Capacity'!K$184+'Org &amp; Capacity'!K$186+'Org &amp; Capacity'!K$189+'Org &amp; Capacity'!K$192+'Org &amp; Capacity'!K$193)</f>
        <v>0</v>
      </c>
    </row>
  </sheetData>
  <pageMargins left="0.7" right="0.7" top="0.75" bottom="0.75" header="0.511811023622047" footer="0.511811023622047"/>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113"/>
  <sheetViews>
    <sheetView showGridLines="0" zoomScaleNormal="100" workbookViewId="0">
      <pane xSplit="2" ySplit="5" topLeftCell="C6" activePane="bottomRight" state="frozen"/>
      <selection pane="topRight" activeCell="C1" sqref="C1"/>
      <selection pane="bottomLeft" activeCell="A6" sqref="A6"/>
      <selection pane="bottomRight"/>
    </sheetView>
  </sheetViews>
  <sheetFormatPr defaultColWidth="8.7109375" defaultRowHeight="12.75" x14ac:dyDescent="0.2"/>
  <cols>
    <col min="1" max="1" width="44" customWidth="1"/>
    <col min="2" max="2" width="30" customWidth="1"/>
    <col min="3" max="3" width="11" customWidth="1"/>
    <col min="4" max="6" width="14" customWidth="1"/>
    <col min="7" max="7" width="13" customWidth="1"/>
    <col min="8" max="8" width="62" customWidth="1"/>
  </cols>
  <sheetData>
    <row r="1" spans="1:8" ht="15" customHeight="1" x14ac:dyDescent="0.3">
      <c r="A1" s="1" t="s">
        <v>307</v>
      </c>
      <c r="B1" s="2"/>
      <c r="C1" s="2"/>
      <c r="D1" s="2"/>
      <c r="E1" s="2"/>
      <c r="F1" s="2"/>
      <c r="G1" s="2"/>
      <c r="H1" s="2"/>
    </row>
    <row r="2" spans="1:8" ht="15" customHeight="1" x14ac:dyDescent="0.3">
      <c r="A2" s="6" t="s">
        <v>308</v>
      </c>
      <c r="B2" s="2"/>
      <c r="C2" s="2"/>
      <c r="D2" s="2"/>
      <c r="E2" s="2"/>
      <c r="F2" s="2"/>
      <c r="G2" s="2"/>
      <c r="H2" s="2"/>
    </row>
    <row r="3" spans="1:8" ht="15" customHeight="1" x14ac:dyDescent="0.3">
      <c r="A3" s="2"/>
      <c r="B3" s="2"/>
      <c r="C3" s="2"/>
      <c r="D3" s="2"/>
      <c r="E3" s="2"/>
      <c r="F3" s="2"/>
      <c r="G3" s="2"/>
      <c r="H3" s="2"/>
    </row>
    <row r="4" spans="1:8" ht="15" customHeight="1" x14ac:dyDescent="0.3">
      <c r="A4" s="21" t="s">
        <v>309</v>
      </c>
      <c r="B4" s="10"/>
      <c r="C4" s="10"/>
      <c r="D4" s="10"/>
      <c r="E4" s="10"/>
      <c r="F4" s="10"/>
      <c r="G4" s="10"/>
      <c r="H4" s="10"/>
    </row>
    <row r="5" spans="1:8" ht="15" customHeight="1" x14ac:dyDescent="0.3">
      <c r="A5" s="6" t="s">
        <v>310</v>
      </c>
      <c r="B5" s="2"/>
      <c r="C5" s="2"/>
      <c r="D5" s="2"/>
      <c r="E5" s="2"/>
      <c r="F5" s="2"/>
      <c r="G5" s="2"/>
      <c r="H5" s="2"/>
    </row>
    <row r="6" spans="1:8" ht="15" customHeight="1" x14ac:dyDescent="0.3">
      <c r="A6" s="6" t="s">
        <v>311</v>
      </c>
      <c r="B6" s="2"/>
      <c r="C6" s="64">
        <v>361</v>
      </c>
      <c r="D6" s="2"/>
      <c r="E6" s="2"/>
      <c r="F6" s="2"/>
      <c r="G6" s="2"/>
      <c r="H6" s="6" t="s">
        <v>312</v>
      </c>
    </row>
    <row r="7" spans="1:8" ht="15" customHeight="1" x14ac:dyDescent="0.3">
      <c r="A7" s="6" t="s">
        <v>313</v>
      </c>
      <c r="B7" s="2"/>
      <c r="C7" s="64">
        <v>368</v>
      </c>
      <c r="D7" s="2"/>
      <c r="E7" s="2"/>
      <c r="F7" s="2"/>
      <c r="G7" s="2"/>
      <c r="H7" s="6" t="s">
        <v>314</v>
      </c>
    </row>
    <row r="8" spans="1:8" ht="15" customHeight="1" x14ac:dyDescent="0.3">
      <c r="A8" s="6" t="s">
        <v>315</v>
      </c>
      <c r="B8" s="2"/>
      <c r="C8" s="64">
        <v>7</v>
      </c>
      <c r="D8" s="2"/>
      <c r="E8" s="2"/>
      <c r="F8" s="2"/>
      <c r="G8" s="2"/>
      <c r="H8" s="6" t="s">
        <v>316</v>
      </c>
    </row>
    <row r="9" spans="1:8" ht="15" customHeight="1" x14ac:dyDescent="0.3">
      <c r="A9" s="6" t="s">
        <v>317</v>
      </c>
      <c r="B9" s="2"/>
      <c r="C9" s="65">
        <f>12/C8</f>
        <v>1.7142857142857142</v>
      </c>
      <c r="D9" s="2"/>
      <c r="E9" s="2"/>
      <c r="F9" s="2"/>
      <c r="G9" s="2"/>
      <c r="H9" s="2"/>
    </row>
    <row r="10" spans="1:8" ht="15" customHeight="1" x14ac:dyDescent="0.3">
      <c r="A10" s="2"/>
      <c r="B10" s="2"/>
      <c r="C10" s="2"/>
      <c r="D10" s="2"/>
      <c r="E10" s="2"/>
      <c r="F10" s="2"/>
      <c r="G10" s="2"/>
      <c r="H10" s="2"/>
    </row>
    <row r="11" spans="1:8" ht="15" customHeight="1" x14ac:dyDescent="0.25">
      <c r="A11" s="21" t="s">
        <v>318</v>
      </c>
      <c r="B11" s="21" t="s">
        <v>319</v>
      </c>
      <c r="C11" s="21" t="s">
        <v>286</v>
      </c>
      <c r="D11" s="21" t="s">
        <v>320</v>
      </c>
      <c r="E11" s="21" t="s">
        <v>321</v>
      </c>
      <c r="F11" s="21" t="s">
        <v>322</v>
      </c>
      <c r="G11" s="21"/>
      <c r="H11" s="21" t="s">
        <v>323</v>
      </c>
    </row>
    <row r="12" spans="1:8" ht="15" customHeight="1" x14ac:dyDescent="0.3">
      <c r="A12" s="6" t="s">
        <v>324</v>
      </c>
      <c r="B12" s="6" t="s">
        <v>325</v>
      </c>
      <c r="C12" s="6" t="s">
        <v>326</v>
      </c>
      <c r="D12" s="64">
        <v>107491.87</v>
      </c>
      <c r="E12" s="63">
        <f>D12*$C$9</f>
        <v>184271.77714285711</v>
      </c>
      <c r="F12" s="63">
        <f t="shared" ref="F12:F18" si="0">E12/$C$6</f>
        <v>510.44813612979812</v>
      </c>
      <c r="G12" s="2"/>
      <c r="H12" s="6" t="s">
        <v>327</v>
      </c>
    </row>
    <row r="13" spans="1:8" ht="15" customHeight="1" x14ac:dyDescent="0.3">
      <c r="A13" s="6" t="s">
        <v>328</v>
      </c>
      <c r="B13" s="6" t="s">
        <v>329</v>
      </c>
      <c r="C13" s="6" t="s">
        <v>326</v>
      </c>
      <c r="D13" s="64">
        <v>7527.29</v>
      </c>
      <c r="E13" s="63">
        <f>D13*$C$9</f>
        <v>12903.925714285713</v>
      </c>
      <c r="F13" s="63">
        <f t="shared" si="0"/>
        <v>35.744946576968736</v>
      </c>
      <c r="G13" s="2"/>
      <c r="H13" s="6" t="s">
        <v>330</v>
      </c>
    </row>
    <row r="14" spans="1:8" ht="15" customHeight="1" x14ac:dyDescent="0.3">
      <c r="A14" s="6" t="s">
        <v>331</v>
      </c>
      <c r="B14" s="6" t="s">
        <v>329</v>
      </c>
      <c r="C14" s="6" t="s">
        <v>326</v>
      </c>
      <c r="D14" s="64">
        <v>3992.8</v>
      </c>
      <c r="E14" s="63">
        <f>D14*$C$9</f>
        <v>6844.8</v>
      </c>
      <c r="F14" s="63">
        <f t="shared" si="0"/>
        <v>18.960664819944597</v>
      </c>
      <c r="G14" s="2"/>
      <c r="H14" s="6" t="s">
        <v>332</v>
      </c>
    </row>
    <row r="15" spans="1:8" ht="15" customHeight="1" x14ac:dyDescent="0.3">
      <c r="A15" s="6" t="s">
        <v>333</v>
      </c>
      <c r="B15" s="6" t="s">
        <v>329</v>
      </c>
      <c r="C15" s="6" t="s">
        <v>326</v>
      </c>
      <c r="D15" s="64">
        <v>3967.04</v>
      </c>
      <c r="E15" s="63">
        <f>D15*$C$9</f>
        <v>6800.6399999999994</v>
      </c>
      <c r="F15" s="63">
        <f t="shared" si="0"/>
        <v>18.838337950138502</v>
      </c>
      <c r="G15" s="2"/>
      <c r="H15" s="6" t="s">
        <v>334</v>
      </c>
    </row>
    <row r="16" spans="1:8" ht="15" customHeight="1" x14ac:dyDescent="0.3">
      <c r="A16" s="6" t="s">
        <v>335</v>
      </c>
      <c r="B16" s="6" t="s">
        <v>329</v>
      </c>
      <c r="C16" s="6" t="s">
        <v>326</v>
      </c>
      <c r="D16" s="64">
        <v>980</v>
      </c>
      <c r="E16" s="63">
        <f>D16*$C$9</f>
        <v>1680</v>
      </c>
      <c r="F16" s="63">
        <f t="shared" si="0"/>
        <v>4.6537396121883656</v>
      </c>
      <c r="G16" s="2"/>
      <c r="H16" s="6" t="s">
        <v>336</v>
      </c>
    </row>
    <row r="17" spans="1:8" ht="15" customHeight="1" x14ac:dyDescent="0.3">
      <c r="A17" s="6" t="s">
        <v>337</v>
      </c>
      <c r="B17" s="6" t="s">
        <v>329</v>
      </c>
      <c r="C17" s="6" t="s">
        <v>326</v>
      </c>
      <c r="D17" s="64">
        <v>3755</v>
      </c>
      <c r="E17" s="63">
        <f>D17</f>
        <v>3755</v>
      </c>
      <c r="F17" s="63">
        <f t="shared" si="0"/>
        <v>10.401662049861496</v>
      </c>
      <c r="G17" s="2"/>
      <c r="H17" s="6" t="s">
        <v>338</v>
      </c>
    </row>
    <row r="18" spans="1:8" ht="15" customHeight="1" x14ac:dyDescent="0.3">
      <c r="A18" s="6" t="s">
        <v>339</v>
      </c>
      <c r="B18" s="6" t="s">
        <v>340</v>
      </c>
      <c r="C18" s="6" t="s">
        <v>326</v>
      </c>
      <c r="D18" s="64">
        <v>11463.2</v>
      </c>
      <c r="E18" s="63">
        <f>D18*$C$9</f>
        <v>19651.2</v>
      </c>
      <c r="F18" s="63">
        <f t="shared" si="0"/>
        <v>54.435457063711915</v>
      </c>
      <c r="G18" s="2"/>
      <c r="H18" s="6" t="s">
        <v>341</v>
      </c>
    </row>
    <row r="19" spans="1:8" ht="15" customHeight="1" x14ac:dyDescent="0.3">
      <c r="A19" s="2"/>
      <c r="B19" s="2"/>
      <c r="C19" s="2"/>
      <c r="D19" s="2"/>
      <c r="E19" s="2"/>
      <c r="F19" s="2"/>
      <c r="G19" s="2"/>
      <c r="H19" s="2"/>
    </row>
    <row r="20" spans="1:8" ht="15" customHeight="1" x14ac:dyDescent="0.3">
      <c r="A20" s="21" t="s">
        <v>342</v>
      </c>
      <c r="B20" s="10"/>
      <c r="C20" s="10"/>
      <c r="D20" s="10"/>
      <c r="E20" s="10"/>
      <c r="F20" s="10"/>
      <c r="G20" s="10"/>
      <c r="H20" s="10"/>
    </row>
    <row r="21" spans="1:8" ht="15" customHeight="1" x14ac:dyDescent="0.3">
      <c r="A21" s="1" t="s">
        <v>343</v>
      </c>
      <c r="B21" s="6" t="s">
        <v>344</v>
      </c>
      <c r="C21" s="61">
        <f>F12</f>
        <v>510.44813612979812</v>
      </c>
      <c r="D21" s="2"/>
      <c r="E21" s="2"/>
      <c r="F21" s="2"/>
      <c r="G21" s="2"/>
      <c r="H21" s="6" t="s">
        <v>345</v>
      </c>
    </row>
    <row r="22" spans="1:8" ht="15" customHeight="1" x14ac:dyDescent="0.3">
      <c r="A22" s="1" t="s">
        <v>346</v>
      </c>
      <c r="B22" s="6" t="s">
        <v>344</v>
      </c>
      <c r="C22" s="61">
        <f>SUM(F13:F17)</f>
        <v>88.599351009101696</v>
      </c>
      <c r="D22" s="2"/>
      <c r="E22" s="2"/>
      <c r="F22" s="2"/>
      <c r="G22" s="2"/>
      <c r="H22" s="6" t="s">
        <v>347</v>
      </c>
    </row>
    <row r="23" spans="1:8" ht="15" customHeight="1" x14ac:dyDescent="0.3">
      <c r="A23" s="6" t="s">
        <v>348</v>
      </c>
      <c r="B23" s="6" t="s">
        <v>344</v>
      </c>
      <c r="C23" s="63">
        <f>F18</f>
        <v>54.435457063711915</v>
      </c>
      <c r="D23" s="2"/>
      <c r="E23" s="2"/>
      <c r="F23" s="2"/>
      <c r="G23" s="2"/>
      <c r="H23" s="6" t="s">
        <v>349</v>
      </c>
    </row>
    <row r="24" spans="1:8" ht="15" customHeight="1" x14ac:dyDescent="0.3">
      <c r="A24" s="6" t="s">
        <v>350</v>
      </c>
      <c r="B24" s="6" t="s">
        <v>344</v>
      </c>
      <c r="C24" s="63">
        <f>0</f>
        <v>0</v>
      </c>
      <c r="D24" s="2"/>
      <c r="E24" s="2"/>
      <c r="F24" s="2"/>
      <c r="G24" s="2"/>
      <c r="H24" s="6" t="s">
        <v>351</v>
      </c>
    </row>
    <row r="25" spans="1:8" ht="15" customHeight="1" x14ac:dyDescent="0.3">
      <c r="A25" s="6" t="s">
        <v>352</v>
      </c>
      <c r="B25" s="6" t="s">
        <v>344</v>
      </c>
      <c r="C25" s="63">
        <f>C21+C22+C23</f>
        <v>653.48294420261175</v>
      </c>
      <c r="D25" s="2"/>
      <c r="E25" s="2"/>
      <c r="F25" s="2"/>
      <c r="G25" s="2"/>
      <c r="H25" s="2"/>
    </row>
    <row r="26" spans="1:8" ht="15" customHeight="1" x14ac:dyDescent="0.3">
      <c r="A26" s="1" t="s">
        <v>353</v>
      </c>
      <c r="B26" s="6" t="s">
        <v>344</v>
      </c>
      <c r="C26" s="66">
        <f>F14+F15+F16</f>
        <v>42.452742382271467</v>
      </c>
      <c r="D26" s="2"/>
      <c r="E26" s="2"/>
      <c r="F26" s="2"/>
      <c r="G26" s="2"/>
      <c r="H26" s="6" t="s">
        <v>354</v>
      </c>
    </row>
    <row r="27" spans="1:8" ht="15" customHeight="1" x14ac:dyDescent="0.3">
      <c r="A27" s="6" t="s">
        <v>355</v>
      </c>
      <c r="B27" s="6" t="s">
        <v>356</v>
      </c>
      <c r="C27" s="63">
        <f>F27</f>
        <v>24.042880886426591</v>
      </c>
      <c r="D27" s="64">
        <v>5063.03</v>
      </c>
      <c r="E27" s="63">
        <f>D27*$C$9</f>
        <v>8679.48</v>
      </c>
      <c r="F27" s="63">
        <f>E27/$C$6</f>
        <v>24.042880886426591</v>
      </c>
      <c r="G27" s="2"/>
      <c r="H27" s="6" t="s">
        <v>357</v>
      </c>
    </row>
    <row r="28" spans="1:8" ht="15" customHeight="1" x14ac:dyDescent="0.3">
      <c r="A28" s="6" t="s">
        <v>358</v>
      </c>
      <c r="B28" s="6" t="s">
        <v>344</v>
      </c>
      <c r="C28" s="63">
        <f>0</f>
        <v>0</v>
      </c>
      <c r="D28" s="2" t="s">
        <v>359</v>
      </c>
      <c r="E28" s="2"/>
      <c r="F28" s="2"/>
      <c r="G28" s="2"/>
      <c r="H28" s="2"/>
    </row>
    <row r="29" spans="1:8" ht="15" customHeight="1" x14ac:dyDescent="0.3">
      <c r="A29" s="21" t="s">
        <v>360</v>
      </c>
      <c r="B29" s="10"/>
      <c r="C29" s="10"/>
      <c r="D29" s="10"/>
      <c r="E29" s="10"/>
      <c r="F29" s="10"/>
      <c r="G29" s="10"/>
      <c r="H29" s="10"/>
    </row>
    <row r="30" spans="1:8" ht="15" customHeight="1" x14ac:dyDescent="0.3">
      <c r="A30" s="6" t="s">
        <v>361</v>
      </c>
      <c r="B30" s="2"/>
      <c r="C30" s="2"/>
      <c r="D30" s="2"/>
      <c r="E30" s="2"/>
      <c r="F30" s="2"/>
      <c r="G30" s="2"/>
      <c r="H30" s="2"/>
    </row>
    <row r="31" spans="1:8" ht="15" customHeight="1" x14ac:dyDescent="0.25">
      <c r="A31" s="21" t="s">
        <v>362</v>
      </c>
      <c r="B31" s="21" t="s">
        <v>363</v>
      </c>
      <c r="C31" s="21" t="s">
        <v>364</v>
      </c>
      <c r="D31" s="21"/>
      <c r="E31" s="21"/>
      <c r="F31" s="21"/>
      <c r="G31" s="21"/>
      <c r="H31" s="21" t="s">
        <v>323</v>
      </c>
    </row>
    <row r="32" spans="1:8" ht="15" customHeight="1" x14ac:dyDescent="0.3">
      <c r="A32" s="6" t="s">
        <v>365</v>
      </c>
      <c r="B32" s="6" t="s">
        <v>366</v>
      </c>
      <c r="C32" s="6" t="s">
        <v>326</v>
      </c>
      <c r="D32" s="2"/>
      <c r="E32" s="2"/>
      <c r="F32" s="2"/>
      <c r="G32" s="2"/>
      <c r="H32" s="6" t="s">
        <v>367</v>
      </c>
    </row>
    <row r="33" spans="1:8" ht="15" customHeight="1" x14ac:dyDescent="0.3">
      <c r="A33" s="6" t="s">
        <v>368</v>
      </c>
      <c r="B33" s="6" t="s">
        <v>369</v>
      </c>
      <c r="C33" s="6" t="s">
        <v>326</v>
      </c>
      <c r="D33" s="2"/>
      <c r="E33" s="2"/>
      <c r="F33" s="2"/>
      <c r="G33" s="2"/>
      <c r="H33" s="42" t="s">
        <v>370</v>
      </c>
    </row>
    <row r="34" spans="1:8" ht="15" customHeight="1" x14ac:dyDescent="0.3">
      <c r="A34" s="6" t="s">
        <v>371</v>
      </c>
      <c r="B34" s="6" t="s">
        <v>372</v>
      </c>
      <c r="C34" s="6" t="s">
        <v>326</v>
      </c>
      <c r="D34" s="2"/>
      <c r="E34" s="2"/>
      <c r="F34" s="2"/>
      <c r="G34" s="2"/>
      <c r="H34" s="6" t="s">
        <v>373</v>
      </c>
    </row>
    <row r="35" spans="1:8" ht="15" customHeight="1" x14ac:dyDescent="0.3">
      <c r="A35" s="6" t="s">
        <v>374</v>
      </c>
      <c r="B35" s="6" t="s">
        <v>375</v>
      </c>
      <c r="C35" s="6" t="s">
        <v>211</v>
      </c>
      <c r="D35" s="2"/>
      <c r="E35" s="2"/>
      <c r="F35" s="2"/>
      <c r="G35" s="2"/>
      <c r="H35" s="6" t="s">
        <v>376</v>
      </c>
    </row>
    <row r="36" spans="1:8" ht="15" customHeight="1" x14ac:dyDescent="0.3">
      <c r="A36" s="6" t="s">
        <v>377</v>
      </c>
      <c r="B36" s="6" t="s">
        <v>378</v>
      </c>
      <c r="C36" s="6" t="s">
        <v>326</v>
      </c>
      <c r="D36" s="2"/>
      <c r="E36" s="2"/>
      <c r="F36" s="2"/>
      <c r="G36" s="2"/>
      <c r="H36" s="6" t="s">
        <v>379</v>
      </c>
    </row>
    <row r="37" spans="1:8" ht="15" customHeight="1" x14ac:dyDescent="0.3">
      <c r="A37" s="6" t="s">
        <v>380</v>
      </c>
      <c r="B37" s="6" t="s">
        <v>381</v>
      </c>
      <c r="C37" s="6" t="s">
        <v>222</v>
      </c>
      <c r="D37" s="2"/>
      <c r="E37" s="2"/>
      <c r="F37" s="2"/>
      <c r="G37" s="2"/>
      <c r="H37" s="6" t="s">
        <v>382</v>
      </c>
    </row>
    <row r="38" spans="1:8" ht="15" customHeight="1" x14ac:dyDescent="0.3">
      <c r="A38" s="1" t="s">
        <v>383</v>
      </c>
      <c r="B38" s="6" t="s">
        <v>265</v>
      </c>
      <c r="C38" s="67">
        <v>0.46</v>
      </c>
      <c r="D38" s="2" t="s">
        <v>384</v>
      </c>
      <c r="E38" s="2"/>
      <c r="F38" s="2"/>
      <c r="G38" s="2"/>
      <c r="H38" s="2"/>
    </row>
    <row r="39" spans="1:8" ht="15" customHeight="1" x14ac:dyDescent="0.3">
      <c r="A39" s="21" t="s">
        <v>385</v>
      </c>
      <c r="B39" s="10"/>
      <c r="C39" s="10"/>
      <c r="D39" s="10"/>
      <c r="E39" s="10"/>
      <c r="F39" s="10"/>
      <c r="G39" s="10"/>
      <c r="H39" s="10"/>
    </row>
    <row r="40" spans="1:8" ht="15" customHeight="1" x14ac:dyDescent="0.3">
      <c r="A40" s="6" t="s">
        <v>386</v>
      </c>
      <c r="B40" s="2"/>
      <c r="C40" s="2"/>
      <c r="D40" s="2"/>
      <c r="E40" s="2"/>
      <c r="F40" s="2"/>
      <c r="G40" s="2"/>
      <c r="H40" s="2"/>
    </row>
    <row r="41" spans="1:8" ht="15" customHeight="1" x14ac:dyDescent="0.25">
      <c r="A41" s="21" t="s">
        <v>387</v>
      </c>
      <c r="B41" s="21" t="s">
        <v>388</v>
      </c>
      <c r="C41" s="21" t="s">
        <v>286</v>
      </c>
      <c r="D41" s="21" t="s">
        <v>389</v>
      </c>
      <c r="E41" s="21" t="s">
        <v>390</v>
      </c>
      <c r="F41" s="21" t="s">
        <v>391</v>
      </c>
      <c r="G41" s="21"/>
      <c r="H41" s="21" t="s">
        <v>392</v>
      </c>
    </row>
    <row r="42" spans="1:8" ht="15" customHeight="1" x14ac:dyDescent="0.3">
      <c r="A42" s="6" t="s">
        <v>393</v>
      </c>
      <c r="B42" s="6" t="s">
        <v>394</v>
      </c>
      <c r="C42" s="6" t="s">
        <v>217</v>
      </c>
      <c r="D42" s="64">
        <v>12</v>
      </c>
      <c r="E42" s="64">
        <v>60</v>
      </c>
      <c r="F42" s="68">
        <v>0.9</v>
      </c>
      <c r="G42" s="2"/>
      <c r="H42" s="6" t="s">
        <v>395</v>
      </c>
    </row>
    <row r="43" spans="1:8" ht="15" customHeight="1" x14ac:dyDescent="0.3">
      <c r="A43" s="6" t="s">
        <v>396</v>
      </c>
      <c r="B43" s="6" t="s">
        <v>397</v>
      </c>
      <c r="C43" s="6" t="s">
        <v>217</v>
      </c>
      <c r="D43" s="64">
        <v>10</v>
      </c>
      <c r="E43" s="64">
        <v>50</v>
      </c>
      <c r="F43" s="68">
        <v>1</v>
      </c>
      <c r="G43" s="2"/>
      <c r="H43" s="6" t="s">
        <v>398</v>
      </c>
    </row>
    <row r="44" spans="1:8" ht="15" customHeight="1" x14ac:dyDescent="0.3">
      <c r="A44" s="6" t="s">
        <v>399</v>
      </c>
      <c r="B44" s="6" t="s">
        <v>400</v>
      </c>
      <c r="C44" s="6" t="s">
        <v>217</v>
      </c>
      <c r="D44" s="64">
        <v>8</v>
      </c>
      <c r="E44" s="64">
        <v>40</v>
      </c>
      <c r="F44" s="68">
        <v>1.1499999999999999</v>
      </c>
      <c r="G44" s="2"/>
      <c r="H44" s="6" t="s">
        <v>401</v>
      </c>
    </row>
    <row r="45" spans="1:8" ht="15" customHeight="1" x14ac:dyDescent="0.3">
      <c r="A45" s="2"/>
      <c r="B45" s="2"/>
      <c r="C45" s="2"/>
      <c r="D45" s="2"/>
      <c r="E45" s="2"/>
      <c r="F45" s="2"/>
      <c r="G45" s="2"/>
      <c r="H45" s="2"/>
    </row>
    <row r="46" spans="1:8" ht="15" customHeight="1" x14ac:dyDescent="0.25">
      <c r="A46" s="21" t="s">
        <v>402</v>
      </c>
      <c r="B46" s="21" t="s">
        <v>388</v>
      </c>
      <c r="C46" s="21"/>
      <c r="D46" s="21" t="s">
        <v>403</v>
      </c>
      <c r="E46" s="21"/>
      <c r="F46" s="21" t="s">
        <v>404</v>
      </c>
      <c r="G46" s="21"/>
      <c r="H46" s="21"/>
    </row>
    <row r="47" spans="1:8" ht="15" customHeight="1" x14ac:dyDescent="0.3">
      <c r="A47" s="6" t="s">
        <v>405</v>
      </c>
      <c r="B47" s="6" t="s">
        <v>406</v>
      </c>
      <c r="C47" s="2"/>
      <c r="D47" s="6" t="s">
        <v>407</v>
      </c>
      <c r="E47" s="2"/>
      <c r="F47" s="68">
        <v>0.85</v>
      </c>
      <c r="G47" s="2"/>
      <c r="H47" s="2"/>
    </row>
    <row r="48" spans="1:8" ht="15" customHeight="1" x14ac:dyDescent="0.3">
      <c r="A48" s="6" t="s">
        <v>408</v>
      </c>
      <c r="B48" s="6" t="s">
        <v>409</v>
      </c>
      <c r="C48" s="2"/>
      <c r="D48" s="6" t="s">
        <v>410</v>
      </c>
      <c r="E48" s="2"/>
      <c r="F48" s="68">
        <v>0.92</v>
      </c>
      <c r="G48" s="2"/>
      <c r="H48" s="2"/>
    </row>
    <row r="49" spans="1:8" ht="15" customHeight="1" x14ac:dyDescent="0.3">
      <c r="A49" s="6" t="s">
        <v>411</v>
      </c>
      <c r="B49" s="6" t="s">
        <v>412</v>
      </c>
      <c r="C49" s="2"/>
      <c r="D49" s="6" t="s">
        <v>413</v>
      </c>
      <c r="E49" s="2"/>
      <c r="F49" s="68">
        <v>1</v>
      </c>
      <c r="G49" s="2"/>
      <c r="H49" s="2"/>
    </row>
    <row r="50" spans="1:8" ht="15" customHeight="1" x14ac:dyDescent="0.3">
      <c r="A50" s="6" t="s">
        <v>414</v>
      </c>
      <c r="B50" s="6" t="s">
        <v>415</v>
      </c>
      <c r="C50" s="2"/>
      <c r="D50" s="6" t="s">
        <v>416</v>
      </c>
      <c r="E50" s="2"/>
      <c r="F50" s="68">
        <v>1.1000000000000001</v>
      </c>
      <c r="G50" s="2"/>
      <c r="H50" s="2"/>
    </row>
    <row r="51" spans="1:8" ht="15" customHeight="1" x14ac:dyDescent="0.3">
      <c r="A51" s="6" t="s">
        <v>417</v>
      </c>
      <c r="B51" s="6" t="s">
        <v>418</v>
      </c>
      <c r="C51" s="2"/>
      <c r="D51" s="6" t="s">
        <v>419</v>
      </c>
      <c r="E51" s="2"/>
      <c r="F51" s="68">
        <v>1.2</v>
      </c>
      <c r="G51" s="2"/>
      <c r="H51" s="2"/>
    </row>
    <row r="52" spans="1:8" ht="15" customHeight="1" x14ac:dyDescent="0.3">
      <c r="A52" s="2"/>
      <c r="B52" s="2"/>
      <c r="C52" s="2"/>
      <c r="D52" s="2"/>
      <c r="E52" s="2"/>
      <c r="F52" s="2"/>
      <c r="G52" s="2"/>
      <c r="H52" s="2"/>
    </row>
    <row r="53" spans="1:8" ht="15" customHeight="1" x14ac:dyDescent="0.3">
      <c r="A53" s="21" t="s">
        <v>420</v>
      </c>
      <c r="B53" s="10"/>
      <c r="C53" s="10"/>
      <c r="D53" s="10"/>
      <c r="E53" s="10"/>
      <c r="F53" s="10"/>
      <c r="G53" s="10"/>
      <c r="H53" s="10"/>
    </row>
    <row r="54" spans="1:8" ht="15" customHeight="1" x14ac:dyDescent="0.3">
      <c r="A54" s="6" t="s">
        <v>421</v>
      </c>
      <c r="B54" s="2"/>
      <c r="C54" s="2"/>
      <c r="D54" s="2"/>
      <c r="E54" s="2"/>
      <c r="F54" s="2"/>
      <c r="G54" s="2"/>
      <c r="H54" s="2"/>
    </row>
    <row r="55" spans="1:8" ht="15" customHeight="1" x14ac:dyDescent="0.25">
      <c r="A55" s="21" t="s">
        <v>422</v>
      </c>
      <c r="B55" s="21" t="s">
        <v>423</v>
      </c>
      <c r="C55" s="21" t="s">
        <v>286</v>
      </c>
      <c r="D55" s="21" t="s">
        <v>285</v>
      </c>
      <c r="E55" s="21" t="s">
        <v>424</v>
      </c>
      <c r="F55" s="21" t="s">
        <v>425</v>
      </c>
      <c r="G55" s="21" t="s">
        <v>426</v>
      </c>
      <c r="H55" s="21" t="s">
        <v>427</v>
      </c>
    </row>
    <row r="56" spans="1:8" ht="15" customHeight="1" x14ac:dyDescent="0.3">
      <c r="A56" s="6" t="s">
        <v>428</v>
      </c>
      <c r="B56" s="6" t="s">
        <v>429</v>
      </c>
      <c r="C56" s="6" t="s">
        <v>211</v>
      </c>
      <c r="D56" s="64">
        <v>26689</v>
      </c>
      <c r="E56" s="64">
        <v>99</v>
      </c>
      <c r="F56" s="64">
        <v>76</v>
      </c>
      <c r="G56" s="63">
        <f t="shared" ref="G56:G96" si="1">IF(F56=0,0,D56/F56)</f>
        <v>351.17105263157896</v>
      </c>
      <c r="H56" s="6" t="s">
        <v>411</v>
      </c>
    </row>
    <row r="57" spans="1:8" ht="15" customHeight="1" x14ac:dyDescent="0.3">
      <c r="A57" s="6" t="s">
        <v>430</v>
      </c>
      <c r="B57" s="6" t="s">
        <v>429</v>
      </c>
      <c r="C57" s="6" t="s">
        <v>211</v>
      </c>
      <c r="D57" s="64">
        <v>24432</v>
      </c>
      <c r="E57" s="64">
        <v>88</v>
      </c>
      <c r="F57" s="64">
        <v>40</v>
      </c>
      <c r="G57" s="63">
        <f t="shared" si="1"/>
        <v>610.79999999999995</v>
      </c>
      <c r="H57" s="6" t="s">
        <v>431</v>
      </c>
    </row>
    <row r="58" spans="1:8" ht="15" customHeight="1" x14ac:dyDescent="0.3">
      <c r="A58" s="6" t="s">
        <v>432</v>
      </c>
      <c r="B58" s="6" t="s">
        <v>429</v>
      </c>
      <c r="C58" s="6" t="s">
        <v>211</v>
      </c>
      <c r="D58" s="64">
        <v>24090</v>
      </c>
      <c r="E58" s="64">
        <v>77</v>
      </c>
      <c r="F58" s="64">
        <v>49</v>
      </c>
      <c r="G58" s="63">
        <f t="shared" si="1"/>
        <v>491.63265306122452</v>
      </c>
      <c r="H58" s="6" t="s">
        <v>411</v>
      </c>
    </row>
    <row r="59" spans="1:8" ht="15" customHeight="1" x14ac:dyDescent="0.3">
      <c r="A59" s="6" t="s">
        <v>433</v>
      </c>
      <c r="B59" s="6" t="s">
        <v>429</v>
      </c>
      <c r="C59" s="6" t="s">
        <v>211</v>
      </c>
      <c r="D59" s="64">
        <v>23740</v>
      </c>
      <c r="E59" s="64">
        <v>83</v>
      </c>
      <c r="F59" s="64">
        <v>48</v>
      </c>
      <c r="G59" s="63">
        <f t="shared" si="1"/>
        <v>494.58333333333331</v>
      </c>
      <c r="H59" s="6" t="s">
        <v>411</v>
      </c>
    </row>
    <row r="60" spans="1:8" ht="15" customHeight="1" x14ac:dyDescent="0.3">
      <c r="A60" s="6" t="s">
        <v>434</v>
      </c>
      <c r="B60" s="6" t="s">
        <v>429</v>
      </c>
      <c r="C60" s="6" t="s">
        <v>211</v>
      </c>
      <c r="D60" s="64">
        <v>22225</v>
      </c>
      <c r="E60" s="64">
        <v>79</v>
      </c>
      <c r="F60" s="64">
        <v>32</v>
      </c>
      <c r="G60" s="63">
        <f t="shared" si="1"/>
        <v>694.53125</v>
      </c>
      <c r="H60" s="6" t="s">
        <v>408</v>
      </c>
    </row>
    <row r="61" spans="1:8" ht="15" customHeight="1" x14ac:dyDescent="0.3">
      <c r="A61" s="6" t="s">
        <v>435</v>
      </c>
      <c r="B61" s="6" t="s">
        <v>429</v>
      </c>
      <c r="C61" s="6" t="s">
        <v>211</v>
      </c>
      <c r="D61" s="64">
        <v>21644</v>
      </c>
      <c r="E61" s="64">
        <v>84</v>
      </c>
      <c r="F61" s="64">
        <v>38</v>
      </c>
      <c r="G61" s="63">
        <f t="shared" si="1"/>
        <v>569.57894736842104</v>
      </c>
      <c r="H61" s="6" t="s">
        <v>411</v>
      </c>
    </row>
    <row r="62" spans="1:8" ht="15" customHeight="1" x14ac:dyDescent="0.3">
      <c r="A62" s="6" t="s">
        <v>436</v>
      </c>
      <c r="B62" s="6" t="s">
        <v>429</v>
      </c>
      <c r="C62" s="6" t="s">
        <v>211</v>
      </c>
      <c r="D62" s="64">
        <v>20101</v>
      </c>
      <c r="E62" s="64">
        <v>82</v>
      </c>
      <c r="F62" s="64">
        <v>37</v>
      </c>
      <c r="G62" s="63">
        <f t="shared" si="1"/>
        <v>543.27027027027032</v>
      </c>
      <c r="H62" s="6" t="s">
        <v>411</v>
      </c>
    </row>
    <row r="63" spans="1:8" ht="15" customHeight="1" x14ac:dyDescent="0.3">
      <c r="A63" s="6" t="s">
        <v>437</v>
      </c>
      <c r="B63" s="6" t="s">
        <v>429</v>
      </c>
      <c r="C63" s="6" t="s">
        <v>211</v>
      </c>
      <c r="D63" s="64">
        <v>19426</v>
      </c>
      <c r="E63" s="64">
        <v>54</v>
      </c>
      <c r="F63" s="64">
        <v>27</v>
      </c>
      <c r="G63" s="63">
        <f t="shared" si="1"/>
        <v>719.48148148148152</v>
      </c>
      <c r="H63" s="6" t="s">
        <v>438</v>
      </c>
    </row>
    <row r="64" spans="1:8" ht="15" customHeight="1" x14ac:dyDescent="0.3">
      <c r="A64" s="6" t="s">
        <v>439</v>
      </c>
      <c r="B64" s="6" t="s">
        <v>429</v>
      </c>
      <c r="C64" s="6" t="s">
        <v>211</v>
      </c>
      <c r="D64" s="64">
        <v>16187</v>
      </c>
      <c r="E64" s="64">
        <v>61</v>
      </c>
      <c r="F64" s="64">
        <v>33</v>
      </c>
      <c r="G64" s="63">
        <f t="shared" si="1"/>
        <v>490.5151515151515</v>
      </c>
      <c r="H64" s="6" t="s">
        <v>411</v>
      </c>
    </row>
    <row r="65" spans="1:8" ht="15" customHeight="1" x14ac:dyDescent="0.3">
      <c r="A65" s="6" t="s">
        <v>440</v>
      </c>
      <c r="B65" s="6" t="s">
        <v>429</v>
      </c>
      <c r="C65" s="6" t="s">
        <v>211</v>
      </c>
      <c r="D65" s="64">
        <v>14897</v>
      </c>
      <c r="E65" s="64">
        <v>56</v>
      </c>
      <c r="F65" s="64">
        <v>15</v>
      </c>
      <c r="G65" s="63">
        <f t="shared" si="1"/>
        <v>993.13333333333333</v>
      </c>
      <c r="H65" s="6" t="s">
        <v>441</v>
      </c>
    </row>
    <row r="66" spans="1:8" ht="15" customHeight="1" x14ac:dyDescent="0.3">
      <c r="A66" s="6" t="s">
        <v>442</v>
      </c>
      <c r="B66" s="6" t="s">
        <v>429</v>
      </c>
      <c r="C66" s="6" t="s">
        <v>211</v>
      </c>
      <c r="D66" s="64">
        <v>14400</v>
      </c>
      <c r="E66" s="64">
        <v>43</v>
      </c>
      <c r="F66" s="64">
        <v>21</v>
      </c>
      <c r="G66" s="63">
        <f t="shared" si="1"/>
        <v>685.71428571428567</v>
      </c>
      <c r="H66" s="6" t="s">
        <v>408</v>
      </c>
    </row>
    <row r="67" spans="1:8" ht="15" customHeight="1" x14ac:dyDescent="0.3">
      <c r="A67" s="6" t="s">
        <v>443</v>
      </c>
      <c r="B67" s="6" t="s">
        <v>429</v>
      </c>
      <c r="C67" s="6" t="s">
        <v>211</v>
      </c>
      <c r="D67" s="64">
        <v>14340</v>
      </c>
      <c r="E67" s="64">
        <v>62</v>
      </c>
      <c r="F67" s="64">
        <v>22</v>
      </c>
      <c r="G67" s="63">
        <f t="shared" si="1"/>
        <v>651.81818181818187</v>
      </c>
      <c r="H67" s="6" t="s">
        <v>444</v>
      </c>
    </row>
    <row r="68" spans="1:8" ht="15" customHeight="1" x14ac:dyDescent="0.3">
      <c r="A68" s="6" t="s">
        <v>445</v>
      </c>
      <c r="B68" s="6" t="s">
        <v>429</v>
      </c>
      <c r="C68" s="6" t="s">
        <v>211</v>
      </c>
      <c r="D68" s="64">
        <v>12992</v>
      </c>
      <c r="E68" s="64">
        <v>33</v>
      </c>
      <c r="F68" s="64">
        <v>14</v>
      </c>
      <c r="G68" s="63">
        <f t="shared" si="1"/>
        <v>928</v>
      </c>
      <c r="H68" s="6" t="s">
        <v>408</v>
      </c>
    </row>
    <row r="69" spans="1:8" ht="15" customHeight="1" x14ac:dyDescent="0.3">
      <c r="A69" s="6" t="s">
        <v>446</v>
      </c>
      <c r="B69" s="6" t="s">
        <v>429</v>
      </c>
      <c r="C69" s="6" t="s">
        <v>211</v>
      </c>
      <c r="D69" s="64">
        <v>12794</v>
      </c>
      <c r="E69" s="64">
        <v>35</v>
      </c>
      <c r="F69" s="64">
        <v>16</v>
      </c>
      <c r="G69" s="63">
        <f t="shared" si="1"/>
        <v>799.625</v>
      </c>
      <c r="H69" s="6" t="s">
        <v>447</v>
      </c>
    </row>
    <row r="70" spans="1:8" ht="15" customHeight="1" x14ac:dyDescent="0.3">
      <c r="A70" s="6" t="s">
        <v>448</v>
      </c>
      <c r="B70" s="6" t="s">
        <v>429</v>
      </c>
      <c r="C70" s="6" t="s">
        <v>211</v>
      </c>
      <c r="D70" s="64">
        <v>10549</v>
      </c>
      <c r="E70" s="64">
        <v>95</v>
      </c>
      <c r="F70" s="64">
        <v>52</v>
      </c>
      <c r="G70" s="63">
        <f t="shared" si="1"/>
        <v>202.86538461538461</v>
      </c>
      <c r="H70" s="6" t="s">
        <v>414</v>
      </c>
    </row>
    <row r="71" spans="1:8" ht="15" customHeight="1" x14ac:dyDescent="0.3">
      <c r="A71" s="6" t="s">
        <v>449</v>
      </c>
      <c r="B71" s="6" t="s">
        <v>429</v>
      </c>
      <c r="C71" s="6" t="s">
        <v>211</v>
      </c>
      <c r="D71" s="64">
        <v>9067</v>
      </c>
      <c r="E71" s="64">
        <v>28</v>
      </c>
      <c r="F71" s="64">
        <v>20</v>
      </c>
      <c r="G71" s="63">
        <f t="shared" si="1"/>
        <v>453.35</v>
      </c>
      <c r="H71" s="6" t="s">
        <v>450</v>
      </c>
    </row>
    <row r="72" spans="1:8" ht="15" customHeight="1" x14ac:dyDescent="0.3">
      <c r="A72" s="6" t="s">
        <v>451</v>
      </c>
      <c r="B72" s="6" t="s">
        <v>429</v>
      </c>
      <c r="C72" s="6" t="s">
        <v>211</v>
      </c>
      <c r="D72" s="64">
        <v>8860</v>
      </c>
      <c r="E72" s="64">
        <v>26</v>
      </c>
      <c r="F72" s="64">
        <v>9</v>
      </c>
      <c r="G72" s="63">
        <f t="shared" si="1"/>
        <v>984.44444444444446</v>
      </c>
      <c r="H72" s="6" t="s">
        <v>408</v>
      </c>
    </row>
    <row r="73" spans="1:8" ht="15" customHeight="1" x14ac:dyDescent="0.3">
      <c r="A73" s="6" t="s">
        <v>452</v>
      </c>
      <c r="B73" s="6" t="s">
        <v>429</v>
      </c>
      <c r="C73" s="6" t="s">
        <v>211</v>
      </c>
      <c r="D73" s="64">
        <v>7741</v>
      </c>
      <c r="E73" s="64">
        <v>30</v>
      </c>
      <c r="F73" s="64">
        <v>17</v>
      </c>
      <c r="G73" s="63">
        <f t="shared" si="1"/>
        <v>455.35294117647061</v>
      </c>
      <c r="H73" s="6" t="s">
        <v>453</v>
      </c>
    </row>
    <row r="74" spans="1:8" ht="15" customHeight="1" x14ac:dyDescent="0.3">
      <c r="A74" s="6" t="s">
        <v>454</v>
      </c>
      <c r="B74" s="6" t="s">
        <v>429</v>
      </c>
      <c r="C74" s="6" t="s">
        <v>211</v>
      </c>
      <c r="D74" s="64">
        <v>7648</v>
      </c>
      <c r="E74" s="64">
        <v>31</v>
      </c>
      <c r="F74" s="64">
        <v>16</v>
      </c>
      <c r="G74" s="63">
        <f t="shared" si="1"/>
        <v>478</v>
      </c>
      <c r="H74" s="6" t="s">
        <v>455</v>
      </c>
    </row>
    <row r="75" spans="1:8" ht="15" customHeight="1" x14ac:dyDescent="0.3">
      <c r="A75" s="6" t="s">
        <v>456</v>
      </c>
      <c r="B75" s="6" t="s">
        <v>429</v>
      </c>
      <c r="C75" s="6" t="s">
        <v>211</v>
      </c>
      <c r="D75" s="64">
        <v>7472</v>
      </c>
      <c r="E75" s="64">
        <v>11</v>
      </c>
      <c r="F75" s="64">
        <v>6</v>
      </c>
      <c r="G75" s="63">
        <f t="shared" si="1"/>
        <v>1245.3333333333333</v>
      </c>
      <c r="H75" s="6" t="s">
        <v>457</v>
      </c>
    </row>
    <row r="76" spans="1:8" ht="15" customHeight="1" x14ac:dyDescent="0.3">
      <c r="A76" s="6" t="s">
        <v>458</v>
      </c>
      <c r="B76" s="6" t="s">
        <v>429</v>
      </c>
      <c r="C76" s="6" t="s">
        <v>211</v>
      </c>
      <c r="D76" s="64">
        <v>7062</v>
      </c>
      <c r="E76" s="64">
        <v>80</v>
      </c>
      <c r="F76" s="64">
        <v>57</v>
      </c>
      <c r="G76" s="63">
        <f t="shared" si="1"/>
        <v>123.89473684210526</v>
      </c>
      <c r="H76" s="6" t="s">
        <v>417</v>
      </c>
    </row>
    <row r="77" spans="1:8" ht="15" customHeight="1" x14ac:dyDescent="0.3">
      <c r="A77" s="6" t="s">
        <v>459</v>
      </c>
      <c r="B77" s="6" t="s">
        <v>429</v>
      </c>
      <c r="C77" s="6" t="s">
        <v>211</v>
      </c>
      <c r="D77" s="64">
        <v>6858</v>
      </c>
      <c r="E77" s="64">
        <v>16</v>
      </c>
      <c r="F77" s="64">
        <v>8</v>
      </c>
      <c r="G77" s="63">
        <f t="shared" si="1"/>
        <v>857.25</v>
      </c>
      <c r="H77" s="6" t="s">
        <v>408</v>
      </c>
    </row>
    <row r="78" spans="1:8" ht="15" customHeight="1" x14ac:dyDescent="0.3">
      <c r="A78" s="6" t="s">
        <v>460</v>
      </c>
      <c r="B78" s="6" t="s">
        <v>429</v>
      </c>
      <c r="C78" s="6" t="s">
        <v>211</v>
      </c>
      <c r="D78" s="64">
        <v>5956</v>
      </c>
      <c r="E78" s="64">
        <v>29</v>
      </c>
      <c r="F78" s="64">
        <v>8</v>
      </c>
      <c r="G78" s="63">
        <f t="shared" si="1"/>
        <v>744.5</v>
      </c>
      <c r="H78" s="6" t="s">
        <v>461</v>
      </c>
    </row>
    <row r="79" spans="1:8" ht="15" customHeight="1" x14ac:dyDescent="0.3">
      <c r="A79" s="6" t="s">
        <v>462</v>
      </c>
      <c r="B79" s="6" t="s">
        <v>429</v>
      </c>
      <c r="C79" s="6" t="s">
        <v>211</v>
      </c>
      <c r="D79" s="64">
        <v>5331</v>
      </c>
      <c r="E79" s="64">
        <v>17</v>
      </c>
      <c r="F79" s="64">
        <v>8</v>
      </c>
      <c r="G79" s="63">
        <f t="shared" si="1"/>
        <v>666.375</v>
      </c>
      <c r="H79" s="6" t="s">
        <v>408</v>
      </c>
    </row>
    <row r="80" spans="1:8" ht="15" customHeight="1" x14ac:dyDescent="0.3">
      <c r="A80" s="6" t="s">
        <v>463</v>
      </c>
      <c r="B80" s="6" t="s">
        <v>464</v>
      </c>
      <c r="C80" s="6" t="s">
        <v>211</v>
      </c>
      <c r="D80" s="64">
        <v>23082</v>
      </c>
      <c r="E80" s="64">
        <v>100</v>
      </c>
      <c r="F80" s="64">
        <v>54</v>
      </c>
      <c r="G80" s="63">
        <f t="shared" si="1"/>
        <v>427.44444444444446</v>
      </c>
      <c r="H80" s="6" t="s">
        <v>465</v>
      </c>
    </row>
    <row r="81" spans="1:8" ht="15" customHeight="1" x14ac:dyDescent="0.3">
      <c r="A81" s="6" t="s">
        <v>466</v>
      </c>
      <c r="B81" s="6" t="s">
        <v>464</v>
      </c>
      <c r="C81" s="6" t="s">
        <v>211</v>
      </c>
      <c r="D81" s="64">
        <v>22533</v>
      </c>
      <c r="E81" s="64">
        <v>107</v>
      </c>
      <c r="F81" s="64">
        <v>57</v>
      </c>
      <c r="G81" s="63">
        <f t="shared" si="1"/>
        <v>395.31578947368422</v>
      </c>
      <c r="H81" s="6" t="s">
        <v>411</v>
      </c>
    </row>
    <row r="82" spans="1:8" ht="15" customHeight="1" x14ac:dyDescent="0.3">
      <c r="A82" s="6" t="s">
        <v>467</v>
      </c>
      <c r="B82" s="6" t="s">
        <v>464</v>
      </c>
      <c r="C82" s="6" t="s">
        <v>211</v>
      </c>
      <c r="D82" s="64">
        <v>21565</v>
      </c>
      <c r="E82" s="64">
        <v>78</v>
      </c>
      <c r="F82" s="64">
        <v>36</v>
      </c>
      <c r="G82" s="63">
        <f t="shared" si="1"/>
        <v>599.02777777777783</v>
      </c>
      <c r="H82" s="6" t="s">
        <v>468</v>
      </c>
    </row>
    <row r="83" spans="1:8" ht="15" customHeight="1" x14ac:dyDescent="0.3">
      <c r="A83" s="6" t="s">
        <v>469</v>
      </c>
      <c r="B83" s="6" t="s">
        <v>464</v>
      </c>
      <c r="C83" s="6" t="s">
        <v>211</v>
      </c>
      <c r="D83" s="64">
        <v>15969</v>
      </c>
      <c r="E83" s="64">
        <v>52</v>
      </c>
      <c r="F83" s="64">
        <v>37</v>
      </c>
      <c r="G83" s="63">
        <f t="shared" si="1"/>
        <v>431.59459459459458</v>
      </c>
      <c r="H83" s="6" t="s">
        <v>470</v>
      </c>
    </row>
    <row r="84" spans="1:8" ht="15" customHeight="1" x14ac:dyDescent="0.3">
      <c r="A84" s="6" t="s">
        <v>471</v>
      </c>
      <c r="B84" s="6" t="s">
        <v>464</v>
      </c>
      <c r="C84" s="6" t="s">
        <v>211</v>
      </c>
      <c r="D84" s="64">
        <v>12560</v>
      </c>
      <c r="E84" s="64">
        <v>66</v>
      </c>
      <c r="F84" s="64">
        <v>30</v>
      </c>
      <c r="G84" s="63">
        <f t="shared" si="1"/>
        <v>418.66666666666669</v>
      </c>
      <c r="H84" s="6" t="s">
        <v>411</v>
      </c>
    </row>
    <row r="85" spans="1:8" ht="15" customHeight="1" x14ac:dyDescent="0.3">
      <c r="A85" s="6" t="s">
        <v>472</v>
      </c>
      <c r="B85" s="6" t="s">
        <v>464</v>
      </c>
      <c r="C85" s="6" t="s">
        <v>211</v>
      </c>
      <c r="D85" s="64">
        <v>11112</v>
      </c>
      <c r="E85" s="64">
        <v>29</v>
      </c>
      <c r="F85" s="64">
        <v>20</v>
      </c>
      <c r="G85" s="63">
        <f t="shared" si="1"/>
        <v>555.6</v>
      </c>
      <c r="H85" s="6" t="s">
        <v>411</v>
      </c>
    </row>
    <row r="86" spans="1:8" ht="15" customHeight="1" x14ac:dyDescent="0.3">
      <c r="A86" s="6" t="s">
        <v>473</v>
      </c>
      <c r="B86" s="6" t="s">
        <v>464</v>
      </c>
      <c r="C86" s="6" t="s">
        <v>211</v>
      </c>
      <c r="D86" s="64">
        <v>10521</v>
      </c>
      <c r="E86" s="64">
        <v>44</v>
      </c>
      <c r="F86" s="64">
        <v>16</v>
      </c>
      <c r="G86" s="63">
        <f t="shared" si="1"/>
        <v>657.5625</v>
      </c>
      <c r="H86" s="6" t="s">
        <v>408</v>
      </c>
    </row>
    <row r="87" spans="1:8" ht="15" customHeight="1" x14ac:dyDescent="0.3">
      <c r="A87" s="6" t="s">
        <v>474</v>
      </c>
      <c r="B87" s="6" t="s">
        <v>464</v>
      </c>
      <c r="C87" s="6" t="s">
        <v>211</v>
      </c>
      <c r="D87" s="64">
        <v>7878</v>
      </c>
      <c r="E87" s="64">
        <v>37</v>
      </c>
      <c r="F87" s="64">
        <v>14</v>
      </c>
      <c r="G87" s="63">
        <f t="shared" si="1"/>
        <v>562.71428571428567</v>
      </c>
      <c r="H87" s="6" t="s">
        <v>475</v>
      </c>
    </row>
    <row r="88" spans="1:8" ht="15" customHeight="1" x14ac:dyDescent="0.3">
      <c r="A88" s="6" t="s">
        <v>476</v>
      </c>
      <c r="B88" s="6" t="s">
        <v>464</v>
      </c>
      <c r="C88" s="6" t="s">
        <v>211</v>
      </c>
      <c r="D88" s="64">
        <v>7541</v>
      </c>
      <c r="E88" s="64">
        <v>65</v>
      </c>
      <c r="F88" s="64">
        <v>46</v>
      </c>
      <c r="G88" s="63">
        <f t="shared" si="1"/>
        <v>163.93478260869566</v>
      </c>
      <c r="H88" s="6" t="s">
        <v>477</v>
      </c>
    </row>
    <row r="89" spans="1:8" ht="15" customHeight="1" x14ac:dyDescent="0.3">
      <c r="A89" s="6" t="s">
        <v>478</v>
      </c>
      <c r="B89" s="6" t="s">
        <v>464</v>
      </c>
      <c r="C89" s="6" t="s">
        <v>211</v>
      </c>
      <c r="D89" s="64">
        <v>7308</v>
      </c>
      <c r="E89" s="64">
        <v>14</v>
      </c>
      <c r="F89" s="64">
        <v>12</v>
      </c>
      <c r="G89" s="63">
        <f t="shared" si="1"/>
        <v>609</v>
      </c>
      <c r="H89" s="6" t="s">
        <v>431</v>
      </c>
    </row>
    <row r="90" spans="1:8" ht="15" customHeight="1" x14ac:dyDescent="0.3">
      <c r="A90" s="6" t="s">
        <v>479</v>
      </c>
      <c r="B90" s="6" t="s">
        <v>464</v>
      </c>
      <c r="C90" s="6" t="s">
        <v>211</v>
      </c>
      <c r="D90" s="64">
        <v>6181</v>
      </c>
      <c r="E90" s="64">
        <v>16</v>
      </c>
      <c r="F90" s="64">
        <v>9</v>
      </c>
      <c r="G90" s="63">
        <f t="shared" si="1"/>
        <v>686.77777777777783</v>
      </c>
      <c r="H90" s="6" t="s">
        <v>408</v>
      </c>
    </row>
    <row r="91" spans="1:8" ht="15" customHeight="1" x14ac:dyDescent="0.3">
      <c r="A91" s="6" t="s">
        <v>480</v>
      </c>
      <c r="B91" s="6" t="s">
        <v>464</v>
      </c>
      <c r="C91" s="6" t="s">
        <v>211</v>
      </c>
      <c r="D91" s="64">
        <v>6042</v>
      </c>
      <c r="E91" s="64">
        <v>19</v>
      </c>
      <c r="F91" s="64">
        <v>5</v>
      </c>
      <c r="G91" s="63">
        <f t="shared" si="1"/>
        <v>1208.4000000000001</v>
      </c>
      <c r="H91" s="6" t="s">
        <v>457</v>
      </c>
    </row>
    <row r="92" spans="1:8" ht="15" customHeight="1" x14ac:dyDescent="0.3">
      <c r="A92" s="6" t="s">
        <v>481</v>
      </c>
      <c r="B92" s="6" t="s">
        <v>464</v>
      </c>
      <c r="C92" s="6" t="s">
        <v>211</v>
      </c>
      <c r="D92" s="64">
        <v>5719</v>
      </c>
      <c r="E92" s="64">
        <v>30</v>
      </c>
      <c r="F92" s="64">
        <v>7</v>
      </c>
      <c r="G92" s="63">
        <f t="shared" si="1"/>
        <v>817</v>
      </c>
      <c r="H92" s="6" t="s">
        <v>482</v>
      </c>
    </row>
    <row r="93" spans="1:8" ht="15" customHeight="1" x14ac:dyDescent="0.3">
      <c r="A93" s="6" t="s">
        <v>483</v>
      </c>
      <c r="B93" s="6" t="s">
        <v>464</v>
      </c>
      <c r="C93" s="6" t="s">
        <v>211</v>
      </c>
      <c r="D93" s="64">
        <v>5472</v>
      </c>
      <c r="E93" s="64">
        <v>23</v>
      </c>
      <c r="F93" s="64">
        <v>9</v>
      </c>
      <c r="G93" s="63">
        <f t="shared" si="1"/>
        <v>608</v>
      </c>
      <c r="H93" s="6" t="s">
        <v>484</v>
      </c>
    </row>
    <row r="94" spans="1:8" ht="15" customHeight="1" x14ac:dyDescent="0.3">
      <c r="A94" s="6" t="s">
        <v>485</v>
      </c>
      <c r="B94" s="6" t="s">
        <v>464</v>
      </c>
      <c r="C94" s="6" t="s">
        <v>211</v>
      </c>
      <c r="D94" s="64">
        <v>4508</v>
      </c>
      <c r="E94" s="64">
        <v>76</v>
      </c>
      <c r="F94" s="64">
        <v>61</v>
      </c>
      <c r="G94" s="63">
        <f t="shared" si="1"/>
        <v>73.901639344262293</v>
      </c>
      <c r="H94" s="6" t="s">
        <v>486</v>
      </c>
    </row>
    <row r="95" spans="1:8" ht="15" customHeight="1" x14ac:dyDescent="0.3">
      <c r="A95" s="6" t="s">
        <v>487</v>
      </c>
      <c r="B95" s="6" t="s">
        <v>464</v>
      </c>
      <c r="C95" s="6" t="s">
        <v>211</v>
      </c>
      <c r="D95" s="64">
        <v>3852</v>
      </c>
      <c r="E95" s="64">
        <v>18</v>
      </c>
      <c r="F95" s="64">
        <v>3</v>
      </c>
      <c r="G95" s="63">
        <f t="shared" si="1"/>
        <v>1284</v>
      </c>
      <c r="H95" s="6" t="s">
        <v>488</v>
      </c>
    </row>
    <row r="96" spans="1:8" ht="15" customHeight="1" x14ac:dyDescent="0.3">
      <c r="A96" s="6" t="s">
        <v>489</v>
      </c>
      <c r="B96" s="6" t="s">
        <v>464</v>
      </c>
      <c r="C96" s="6" t="s">
        <v>211</v>
      </c>
      <c r="D96" s="64">
        <v>2217</v>
      </c>
      <c r="E96" s="64">
        <v>13</v>
      </c>
      <c r="F96" s="64">
        <v>1</v>
      </c>
      <c r="G96" s="63">
        <f t="shared" si="1"/>
        <v>2217</v>
      </c>
      <c r="H96" s="6" t="s">
        <v>490</v>
      </c>
    </row>
    <row r="97" spans="1:8" ht="15" customHeight="1" x14ac:dyDescent="0.3">
      <c r="A97" s="2"/>
      <c r="B97" s="2"/>
      <c r="C97" s="2"/>
      <c r="D97" s="2"/>
      <c r="E97" s="2"/>
      <c r="F97" s="2"/>
      <c r="G97" s="2"/>
      <c r="H97" s="2"/>
    </row>
    <row r="98" spans="1:8" ht="15" customHeight="1" x14ac:dyDescent="0.3">
      <c r="A98" s="21" t="s">
        <v>491</v>
      </c>
      <c r="B98" s="10"/>
      <c r="C98" s="10"/>
      <c r="D98" s="10"/>
      <c r="E98" s="10"/>
      <c r="F98" s="10"/>
      <c r="G98" s="10"/>
      <c r="H98" s="10"/>
    </row>
    <row r="99" spans="1:8" ht="15" customHeight="1" x14ac:dyDescent="0.25">
      <c r="A99" s="21" t="s">
        <v>492</v>
      </c>
      <c r="B99" s="21" t="s">
        <v>493</v>
      </c>
      <c r="C99" s="21" t="s">
        <v>286</v>
      </c>
      <c r="D99" s="21"/>
      <c r="E99" s="21"/>
      <c r="F99" s="21"/>
      <c r="G99" s="21"/>
      <c r="H99" s="21" t="s">
        <v>494</v>
      </c>
    </row>
    <row r="100" spans="1:8" ht="15" customHeight="1" x14ac:dyDescent="0.3">
      <c r="A100" s="6" t="s">
        <v>495</v>
      </c>
      <c r="B100" s="6" t="s">
        <v>496</v>
      </c>
      <c r="C100" s="6" t="s">
        <v>326</v>
      </c>
      <c r="D100" s="2"/>
      <c r="E100" s="2"/>
      <c r="F100" s="2"/>
      <c r="G100" s="2"/>
      <c r="H100" s="6" t="s">
        <v>497</v>
      </c>
    </row>
    <row r="101" spans="1:8" ht="15" customHeight="1" x14ac:dyDescent="0.3">
      <c r="A101" s="6" t="s">
        <v>498</v>
      </c>
      <c r="B101" s="6" t="s">
        <v>499</v>
      </c>
      <c r="C101" s="6" t="s">
        <v>326</v>
      </c>
      <c r="D101" s="2"/>
      <c r="E101" s="2"/>
      <c r="F101" s="2"/>
      <c r="G101" s="2"/>
      <c r="H101" s="6" t="s">
        <v>500</v>
      </c>
    </row>
    <row r="102" spans="1:8" ht="15" customHeight="1" x14ac:dyDescent="0.3">
      <c r="A102" s="6" t="s">
        <v>501</v>
      </c>
      <c r="B102" s="6" t="s">
        <v>502</v>
      </c>
      <c r="C102" s="6" t="s">
        <v>326</v>
      </c>
      <c r="D102" s="2"/>
      <c r="E102" s="2"/>
      <c r="F102" s="2"/>
      <c r="G102" s="2"/>
      <c r="H102" s="6" t="s">
        <v>503</v>
      </c>
    </row>
    <row r="103" spans="1:8" ht="15" customHeight="1" x14ac:dyDescent="0.3">
      <c r="A103" s="6" t="s">
        <v>504</v>
      </c>
      <c r="B103" s="6" t="s">
        <v>505</v>
      </c>
      <c r="C103" s="6" t="s">
        <v>326</v>
      </c>
      <c r="D103" s="2"/>
      <c r="E103" s="2"/>
      <c r="F103" s="2"/>
      <c r="G103" s="2"/>
      <c r="H103" s="6" t="s">
        <v>506</v>
      </c>
    </row>
    <row r="104" spans="1:8" ht="15" customHeight="1" x14ac:dyDescent="0.3">
      <c r="A104" s="6" t="s">
        <v>507</v>
      </c>
      <c r="B104" s="6" t="s">
        <v>508</v>
      </c>
      <c r="C104" s="6" t="s">
        <v>220</v>
      </c>
      <c r="D104" s="2"/>
      <c r="E104" s="2"/>
      <c r="F104" s="2"/>
      <c r="G104" s="2"/>
      <c r="H104" s="6" t="s">
        <v>509</v>
      </c>
    </row>
    <row r="105" spans="1:8" ht="15" customHeight="1" x14ac:dyDescent="0.3">
      <c r="A105" s="6" t="s">
        <v>510</v>
      </c>
      <c r="B105" s="6" t="s">
        <v>511</v>
      </c>
      <c r="C105" s="6" t="s">
        <v>326</v>
      </c>
      <c r="D105" s="2"/>
      <c r="E105" s="2"/>
      <c r="F105" s="2"/>
      <c r="G105" s="2"/>
      <c r="H105" s="6" t="s">
        <v>512</v>
      </c>
    </row>
    <row r="106" spans="1:8" ht="15" customHeight="1" x14ac:dyDescent="0.3">
      <c r="A106" s="6" t="s">
        <v>513</v>
      </c>
      <c r="B106" s="6" t="s">
        <v>514</v>
      </c>
      <c r="C106" s="6" t="s">
        <v>326</v>
      </c>
      <c r="D106" s="2"/>
      <c r="E106" s="2"/>
      <c r="F106" s="2"/>
      <c r="G106" s="2"/>
      <c r="H106" s="6" t="s">
        <v>515</v>
      </c>
    </row>
    <row r="107" spans="1:8" ht="15" customHeight="1" x14ac:dyDescent="0.3">
      <c r="A107" s="6" t="s">
        <v>516</v>
      </c>
      <c r="B107" s="6" t="s">
        <v>517</v>
      </c>
      <c r="C107" s="6" t="s">
        <v>211</v>
      </c>
      <c r="D107" s="2"/>
      <c r="E107" s="2"/>
      <c r="F107" s="2"/>
      <c r="G107" s="2"/>
      <c r="H107" s="6" t="s">
        <v>518</v>
      </c>
    </row>
    <row r="108" spans="1:8" ht="15" customHeight="1" x14ac:dyDescent="0.3">
      <c r="A108" s="6" t="s">
        <v>519</v>
      </c>
      <c r="B108" s="6" t="s">
        <v>520</v>
      </c>
      <c r="C108" s="6" t="s">
        <v>211</v>
      </c>
      <c r="D108" s="2"/>
      <c r="E108" s="2"/>
      <c r="F108" s="2"/>
      <c r="G108" s="2"/>
      <c r="H108" s="6" t="s">
        <v>521</v>
      </c>
    </row>
    <row r="109" spans="1:8" ht="15" customHeight="1" x14ac:dyDescent="0.3">
      <c r="A109" s="6" t="s">
        <v>522</v>
      </c>
      <c r="B109" s="6" t="s">
        <v>523</v>
      </c>
      <c r="C109" s="6" t="s">
        <v>211</v>
      </c>
      <c r="D109" s="2"/>
      <c r="E109" s="2"/>
      <c r="F109" s="2"/>
      <c r="G109" s="2"/>
      <c r="H109" s="6" t="s">
        <v>524</v>
      </c>
    </row>
    <row r="110" spans="1:8" ht="15" customHeight="1" x14ac:dyDescent="0.3">
      <c r="A110" s="6" t="s">
        <v>525</v>
      </c>
      <c r="B110" s="6" t="s">
        <v>526</v>
      </c>
      <c r="C110" s="6" t="s">
        <v>211</v>
      </c>
      <c r="D110" s="2"/>
      <c r="E110" s="2"/>
      <c r="F110" s="2"/>
      <c r="G110" s="2"/>
      <c r="H110" s="6" t="s">
        <v>527</v>
      </c>
    </row>
    <row r="111" spans="1:8" ht="15" customHeight="1" x14ac:dyDescent="0.3">
      <c r="A111" s="6" t="s">
        <v>528</v>
      </c>
      <c r="B111" s="6" t="s">
        <v>529</v>
      </c>
      <c r="C111" s="6" t="s">
        <v>211</v>
      </c>
      <c r="D111" s="2"/>
      <c r="E111" s="2"/>
      <c r="F111" s="2"/>
      <c r="G111" s="2"/>
      <c r="H111" s="6" t="s">
        <v>530</v>
      </c>
    </row>
    <row r="112" spans="1:8" ht="15" customHeight="1" x14ac:dyDescent="0.3">
      <c r="A112" s="6" t="s">
        <v>531</v>
      </c>
      <c r="B112" s="6" t="s">
        <v>532</v>
      </c>
      <c r="C112" s="6" t="s">
        <v>326</v>
      </c>
      <c r="D112" s="2"/>
      <c r="E112" s="2"/>
      <c r="F112" s="2"/>
      <c r="G112" s="2"/>
      <c r="H112" s="6" t="s">
        <v>533</v>
      </c>
    </row>
    <row r="113" spans="1:8" ht="15" customHeight="1" x14ac:dyDescent="0.3">
      <c r="A113" s="6" t="s">
        <v>534</v>
      </c>
      <c r="B113" s="6" t="s">
        <v>535</v>
      </c>
      <c r="C113" s="6" t="s">
        <v>211</v>
      </c>
      <c r="D113" s="2"/>
      <c r="E113" s="2"/>
      <c r="F113" s="2"/>
      <c r="G113" s="2"/>
      <c r="H113" s="6" t="s">
        <v>536</v>
      </c>
    </row>
  </sheetData>
  <pageMargins left="0.7" right="0.7" top="0.75" bottom="0.75" header="0.511811023622047" footer="0.511811023622047"/>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18"/>
  <sheetViews>
    <sheetView showGridLines="0" zoomScaleNormal="100" workbookViewId="0">
      <pane xSplit="3" ySplit="5" topLeftCell="D6" activePane="bottomRight" state="frozen"/>
      <selection pane="topRight" activeCell="D1" sqref="D1"/>
      <selection pane="bottomLeft" activeCell="A6" sqref="A6"/>
      <selection pane="bottomRight"/>
    </sheetView>
  </sheetViews>
  <sheetFormatPr defaultColWidth="8.7109375" defaultRowHeight="12.75" x14ac:dyDescent="0.2"/>
  <cols>
    <col min="1" max="1" width="52" customWidth="1"/>
    <col min="2" max="2" width="10" customWidth="1"/>
    <col min="3" max="3" width="8" customWidth="1"/>
    <col min="4" max="6" width="14" customWidth="1"/>
    <col min="7" max="7" width="6" customWidth="1"/>
    <col min="8" max="8" width="70" customWidth="1"/>
    <col min="9" max="9" width="18" customWidth="1"/>
  </cols>
  <sheetData>
    <row r="1" spans="1:9" ht="15" customHeight="1" x14ac:dyDescent="0.3">
      <c r="A1" s="1" t="s">
        <v>537</v>
      </c>
      <c r="B1" s="2"/>
      <c r="C1" s="2"/>
      <c r="D1" s="2"/>
      <c r="E1" s="2"/>
      <c r="F1" s="2"/>
      <c r="G1" s="2"/>
      <c r="H1" s="2"/>
    </row>
    <row r="2" spans="1:9" ht="15" customHeight="1" x14ac:dyDescent="0.3">
      <c r="A2" s="6" t="s">
        <v>538</v>
      </c>
      <c r="B2" s="2"/>
      <c r="C2" s="2"/>
      <c r="D2" s="2"/>
      <c r="E2" s="2"/>
      <c r="F2" s="2"/>
      <c r="G2" s="2"/>
      <c r="H2" s="2"/>
    </row>
    <row r="3" spans="1:9" ht="15" customHeight="1" x14ac:dyDescent="0.3">
      <c r="A3" s="6" t="s">
        <v>539</v>
      </c>
      <c r="B3" s="2"/>
      <c r="C3" s="2"/>
      <c r="D3" s="2"/>
      <c r="E3" s="2"/>
      <c r="F3" s="2"/>
      <c r="G3" s="2"/>
      <c r="H3" s="2"/>
    </row>
    <row r="4" spans="1:9" ht="15" customHeight="1" x14ac:dyDescent="0.3">
      <c r="A4" s="2"/>
      <c r="B4" s="2"/>
      <c r="C4" s="2"/>
      <c r="D4" s="2"/>
      <c r="E4" s="2"/>
      <c r="F4" s="2"/>
      <c r="G4" s="2"/>
      <c r="H4" s="2"/>
      <c r="I4" s="2" t="s">
        <v>540</v>
      </c>
    </row>
    <row r="5" spans="1:9" ht="15" customHeight="1" x14ac:dyDescent="0.3">
      <c r="A5" s="21" t="s">
        <v>541</v>
      </c>
      <c r="B5" s="10"/>
      <c r="C5" s="10"/>
      <c r="D5" s="10"/>
      <c r="E5" s="10"/>
      <c r="F5" s="10"/>
      <c r="G5" s="10"/>
      <c r="H5" s="10"/>
    </row>
    <row r="6" spans="1:9" ht="15" customHeight="1" x14ac:dyDescent="0.3">
      <c r="A6" s="1" t="s">
        <v>542</v>
      </c>
      <c r="B6" s="1" t="s">
        <v>285</v>
      </c>
      <c r="C6" s="1" t="s">
        <v>286</v>
      </c>
      <c r="D6" s="1" t="s">
        <v>101</v>
      </c>
      <c r="E6" s="1" t="s">
        <v>102</v>
      </c>
      <c r="F6" s="1" t="s">
        <v>103</v>
      </c>
      <c r="G6" s="2"/>
      <c r="H6" s="1" t="s">
        <v>323</v>
      </c>
      <c r="I6" s="10" t="s">
        <v>543</v>
      </c>
    </row>
    <row r="7" spans="1:9" ht="15" customHeight="1" x14ac:dyDescent="0.3">
      <c r="A7" s="6" t="s">
        <v>544</v>
      </c>
      <c r="B7" s="2"/>
      <c r="C7" s="2"/>
      <c r="D7" s="64">
        <v>1</v>
      </c>
      <c r="E7" s="64">
        <v>2</v>
      </c>
      <c r="F7" s="64">
        <v>3</v>
      </c>
      <c r="G7" s="2"/>
      <c r="H7" s="2"/>
    </row>
    <row r="8" spans="1:9" ht="15" customHeight="1" x14ac:dyDescent="0.3">
      <c r="A8" s="1" t="s">
        <v>545</v>
      </c>
      <c r="B8" s="2"/>
      <c r="C8" s="2"/>
      <c r="D8" s="64">
        <v>0</v>
      </c>
      <c r="E8" s="6" t="str">
        <f>IF($D$8=1,"EVIDENCE-CONSTRAINED","FULL CASE")</f>
        <v>FULL CASE</v>
      </c>
      <c r="F8" s="2"/>
      <c r="G8" s="2"/>
      <c r="H8" s="6" t="s">
        <v>546</v>
      </c>
    </row>
    <row r="9" spans="1:9" ht="15" customHeight="1" x14ac:dyDescent="0.3">
      <c r="A9" s="2"/>
      <c r="B9" s="2"/>
      <c r="C9" s="2"/>
      <c r="D9" s="2"/>
      <c r="E9" s="2"/>
      <c r="F9" s="2"/>
      <c r="G9" s="2"/>
      <c r="H9" s="2"/>
    </row>
    <row r="10" spans="1:9" ht="15" customHeight="1" x14ac:dyDescent="0.3">
      <c r="A10" s="2"/>
      <c r="B10" s="2"/>
      <c r="C10" s="2"/>
      <c r="D10" s="2"/>
      <c r="E10" s="2"/>
      <c r="F10" s="2"/>
      <c r="G10" s="2"/>
      <c r="H10" s="2"/>
    </row>
    <row r="11" spans="1:9" ht="15" customHeight="1" x14ac:dyDescent="0.3">
      <c r="A11" s="21" t="s">
        <v>547</v>
      </c>
      <c r="B11" s="10"/>
      <c r="C11" s="10"/>
      <c r="D11" s="10"/>
      <c r="E11" s="10"/>
      <c r="F11" s="10"/>
      <c r="G11" s="10"/>
      <c r="H11" s="10"/>
    </row>
    <row r="12" spans="1:9" ht="15" customHeight="1" x14ac:dyDescent="0.3">
      <c r="A12" s="6" t="s">
        <v>548</v>
      </c>
      <c r="B12" s="6" t="s">
        <v>549</v>
      </c>
      <c r="C12" s="6" t="s">
        <v>245</v>
      </c>
      <c r="D12" s="64">
        <v>7</v>
      </c>
      <c r="E12" s="64">
        <v>7</v>
      </c>
      <c r="F12" s="64">
        <v>7</v>
      </c>
      <c r="G12" s="2"/>
      <c r="H12" s="2"/>
      <c r="I12" s="10" t="s">
        <v>550</v>
      </c>
    </row>
    <row r="13" spans="1:9" ht="15" customHeight="1" x14ac:dyDescent="0.3">
      <c r="A13" s="6" t="s">
        <v>551</v>
      </c>
      <c r="B13" s="6" t="s">
        <v>549</v>
      </c>
      <c r="C13" s="6" t="s">
        <v>245</v>
      </c>
      <c r="D13" s="64">
        <v>7</v>
      </c>
      <c r="E13" s="64">
        <v>7</v>
      </c>
      <c r="F13" s="64">
        <v>7</v>
      </c>
      <c r="G13" s="2"/>
      <c r="H13" s="2"/>
      <c r="I13" s="10" t="s">
        <v>550</v>
      </c>
    </row>
    <row r="14" spans="1:9" ht="15" customHeight="1" x14ac:dyDescent="0.3">
      <c r="A14" s="6" t="s">
        <v>552</v>
      </c>
      <c r="B14" s="6" t="s">
        <v>549</v>
      </c>
      <c r="C14" s="6" t="s">
        <v>245</v>
      </c>
      <c r="D14" s="64">
        <v>10</v>
      </c>
      <c r="E14" s="64">
        <v>10</v>
      </c>
      <c r="F14" s="64">
        <v>10</v>
      </c>
      <c r="G14" s="2"/>
      <c r="H14" s="2"/>
      <c r="I14" s="10" t="s">
        <v>550</v>
      </c>
    </row>
    <row r="15" spans="1:9" ht="15" customHeight="1" x14ac:dyDescent="0.3">
      <c r="A15" s="6" t="s">
        <v>163</v>
      </c>
      <c r="B15" s="6" t="s">
        <v>267</v>
      </c>
      <c r="C15" s="6" t="s">
        <v>245</v>
      </c>
      <c r="D15" s="69">
        <v>0.25</v>
      </c>
      <c r="E15" s="69">
        <v>0.25</v>
      </c>
      <c r="F15" s="69">
        <v>0.25</v>
      </c>
      <c r="G15" s="2"/>
      <c r="H15" s="2"/>
      <c r="I15" s="10" t="s">
        <v>550</v>
      </c>
    </row>
    <row r="16" spans="1:9" ht="15" customHeight="1" x14ac:dyDescent="0.3">
      <c r="A16" s="6" t="s">
        <v>553</v>
      </c>
      <c r="B16" s="6" t="s">
        <v>210</v>
      </c>
      <c r="C16" s="6" t="s">
        <v>245</v>
      </c>
      <c r="D16" s="64">
        <v>50000</v>
      </c>
      <c r="E16" s="64">
        <v>50000</v>
      </c>
      <c r="F16" s="64">
        <v>50000</v>
      </c>
      <c r="G16" s="2"/>
      <c r="H16" s="6" t="s">
        <v>554</v>
      </c>
      <c r="I16" s="10" t="s">
        <v>550</v>
      </c>
    </row>
    <row r="17" spans="1:9" ht="15" customHeight="1" x14ac:dyDescent="0.3">
      <c r="A17" s="6" t="s">
        <v>555</v>
      </c>
      <c r="B17" s="6" t="s">
        <v>210</v>
      </c>
      <c r="C17" s="6" t="s">
        <v>245</v>
      </c>
      <c r="D17" s="64">
        <v>250</v>
      </c>
      <c r="E17" s="64">
        <v>250</v>
      </c>
      <c r="F17" s="64">
        <v>250</v>
      </c>
      <c r="G17" s="2"/>
      <c r="H17" s="6" t="s">
        <v>556</v>
      </c>
      <c r="I17" s="10" t="s">
        <v>550</v>
      </c>
    </row>
    <row r="18" spans="1:9" ht="15" customHeight="1" x14ac:dyDescent="0.3">
      <c r="A18" s="6" t="s">
        <v>557</v>
      </c>
      <c r="B18" s="6" t="s">
        <v>558</v>
      </c>
      <c r="C18" s="6" t="s">
        <v>211</v>
      </c>
      <c r="D18" s="63">
        <f>D16/D17</f>
        <v>200</v>
      </c>
      <c r="E18" s="63">
        <f>E16/E17</f>
        <v>200</v>
      </c>
      <c r="F18" s="63">
        <f>F16/F17</f>
        <v>200</v>
      </c>
      <c r="G18" s="2"/>
      <c r="H18" s="6" t="s">
        <v>559</v>
      </c>
      <c r="I18" s="10" t="s">
        <v>560</v>
      </c>
    </row>
    <row r="19" spans="1:9" ht="15" customHeight="1" x14ac:dyDescent="0.3">
      <c r="A19" s="6" t="s">
        <v>561</v>
      </c>
      <c r="B19" s="6" t="s">
        <v>562</v>
      </c>
      <c r="C19" s="6" t="s">
        <v>245</v>
      </c>
      <c r="D19" s="64">
        <v>1</v>
      </c>
      <c r="E19" s="64">
        <v>1</v>
      </c>
      <c r="F19" s="64">
        <v>1</v>
      </c>
      <c r="G19" s="2"/>
      <c r="H19" s="2"/>
      <c r="I19" s="10" t="s">
        <v>550</v>
      </c>
    </row>
    <row r="20" spans="1:9" ht="15" customHeight="1" x14ac:dyDescent="0.3">
      <c r="A20" s="6" t="s">
        <v>563</v>
      </c>
      <c r="B20" s="6" t="s">
        <v>267</v>
      </c>
      <c r="C20" s="6" t="s">
        <v>245</v>
      </c>
      <c r="D20" s="69">
        <v>0.5</v>
      </c>
      <c r="E20" s="69">
        <v>0.5</v>
      </c>
      <c r="F20" s="69">
        <v>0.5</v>
      </c>
      <c r="G20" s="2"/>
      <c r="H20" s="2"/>
      <c r="I20" s="10" t="s">
        <v>550</v>
      </c>
    </row>
    <row r="21" spans="1:9" ht="15" customHeight="1" x14ac:dyDescent="0.3">
      <c r="A21" s="2"/>
      <c r="B21" s="2"/>
      <c r="C21" s="2"/>
      <c r="D21" s="2"/>
      <c r="E21" s="2"/>
      <c r="F21" s="2"/>
      <c r="G21" s="2"/>
      <c r="H21" s="2"/>
    </row>
    <row r="22" spans="1:9" ht="15" customHeight="1" x14ac:dyDescent="0.3">
      <c r="A22" s="21" t="s">
        <v>564</v>
      </c>
      <c r="B22" s="10"/>
      <c r="C22" s="10"/>
      <c r="D22" s="10"/>
      <c r="E22" s="10"/>
      <c r="F22" s="10"/>
      <c r="G22" s="10"/>
      <c r="H22" s="10"/>
    </row>
    <row r="23" spans="1:9" ht="15" customHeight="1" x14ac:dyDescent="0.3">
      <c r="A23" s="6" t="s">
        <v>565</v>
      </c>
      <c r="B23" s="6" t="s">
        <v>218</v>
      </c>
      <c r="C23" s="6" t="s">
        <v>245</v>
      </c>
      <c r="D23" s="64">
        <v>10000000</v>
      </c>
      <c r="E23" s="64">
        <v>10000000</v>
      </c>
      <c r="F23" s="64">
        <v>10000000</v>
      </c>
      <c r="G23" s="2"/>
      <c r="H23" s="6" t="s">
        <v>566</v>
      </c>
      <c r="I23" s="10" t="s">
        <v>550</v>
      </c>
    </row>
    <row r="24" spans="1:9" ht="15" customHeight="1" x14ac:dyDescent="0.3">
      <c r="A24" s="6" t="s">
        <v>567</v>
      </c>
      <c r="B24" s="6" t="s">
        <v>213</v>
      </c>
      <c r="C24" s="6" t="s">
        <v>245</v>
      </c>
      <c r="D24" s="64">
        <v>30</v>
      </c>
      <c r="E24" s="64">
        <v>30</v>
      </c>
      <c r="F24" s="64">
        <v>30</v>
      </c>
      <c r="G24" s="2"/>
      <c r="H24" s="6" t="s">
        <v>568</v>
      </c>
      <c r="I24" s="10" t="s">
        <v>550</v>
      </c>
    </row>
    <row r="25" spans="1:9" ht="15" customHeight="1" x14ac:dyDescent="0.3">
      <c r="A25" s="2"/>
      <c r="B25" s="2"/>
      <c r="C25" s="2"/>
      <c r="D25" s="2"/>
      <c r="E25" s="2"/>
      <c r="F25" s="2"/>
      <c r="G25" s="2"/>
      <c r="H25" s="2"/>
    </row>
    <row r="26" spans="1:9" ht="15" customHeight="1" x14ac:dyDescent="0.3">
      <c r="A26" s="21" t="s">
        <v>569</v>
      </c>
      <c r="B26" s="10"/>
      <c r="C26" s="10"/>
      <c r="D26" s="10"/>
      <c r="E26" s="10"/>
      <c r="F26" s="10"/>
      <c r="G26" s="10"/>
      <c r="H26" s="10"/>
    </row>
    <row r="27" spans="1:9" ht="15" customHeight="1" x14ac:dyDescent="0.3">
      <c r="A27" s="6" t="s">
        <v>343</v>
      </c>
      <c r="B27" s="6" t="s">
        <v>344</v>
      </c>
      <c r="C27" s="6" t="s">
        <v>211</v>
      </c>
      <c r="D27" s="13">
        <f>'Evidence &amp; Market'!$C$21</f>
        <v>510.44813612979812</v>
      </c>
      <c r="E27" s="13">
        <f>'Evidence &amp; Market'!$C$21</f>
        <v>510.44813612979812</v>
      </c>
      <c r="F27" s="13">
        <f>'Evidence &amp; Market'!$C$21</f>
        <v>510.44813612979812</v>
      </c>
      <c r="G27" s="2"/>
      <c r="H27" s="6" t="s">
        <v>570</v>
      </c>
      <c r="I27" s="10" t="s">
        <v>211</v>
      </c>
    </row>
    <row r="28" spans="1:9" ht="15" customHeight="1" x14ac:dyDescent="0.3">
      <c r="A28" s="6" t="s">
        <v>346</v>
      </c>
      <c r="B28" s="6" t="s">
        <v>344</v>
      </c>
      <c r="C28" s="6" t="s">
        <v>211</v>
      </c>
      <c r="D28" s="13">
        <f>'Evidence &amp; Market'!$C$22</f>
        <v>88.599351009101696</v>
      </c>
      <c r="E28" s="13">
        <f>'Evidence &amp; Market'!$C$22</f>
        <v>88.599351009101696</v>
      </c>
      <c r="F28" s="13">
        <f>'Evidence &amp; Market'!$C$22</f>
        <v>88.599351009101696</v>
      </c>
      <c r="G28" s="2"/>
      <c r="H28" s="2"/>
      <c r="I28" s="10" t="s">
        <v>211</v>
      </c>
    </row>
    <row r="29" spans="1:9" ht="15" customHeight="1" x14ac:dyDescent="0.3">
      <c r="A29" s="6" t="s">
        <v>348</v>
      </c>
      <c r="B29" s="6" t="s">
        <v>344</v>
      </c>
      <c r="C29" s="6" t="s">
        <v>211</v>
      </c>
      <c r="D29" s="13">
        <f>'Evidence &amp; Market'!$C$23</f>
        <v>54.435457063711915</v>
      </c>
      <c r="E29" s="13">
        <f>'Evidence &amp; Market'!$C$23</f>
        <v>54.435457063711915</v>
      </c>
      <c r="F29" s="13">
        <f>'Evidence &amp; Market'!$C$23</f>
        <v>54.435457063711915</v>
      </c>
      <c r="G29" s="2"/>
      <c r="H29" s="6" t="s">
        <v>571</v>
      </c>
      <c r="I29" s="10" t="s">
        <v>211</v>
      </c>
    </row>
    <row r="30" spans="1:9" ht="15" customHeight="1" x14ac:dyDescent="0.3">
      <c r="A30" s="6" t="s">
        <v>572</v>
      </c>
      <c r="B30" s="6" t="s">
        <v>344</v>
      </c>
      <c r="C30" s="6" t="s">
        <v>211</v>
      </c>
      <c r="D30" s="13">
        <f>'Evidence &amp; Market'!$C$24</f>
        <v>0</v>
      </c>
      <c r="E30" s="13">
        <f>'Evidence &amp; Market'!$C$24</f>
        <v>0</v>
      </c>
      <c r="F30" s="13">
        <f>'Evidence &amp; Market'!$C$24</f>
        <v>0</v>
      </c>
      <c r="G30" s="2"/>
      <c r="H30" s="6" t="s">
        <v>573</v>
      </c>
      <c r="I30" s="10" t="s">
        <v>211</v>
      </c>
    </row>
    <row r="31" spans="1:9" ht="15" customHeight="1" x14ac:dyDescent="0.3">
      <c r="A31" s="6" t="s">
        <v>574</v>
      </c>
      <c r="B31" s="6" t="s">
        <v>267</v>
      </c>
      <c r="C31" s="6" t="s">
        <v>214</v>
      </c>
      <c r="D31" s="70">
        <f>$E$31</f>
        <v>0.75</v>
      </c>
      <c r="E31" s="69">
        <v>0.75</v>
      </c>
      <c r="F31" s="70">
        <f>$E$31</f>
        <v>0.75</v>
      </c>
      <c r="G31" s="2"/>
      <c r="H31" s="6" t="s">
        <v>575</v>
      </c>
      <c r="I31" s="10" t="s">
        <v>550</v>
      </c>
    </row>
    <row r="32" spans="1:9" ht="15" customHeight="1" x14ac:dyDescent="0.3">
      <c r="A32" s="1" t="s">
        <v>576</v>
      </c>
      <c r="B32" s="6" t="s">
        <v>344</v>
      </c>
      <c r="C32" s="6" t="s">
        <v>214</v>
      </c>
      <c r="D32" s="63">
        <f>E32</f>
        <v>128</v>
      </c>
      <c r="E32" s="64">
        <v>128</v>
      </c>
      <c r="F32" s="63">
        <f>E32</f>
        <v>128</v>
      </c>
      <c r="G32" s="2"/>
      <c r="H32" s="6" t="s">
        <v>577</v>
      </c>
      <c r="I32" s="10" t="s">
        <v>578</v>
      </c>
    </row>
    <row r="33" spans="1:9" ht="15" customHeight="1" x14ac:dyDescent="0.3">
      <c r="A33" s="6" t="s">
        <v>579</v>
      </c>
      <c r="B33" s="6" t="s">
        <v>267</v>
      </c>
      <c r="C33" s="6" t="s">
        <v>211</v>
      </c>
      <c r="D33" s="71">
        <f>D32/(D27+D28+D29+D30)</f>
        <v>0.19587351305118947</v>
      </c>
      <c r="E33" s="71">
        <f>E32/(E27+E28+E29+E30)</f>
        <v>0.19587351305118947</v>
      </c>
      <c r="F33" s="71">
        <f>F32/(F27+F28+F29+F30)</f>
        <v>0.19587351305118947</v>
      </c>
      <c r="G33" s="2"/>
      <c r="H33" s="6" t="s">
        <v>580</v>
      </c>
      <c r="I33" s="10" t="s">
        <v>560</v>
      </c>
    </row>
    <row r="34" spans="1:9" ht="15" customHeight="1" x14ac:dyDescent="0.3">
      <c r="A34" s="6" t="s">
        <v>581</v>
      </c>
      <c r="B34" s="6" t="s">
        <v>218</v>
      </c>
      <c r="C34" s="6" t="s">
        <v>245</v>
      </c>
      <c r="D34" s="64">
        <v>1000000</v>
      </c>
      <c r="E34" s="64">
        <v>1000000</v>
      </c>
      <c r="F34" s="64">
        <v>1000000</v>
      </c>
      <c r="G34" s="2"/>
      <c r="H34" s="6" t="s">
        <v>582</v>
      </c>
      <c r="I34" s="10" t="s">
        <v>550</v>
      </c>
    </row>
    <row r="35" spans="1:9" ht="15" customHeight="1" x14ac:dyDescent="0.3">
      <c r="A35" s="6" t="s">
        <v>583</v>
      </c>
      <c r="B35" s="6" t="s">
        <v>218</v>
      </c>
      <c r="C35" s="6" t="s">
        <v>245</v>
      </c>
      <c r="D35" s="64">
        <v>750000</v>
      </c>
      <c r="E35" s="64">
        <v>750000</v>
      </c>
      <c r="F35" s="64">
        <v>750000</v>
      </c>
      <c r="G35" s="2"/>
      <c r="H35" s="6" t="s">
        <v>584</v>
      </c>
      <c r="I35" s="10" t="s">
        <v>550</v>
      </c>
    </row>
    <row r="36" spans="1:9" ht="15" customHeight="1" x14ac:dyDescent="0.3">
      <c r="A36" s="6" t="s">
        <v>585</v>
      </c>
      <c r="B36" s="6" t="s">
        <v>218</v>
      </c>
      <c r="C36" s="6" t="s">
        <v>245</v>
      </c>
      <c r="D36" s="64">
        <v>500000</v>
      </c>
      <c r="E36" s="64">
        <v>500000</v>
      </c>
      <c r="F36" s="64">
        <v>500000</v>
      </c>
      <c r="G36" s="2"/>
      <c r="H36" s="6" t="s">
        <v>586</v>
      </c>
      <c r="I36" s="10" t="s">
        <v>550</v>
      </c>
    </row>
    <row r="37" spans="1:9" ht="15" customHeight="1" x14ac:dyDescent="0.3">
      <c r="A37" s="6" t="s">
        <v>587</v>
      </c>
      <c r="B37" s="6" t="s">
        <v>218</v>
      </c>
      <c r="C37" s="6" t="s">
        <v>245</v>
      </c>
      <c r="D37" s="64">
        <v>1250000</v>
      </c>
      <c r="E37" s="64">
        <v>1250000</v>
      </c>
      <c r="F37" s="64">
        <v>1250000</v>
      </c>
      <c r="G37" s="2"/>
      <c r="H37" s="6" t="s">
        <v>588</v>
      </c>
      <c r="I37" s="10" t="s">
        <v>550</v>
      </c>
    </row>
    <row r="38" spans="1:9" ht="15" customHeight="1" x14ac:dyDescent="0.3">
      <c r="A38" s="6" t="s">
        <v>589</v>
      </c>
      <c r="B38" s="6" t="s">
        <v>218</v>
      </c>
      <c r="C38" s="6" t="s">
        <v>245</v>
      </c>
      <c r="D38" s="64">
        <v>800000</v>
      </c>
      <c r="E38" s="64">
        <v>800000</v>
      </c>
      <c r="F38" s="64">
        <v>800000</v>
      </c>
      <c r="G38" s="2"/>
      <c r="H38" s="6" t="s">
        <v>590</v>
      </c>
      <c r="I38" s="10" t="s">
        <v>550</v>
      </c>
    </row>
    <row r="39" spans="1:9" ht="15" customHeight="1" x14ac:dyDescent="0.3">
      <c r="A39" s="6" t="s">
        <v>72</v>
      </c>
      <c r="B39" s="6" t="s">
        <v>265</v>
      </c>
      <c r="C39" s="6" t="s">
        <v>245</v>
      </c>
      <c r="D39" s="68">
        <v>6</v>
      </c>
      <c r="E39" s="68">
        <v>6</v>
      </c>
      <c r="F39" s="68">
        <v>6</v>
      </c>
      <c r="G39" s="2"/>
      <c r="H39" s="6" t="s">
        <v>591</v>
      </c>
      <c r="I39" s="10" t="s">
        <v>550</v>
      </c>
    </row>
    <row r="40" spans="1:9" ht="15" customHeight="1" x14ac:dyDescent="0.3">
      <c r="A40" s="6" t="s">
        <v>592</v>
      </c>
      <c r="B40" s="6" t="s">
        <v>265</v>
      </c>
      <c r="C40" s="6" t="s">
        <v>245</v>
      </c>
      <c r="D40" s="68">
        <v>4</v>
      </c>
      <c r="E40" s="68">
        <v>4</v>
      </c>
      <c r="F40" s="68">
        <v>4</v>
      </c>
      <c r="G40" s="2"/>
      <c r="H40" s="6" t="s">
        <v>593</v>
      </c>
      <c r="I40" s="10" t="s">
        <v>550</v>
      </c>
    </row>
    <row r="41" spans="1:9" ht="15" customHeight="1" x14ac:dyDescent="0.3">
      <c r="A41" s="6" t="s">
        <v>594</v>
      </c>
      <c r="B41" s="6" t="s">
        <v>265</v>
      </c>
      <c r="C41" s="6" t="s">
        <v>222</v>
      </c>
      <c r="D41" s="68">
        <v>4.5</v>
      </c>
      <c r="E41" s="68">
        <v>4</v>
      </c>
      <c r="F41" s="68">
        <v>3.5</v>
      </c>
      <c r="G41" s="2"/>
      <c r="H41" s="6" t="s">
        <v>595</v>
      </c>
      <c r="I41" s="10" t="s">
        <v>543</v>
      </c>
    </row>
    <row r="42" spans="1:9" ht="15" customHeight="1" x14ac:dyDescent="0.3">
      <c r="A42" s="6" t="s">
        <v>596</v>
      </c>
      <c r="B42" s="6" t="s">
        <v>265</v>
      </c>
      <c r="C42" s="6" t="s">
        <v>245</v>
      </c>
      <c r="D42" s="68">
        <v>6</v>
      </c>
      <c r="E42" s="68">
        <v>6</v>
      </c>
      <c r="F42" s="68">
        <v>6</v>
      </c>
      <c r="G42" s="2"/>
      <c r="H42" s="6" t="s">
        <v>597</v>
      </c>
      <c r="I42" s="10" t="s">
        <v>550</v>
      </c>
    </row>
    <row r="43" spans="1:9" ht="15" customHeight="1" x14ac:dyDescent="0.3">
      <c r="A43" s="6" t="s">
        <v>598</v>
      </c>
      <c r="B43" s="6" t="s">
        <v>213</v>
      </c>
      <c r="C43" s="6" t="s">
        <v>214</v>
      </c>
      <c r="D43" s="64">
        <v>6</v>
      </c>
      <c r="E43" s="64">
        <v>6</v>
      </c>
      <c r="F43" s="64">
        <v>6</v>
      </c>
      <c r="G43" s="2"/>
      <c r="H43" s="2"/>
      <c r="I43" s="10" t="s">
        <v>578</v>
      </c>
    </row>
    <row r="44" spans="1:9" ht="15" customHeight="1" x14ac:dyDescent="0.3">
      <c r="A44" s="6" t="s">
        <v>599</v>
      </c>
      <c r="B44" s="6" t="s">
        <v>213</v>
      </c>
      <c r="C44" s="6" t="s">
        <v>214</v>
      </c>
      <c r="D44" s="64">
        <v>3.4</v>
      </c>
      <c r="E44" s="64">
        <v>3.4</v>
      </c>
      <c r="F44" s="64">
        <v>3.4</v>
      </c>
      <c r="G44" s="2"/>
      <c r="H44" s="6" t="s">
        <v>600</v>
      </c>
      <c r="I44" s="10" t="s">
        <v>578</v>
      </c>
    </row>
    <row r="45" spans="1:9" ht="15" customHeight="1" x14ac:dyDescent="0.3">
      <c r="A45" s="6" t="s">
        <v>601</v>
      </c>
      <c r="B45" s="6" t="s">
        <v>216</v>
      </c>
      <c r="C45" s="6" t="s">
        <v>217</v>
      </c>
      <c r="D45" s="64">
        <v>1</v>
      </c>
      <c r="E45" s="64">
        <v>1</v>
      </c>
      <c r="F45" s="64">
        <v>1</v>
      </c>
      <c r="G45" s="2"/>
      <c r="H45" s="6" t="s">
        <v>602</v>
      </c>
      <c r="I45" s="10" t="s">
        <v>603</v>
      </c>
    </row>
    <row r="46" spans="1:9" ht="15" customHeight="1" x14ac:dyDescent="0.3">
      <c r="A46" s="6" t="s">
        <v>604</v>
      </c>
      <c r="B46" s="6" t="s">
        <v>216</v>
      </c>
      <c r="C46" s="6" t="s">
        <v>217</v>
      </c>
      <c r="D46" s="64">
        <v>3</v>
      </c>
      <c r="E46" s="64">
        <v>2.5</v>
      </c>
      <c r="F46" s="64">
        <v>2</v>
      </c>
      <c r="G46" s="2"/>
      <c r="H46" s="2"/>
      <c r="I46" s="10" t="s">
        <v>603</v>
      </c>
    </row>
    <row r="47" spans="1:9" ht="15" customHeight="1" x14ac:dyDescent="0.3">
      <c r="A47" s="6" t="s">
        <v>605</v>
      </c>
      <c r="B47" s="6" t="s">
        <v>265</v>
      </c>
      <c r="C47" s="6" t="s">
        <v>217</v>
      </c>
      <c r="D47" s="68">
        <v>1.3</v>
      </c>
      <c r="E47" s="68">
        <v>1.25</v>
      </c>
      <c r="F47" s="68">
        <v>1.2</v>
      </c>
      <c r="G47" s="2"/>
      <c r="H47" s="2"/>
      <c r="I47" s="10" t="s">
        <v>603</v>
      </c>
    </row>
    <row r="48" spans="1:9" ht="15" customHeight="1" x14ac:dyDescent="0.3">
      <c r="A48" s="2"/>
      <c r="B48" s="2"/>
      <c r="C48" s="2"/>
      <c r="D48" s="2"/>
      <c r="E48" s="2"/>
      <c r="F48" s="2"/>
      <c r="G48" s="2"/>
      <c r="H48" s="2"/>
    </row>
    <row r="49" spans="1:9" ht="15" customHeight="1" x14ac:dyDescent="0.3">
      <c r="A49" s="21" t="s">
        <v>606</v>
      </c>
      <c r="B49" s="10"/>
      <c r="C49" s="10"/>
      <c r="D49" s="10"/>
      <c r="E49" s="10"/>
      <c r="F49" s="10"/>
      <c r="G49" s="10"/>
      <c r="H49" s="10"/>
    </row>
    <row r="50" spans="1:9" ht="15" customHeight="1" x14ac:dyDescent="0.3">
      <c r="A50" s="6" t="s">
        <v>607</v>
      </c>
      <c r="B50" s="6" t="s">
        <v>267</v>
      </c>
      <c r="C50" s="6" t="s">
        <v>211</v>
      </c>
      <c r="D50" s="69">
        <v>0.35</v>
      </c>
      <c r="E50" s="69">
        <v>0.35</v>
      </c>
      <c r="F50" s="69">
        <v>0.35</v>
      </c>
      <c r="G50" s="2"/>
      <c r="H50" s="2"/>
      <c r="I50" s="10" t="s">
        <v>560</v>
      </c>
    </row>
    <row r="51" spans="1:9" ht="15" customHeight="1" x14ac:dyDescent="0.3">
      <c r="A51" s="6" t="s">
        <v>608</v>
      </c>
      <c r="B51" s="6" t="s">
        <v>267</v>
      </c>
      <c r="C51" s="6" t="s">
        <v>222</v>
      </c>
      <c r="D51" s="69">
        <v>0.85</v>
      </c>
      <c r="E51" s="69">
        <v>0.88</v>
      </c>
      <c r="F51" s="69">
        <v>0.91</v>
      </c>
      <c r="G51" s="2"/>
      <c r="H51" s="2"/>
      <c r="I51" s="10" t="s">
        <v>543</v>
      </c>
    </row>
    <row r="52" spans="1:9" ht="15" customHeight="1" x14ac:dyDescent="0.3">
      <c r="A52" s="6" t="s">
        <v>609</v>
      </c>
      <c r="B52" s="6" t="s">
        <v>267</v>
      </c>
      <c r="C52" s="6" t="s">
        <v>211</v>
      </c>
      <c r="D52" s="69">
        <v>0.4</v>
      </c>
      <c r="E52" s="69">
        <v>0.4</v>
      </c>
      <c r="F52" s="69">
        <v>0.4</v>
      </c>
      <c r="G52" s="2"/>
      <c r="H52" s="2"/>
      <c r="I52" s="10" t="s">
        <v>560</v>
      </c>
    </row>
    <row r="53" spans="1:9" ht="15" customHeight="1" x14ac:dyDescent="0.3">
      <c r="A53" s="6" t="s">
        <v>610</v>
      </c>
      <c r="B53" s="6" t="s">
        <v>267</v>
      </c>
      <c r="C53" s="6" t="s">
        <v>222</v>
      </c>
      <c r="D53" s="69">
        <v>0.9</v>
      </c>
      <c r="E53" s="69">
        <v>0.92</v>
      </c>
      <c r="F53" s="69">
        <v>0.94</v>
      </c>
      <c r="G53" s="2"/>
      <c r="H53" s="2"/>
      <c r="I53" s="10" t="s">
        <v>543</v>
      </c>
    </row>
    <row r="54" spans="1:9" ht="15" customHeight="1" x14ac:dyDescent="0.3">
      <c r="A54" s="6" t="s">
        <v>611</v>
      </c>
      <c r="B54" s="6" t="s">
        <v>267</v>
      </c>
      <c r="C54" s="6" t="s">
        <v>211</v>
      </c>
      <c r="D54" s="69">
        <v>0.25</v>
      </c>
      <c r="E54" s="69">
        <v>0.25</v>
      </c>
      <c r="F54" s="69">
        <v>0.25</v>
      </c>
      <c r="G54" s="2"/>
      <c r="H54" s="2"/>
      <c r="I54" s="10" t="s">
        <v>560</v>
      </c>
    </row>
    <row r="55" spans="1:9" ht="15" customHeight="1" x14ac:dyDescent="0.3">
      <c r="A55" s="6" t="s">
        <v>612</v>
      </c>
      <c r="B55" s="6" t="s">
        <v>267</v>
      </c>
      <c r="C55" s="6" t="s">
        <v>222</v>
      </c>
      <c r="D55" s="69">
        <v>0.92</v>
      </c>
      <c r="E55" s="69">
        <v>0.94</v>
      </c>
      <c r="F55" s="69">
        <v>0.96</v>
      </c>
      <c r="G55" s="2"/>
      <c r="H55" s="2"/>
      <c r="I55" s="10" t="s">
        <v>543</v>
      </c>
    </row>
    <row r="56" spans="1:9" ht="15" customHeight="1" x14ac:dyDescent="0.3">
      <c r="A56" s="6" t="s">
        <v>613</v>
      </c>
      <c r="B56" s="6" t="s">
        <v>267</v>
      </c>
      <c r="C56" s="6" t="s">
        <v>222</v>
      </c>
      <c r="D56" s="69">
        <v>0.09</v>
      </c>
      <c r="E56" s="69">
        <v>0.06</v>
      </c>
      <c r="F56" s="69">
        <v>0.04</v>
      </c>
      <c r="G56" s="2"/>
      <c r="H56" s="2"/>
      <c r="I56" s="10" t="s">
        <v>543</v>
      </c>
    </row>
    <row r="57" spans="1:9" ht="15" customHeight="1" x14ac:dyDescent="0.3">
      <c r="A57" s="6" t="s">
        <v>614</v>
      </c>
      <c r="B57" s="6" t="s">
        <v>267</v>
      </c>
      <c r="C57" s="6" t="s">
        <v>211</v>
      </c>
      <c r="D57" s="69">
        <v>0.08</v>
      </c>
      <c r="E57" s="69">
        <v>0.1</v>
      </c>
      <c r="F57" s="69">
        <v>0.12</v>
      </c>
      <c r="G57" s="2"/>
      <c r="H57" s="6" t="s">
        <v>615</v>
      </c>
      <c r="I57" s="10" t="s">
        <v>560</v>
      </c>
    </row>
    <row r="58" spans="1:9" ht="15" customHeight="1" x14ac:dyDescent="0.3">
      <c r="A58" s="6" t="s">
        <v>616</v>
      </c>
      <c r="B58" s="6" t="s">
        <v>267</v>
      </c>
      <c r="C58" s="6" t="s">
        <v>222</v>
      </c>
      <c r="D58" s="69">
        <v>0.02</v>
      </c>
      <c r="E58" s="69">
        <v>0.04</v>
      </c>
      <c r="F58" s="69">
        <v>0.06</v>
      </c>
      <c r="G58" s="2"/>
      <c r="H58" s="6" t="s">
        <v>617</v>
      </c>
      <c r="I58" s="10" t="s">
        <v>543</v>
      </c>
    </row>
    <row r="59" spans="1:9" ht="15" customHeight="1" x14ac:dyDescent="0.3">
      <c r="A59" s="6" t="s">
        <v>618</v>
      </c>
      <c r="B59" s="6" t="s">
        <v>267</v>
      </c>
      <c r="C59" s="6" t="s">
        <v>222</v>
      </c>
      <c r="D59" s="69">
        <v>0.03</v>
      </c>
      <c r="E59" s="69">
        <v>0.05</v>
      </c>
      <c r="F59" s="69">
        <v>0.08</v>
      </c>
      <c r="G59" s="2"/>
      <c r="H59" s="6" t="s">
        <v>619</v>
      </c>
      <c r="I59" s="10" t="s">
        <v>543</v>
      </c>
    </row>
    <row r="60" spans="1:9" ht="15" customHeight="1" x14ac:dyDescent="0.3">
      <c r="A60" s="6" t="s">
        <v>620</v>
      </c>
      <c r="B60" s="6" t="s">
        <v>267</v>
      </c>
      <c r="C60" s="6" t="s">
        <v>222</v>
      </c>
      <c r="D60" s="69">
        <v>0</v>
      </c>
      <c r="E60" s="69">
        <v>0.1</v>
      </c>
      <c r="F60" s="69">
        <v>0.2</v>
      </c>
      <c r="G60" s="2"/>
      <c r="H60" s="2"/>
      <c r="I60" s="10" t="s">
        <v>543</v>
      </c>
    </row>
    <row r="61" spans="1:9" ht="15" customHeight="1" x14ac:dyDescent="0.3">
      <c r="A61" s="6" t="s">
        <v>621</v>
      </c>
      <c r="B61" s="6" t="s">
        <v>267</v>
      </c>
      <c r="C61" s="6" t="s">
        <v>222</v>
      </c>
      <c r="D61" s="69">
        <v>0.5</v>
      </c>
      <c r="E61" s="69">
        <v>0.6</v>
      </c>
      <c r="F61" s="69">
        <v>0.7</v>
      </c>
      <c r="G61" s="2"/>
      <c r="H61" s="2"/>
      <c r="I61" s="10" t="s">
        <v>543</v>
      </c>
    </row>
    <row r="62" spans="1:9" ht="15" customHeight="1" x14ac:dyDescent="0.3">
      <c r="A62" s="6" t="s">
        <v>622</v>
      </c>
      <c r="B62" s="6" t="s">
        <v>267</v>
      </c>
      <c r="C62" s="6" t="s">
        <v>222</v>
      </c>
      <c r="D62" s="69">
        <v>1</v>
      </c>
      <c r="E62" s="69">
        <v>1</v>
      </c>
      <c r="F62" s="69">
        <v>1</v>
      </c>
      <c r="G62" s="2"/>
      <c r="H62" s="2"/>
      <c r="I62" s="10" t="s">
        <v>543</v>
      </c>
    </row>
    <row r="63" spans="1:9" ht="15" customHeight="1" x14ac:dyDescent="0.3">
      <c r="A63" s="6" t="s">
        <v>623</v>
      </c>
      <c r="B63" s="6" t="s">
        <v>218</v>
      </c>
      <c r="C63" s="6" t="s">
        <v>222</v>
      </c>
      <c r="D63" s="64">
        <v>215000</v>
      </c>
      <c r="E63" s="64">
        <v>175000</v>
      </c>
      <c r="F63" s="64">
        <v>145000</v>
      </c>
      <c r="G63" s="2"/>
      <c r="H63" s="6" t="s">
        <v>624</v>
      </c>
      <c r="I63" s="10" t="s">
        <v>543</v>
      </c>
    </row>
    <row r="64" spans="1:9" ht="15" customHeight="1" x14ac:dyDescent="0.3">
      <c r="A64" s="6" t="s">
        <v>625</v>
      </c>
      <c r="B64" s="6" t="s">
        <v>218</v>
      </c>
      <c r="C64" s="6" t="s">
        <v>222</v>
      </c>
      <c r="D64" s="64">
        <v>95000</v>
      </c>
      <c r="E64" s="64">
        <v>75000</v>
      </c>
      <c r="F64" s="64">
        <v>60000</v>
      </c>
      <c r="G64" s="2"/>
      <c r="H64" s="6" t="s">
        <v>626</v>
      </c>
      <c r="I64" s="10" t="s">
        <v>543</v>
      </c>
    </row>
    <row r="65" spans="1:9" ht="15" customHeight="1" x14ac:dyDescent="0.3">
      <c r="A65" s="6" t="s">
        <v>627</v>
      </c>
      <c r="B65" s="6" t="s">
        <v>267</v>
      </c>
      <c r="C65" s="6" t="s">
        <v>222</v>
      </c>
      <c r="D65" s="69">
        <v>3.3000000000000002E-2</v>
      </c>
      <c r="E65" s="69">
        <v>0.03</v>
      </c>
      <c r="F65" s="69">
        <v>2.7E-2</v>
      </c>
      <c r="G65" s="2"/>
      <c r="H65" s="2"/>
      <c r="I65" s="10" t="s">
        <v>543</v>
      </c>
    </row>
    <row r="66" spans="1:9" ht="15" customHeight="1" x14ac:dyDescent="0.3">
      <c r="A66" s="2"/>
      <c r="B66" s="2"/>
      <c r="C66" s="2"/>
      <c r="D66" s="2"/>
      <c r="E66" s="2"/>
      <c r="F66" s="2"/>
      <c r="G66" s="2"/>
      <c r="H66" s="2"/>
    </row>
    <row r="67" spans="1:9" ht="15" customHeight="1" x14ac:dyDescent="0.3">
      <c r="A67" s="21" t="s">
        <v>628</v>
      </c>
      <c r="B67" s="10"/>
      <c r="C67" s="10"/>
      <c r="D67" s="10"/>
      <c r="E67" s="10"/>
      <c r="F67" s="10"/>
      <c r="G67" s="10"/>
      <c r="H67" s="10"/>
    </row>
    <row r="68" spans="1:9" ht="15" customHeight="1" x14ac:dyDescent="0.3">
      <c r="A68" s="6" t="s">
        <v>629</v>
      </c>
      <c r="B68" s="6" t="s">
        <v>344</v>
      </c>
      <c r="C68" s="6" t="s">
        <v>222</v>
      </c>
      <c r="D68" s="64">
        <v>25</v>
      </c>
      <c r="E68" s="64">
        <v>40</v>
      </c>
      <c r="F68" s="64">
        <v>55</v>
      </c>
      <c r="G68" s="2"/>
      <c r="H68" s="2"/>
      <c r="I68" s="10" t="s">
        <v>543</v>
      </c>
    </row>
    <row r="69" spans="1:9" ht="15" customHeight="1" x14ac:dyDescent="0.3">
      <c r="A69" s="6" t="s">
        <v>630</v>
      </c>
      <c r="B69" s="6" t="s">
        <v>344</v>
      </c>
      <c r="C69" s="6" t="s">
        <v>222</v>
      </c>
      <c r="D69" s="64">
        <v>40</v>
      </c>
      <c r="E69" s="64">
        <v>60</v>
      </c>
      <c r="F69" s="64">
        <v>80</v>
      </c>
      <c r="G69" s="2"/>
      <c r="H69" s="2"/>
      <c r="I69" s="10" t="s">
        <v>543</v>
      </c>
    </row>
    <row r="70" spans="1:9" ht="15" customHeight="1" x14ac:dyDescent="0.3">
      <c r="A70" s="6" t="s">
        <v>631</v>
      </c>
      <c r="B70" s="6" t="s">
        <v>344</v>
      </c>
      <c r="C70" s="6" t="s">
        <v>222</v>
      </c>
      <c r="D70" s="64">
        <v>5</v>
      </c>
      <c r="E70" s="64">
        <v>10</v>
      </c>
      <c r="F70" s="64">
        <v>16</v>
      </c>
      <c r="G70" s="2"/>
      <c r="H70" s="2"/>
      <c r="I70" s="10" t="s">
        <v>543</v>
      </c>
    </row>
    <row r="71" spans="1:9" ht="15" customHeight="1" x14ac:dyDescent="0.3">
      <c r="A71" s="6" t="s">
        <v>353</v>
      </c>
      <c r="B71" s="6" t="s">
        <v>344</v>
      </c>
      <c r="C71" s="6" t="s">
        <v>211</v>
      </c>
      <c r="D71" s="13">
        <f>'Evidence &amp; Market'!$C$26</f>
        <v>42.452742382271467</v>
      </c>
      <c r="E71" s="13">
        <f>'Evidence &amp; Market'!$C$26</f>
        <v>42.452742382271467</v>
      </c>
      <c r="F71" s="13">
        <f>'Evidence &amp; Market'!$C$26</f>
        <v>42.452742382271467</v>
      </c>
      <c r="G71" s="2"/>
      <c r="H71" s="6" t="s">
        <v>632</v>
      </c>
      <c r="I71" s="10" t="s">
        <v>560</v>
      </c>
    </row>
    <row r="72" spans="1:9" ht="15" customHeight="1" x14ac:dyDescent="0.3">
      <c r="A72" s="6" t="s">
        <v>633</v>
      </c>
      <c r="B72" s="6" t="s">
        <v>267</v>
      </c>
      <c r="C72" s="6" t="s">
        <v>222</v>
      </c>
      <c r="D72" s="69">
        <v>0.5</v>
      </c>
      <c r="E72" s="69">
        <v>0.4</v>
      </c>
      <c r="F72" s="69">
        <v>0.3</v>
      </c>
      <c r="G72" s="2"/>
      <c r="H72" s="6" t="s">
        <v>634</v>
      </c>
      <c r="I72" s="10" t="s">
        <v>543</v>
      </c>
    </row>
    <row r="73" spans="1:9" ht="15" customHeight="1" x14ac:dyDescent="0.3">
      <c r="A73" s="6" t="s">
        <v>635</v>
      </c>
      <c r="B73" s="6" t="s">
        <v>267</v>
      </c>
      <c r="C73" s="6" t="s">
        <v>222</v>
      </c>
      <c r="D73" s="69">
        <v>0.38</v>
      </c>
      <c r="E73" s="69">
        <v>0.3</v>
      </c>
      <c r="F73" s="69">
        <v>0.24</v>
      </c>
      <c r="G73" s="2"/>
      <c r="H73" s="2"/>
      <c r="I73" s="10" t="s">
        <v>543</v>
      </c>
    </row>
    <row r="74" spans="1:9" ht="15" customHeight="1" x14ac:dyDescent="0.3">
      <c r="A74" s="6" t="s">
        <v>636</v>
      </c>
      <c r="B74" s="6" t="s">
        <v>344</v>
      </c>
      <c r="C74" s="6" t="s">
        <v>326</v>
      </c>
      <c r="D74" s="13">
        <f>'Evidence &amp; Market'!$C$27</f>
        <v>24.042880886426591</v>
      </c>
      <c r="E74" s="13">
        <f>'Evidence &amp; Market'!$C$27</f>
        <v>24.042880886426591</v>
      </c>
      <c r="F74" s="13">
        <f>'Evidence &amp; Market'!$C$27</f>
        <v>24.042880886426591</v>
      </c>
      <c r="G74" s="2"/>
      <c r="H74" s="6" t="s">
        <v>637</v>
      </c>
      <c r="I74" s="10" t="s">
        <v>638</v>
      </c>
    </row>
    <row r="75" spans="1:9" ht="15" customHeight="1" x14ac:dyDescent="0.3">
      <c r="A75" s="6" t="s">
        <v>639</v>
      </c>
      <c r="B75" s="6" t="s">
        <v>267</v>
      </c>
      <c r="C75" s="6" t="s">
        <v>222</v>
      </c>
      <c r="D75" s="69">
        <v>0.26</v>
      </c>
      <c r="E75" s="69">
        <v>0.2</v>
      </c>
      <c r="F75" s="69">
        <v>0.16</v>
      </c>
      <c r="G75" s="2"/>
      <c r="H75" s="2"/>
      <c r="I75" s="10" t="s">
        <v>543</v>
      </c>
    </row>
    <row r="76" spans="1:9" ht="15" customHeight="1" x14ac:dyDescent="0.3">
      <c r="A76" s="6" t="s">
        <v>640</v>
      </c>
      <c r="B76" s="6" t="s">
        <v>267</v>
      </c>
      <c r="C76" s="6" t="s">
        <v>222</v>
      </c>
      <c r="D76" s="69">
        <v>0.28000000000000003</v>
      </c>
      <c r="E76" s="69">
        <v>0.4</v>
      </c>
      <c r="F76" s="69">
        <v>0.52</v>
      </c>
      <c r="G76" s="2"/>
      <c r="H76" s="2"/>
      <c r="I76" s="10" t="s">
        <v>543</v>
      </c>
    </row>
    <row r="77" spans="1:9" ht="15" customHeight="1" x14ac:dyDescent="0.3">
      <c r="A77" s="6" t="s">
        <v>641</v>
      </c>
      <c r="B77" s="6" t="s">
        <v>642</v>
      </c>
      <c r="C77" s="6" t="s">
        <v>222</v>
      </c>
      <c r="D77" s="64">
        <v>4</v>
      </c>
      <c r="E77" s="64">
        <v>3</v>
      </c>
      <c r="F77" s="64">
        <v>3</v>
      </c>
      <c r="G77" s="2"/>
      <c r="H77" s="2"/>
      <c r="I77" s="10" t="s">
        <v>543</v>
      </c>
    </row>
    <row r="78" spans="1:9" ht="15" customHeight="1" x14ac:dyDescent="0.3">
      <c r="A78" s="6" t="s">
        <v>643</v>
      </c>
      <c r="B78" s="6" t="s">
        <v>344</v>
      </c>
      <c r="C78" s="6" t="s">
        <v>222</v>
      </c>
      <c r="D78" s="64">
        <v>15</v>
      </c>
      <c r="E78" s="64">
        <v>12</v>
      </c>
      <c r="F78" s="64">
        <v>9</v>
      </c>
      <c r="G78" s="2"/>
      <c r="H78" s="2"/>
      <c r="I78" s="10" t="s">
        <v>543</v>
      </c>
    </row>
    <row r="79" spans="1:9" ht="15" customHeight="1" x14ac:dyDescent="0.3">
      <c r="A79" s="6" t="s">
        <v>358</v>
      </c>
      <c r="B79" s="6" t="s">
        <v>344</v>
      </c>
      <c r="C79" s="6" t="s">
        <v>222</v>
      </c>
      <c r="D79" s="72">
        <f>'Evidence &amp; Market'!$C$28</f>
        <v>0</v>
      </c>
      <c r="E79" s="72">
        <f>'Evidence &amp; Market'!$C$28</f>
        <v>0</v>
      </c>
      <c r="F79" s="72">
        <f>'Evidence &amp; Market'!$C$28</f>
        <v>0</v>
      </c>
      <c r="G79" s="2"/>
      <c r="H79" s="2" t="s">
        <v>644</v>
      </c>
      <c r="I79" s="10" t="s">
        <v>222</v>
      </c>
    </row>
    <row r="80" spans="1:9" ht="15" customHeight="1" x14ac:dyDescent="0.3">
      <c r="A80" s="21" t="s">
        <v>645</v>
      </c>
      <c r="B80" s="10"/>
      <c r="C80" s="10"/>
      <c r="D80" s="10"/>
      <c r="E80" s="10"/>
      <c r="F80" s="10"/>
      <c r="G80" s="10"/>
      <c r="H80" s="10"/>
    </row>
    <row r="81" spans="1:9" ht="15" customHeight="1" x14ac:dyDescent="0.3">
      <c r="A81" s="6" t="s">
        <v>646</v>
      </c>
      <c r="B81" s="6" t="s">
        <v>642</v>
      </c>
      <c r="C81" s="6" t="s">
        <v>245</v>
      </c>
      <c r="D81" s="64">
        <v>1</v>
      </c>
      <c r="E81" s="64">
        <v>1</v>
      </c>
      <c r="F81" s="64">
        <v>1</v>
      </c>
      <c r="G81" s="2"/>
      <c r="H81" s="6" t="s">
        <v>647</v>
      </c>
      <c r="I81" s="10" t="s">
        <v>550</v>
      </c>
    </row>
    <row r="82" spans="1:9" ht="15" customHeight="1" x14ac:dyDescent="0.3">
      <c r="A82" s="6" t="s">
        <v>648</v>
      </c>
      <c r="B82" s="6" t="s">
        <v>267</v>
      </c>
      <c r="C82" s="6" t="s">
        <v>245</v>
      </c>
      <c r="D82" s="69">
        <v>0.5</v>
      </c>
      <c r="E82" s="69">
        <v>0.5</v>
      </c>
      <c r="F82" s="69">
        <v>0.5</v>
      </c>
      <c r="G82" s="2"/>
      <c r="H82" s="2"/>
      <c r="I82" s="10" t="s">
        <v>550</v>
      </c>
    </row>
    <row r="83" spans="1:9" ht="15" customHeight="1" x14ac:dyDescent="0.3">
      <c r="A83" s="6" t="s">
        <v>649</v>
      </c>
      <c r="B83" s="6" t="s">
        <v>267</v>
      </c>
      <c r="C83" s="6" t="s">
        <v>245</v>
      </c>
      <c r="D83" s="69">
        <v>0</v>
      </c>
      <c r="E83" s="69">
        <v>0</v>
      </c>
      <c r="F83" s="69">
        <v>0</v>
      </c>
      <c r="G83" s="2"/>
      <c r="H83" s="2"/>
      <c r="I83" s="10" t="s">
        <v>550</v>
      </c>
    </row>
    <row r="84" spans="1:9" ht="15" customHeight="1" x14ac:dyDescent="0.3">
      <c r="A84" s="6" t="s">
        <v>650</v>
      </c>
      <c r="B84" s="6" t="s">
        <v>651</v>
      </c>
      <c r="C84" s="6" t="s">
        <v>222</v>
      </c>
      <c r="D84" s="64">
        <v>2</v>
      </c>
      <c r="E84" s="64">
        <v>3</v>
      </c>
      <c r="F84" s="64">
        <v>4</v>
      </c>
      <c r="G84" s="2"/>
      <c r="H84" s="2"/>
      <c r="I84" s="10" t="s">
        <v>543</v>
      </c>
    </row>
    <row r="85" spans="1:9" ht="15" customHeight="1" x14ac:dyDescent="0.3">
      <c r="A85" s="6" t="s">
        <v>652</v>
      </c>
      <c r="B85" s="6" t="s">
        <v>218</v>
      </c>
      <c r="C85" s="6" t="s">
        <v>222</v>
      </c>
      <c r="D85" s="64">
        <v>540000</v>
      </c>
      <c r="E85" s="64">
        <v>480000</v>
      </c>
      <c r="F85" s="64">
        <v>430000</v>
      </c>
      <c r="G85" s="2"/>
      <c r="H85" s="2"/>
      <c r="I85" s="10" t="s">
        <v>543</v>
      </c>
    </row>
    <row r="86" spans="1:9" ht="15" customHeight="1" x14ac:dyDescent="0.3">
      <c r="A86" s="6" t="s">
        <v>653</v>
      </c>
      <c r="B86" s="6" t="s">
        <v>218</v>
      </c>
      <c r="C86" s="6" t="s">
        <v>222</v>
      </c>
      <c r="D86" s="64">
        <v>820000</v>
      </c>
      <c r="E86" s="64">
        <v>700000</v>
      </c>
      <c r="F86" s="64">
        <v>610000</v>
      </c>
      <c r="G86" s="2"/>
      <c r="H86" s="6" t="s">
        <v>654</v>
      </c>
      <c r="I86" s="10" t="s">
        <v>543</v>
      </c>
    </row>
    <row r="87" spans="1:9" ht="15" customHeight="1" x14ac:dyDescent="0.3">
      <c r="A87" s="6" t="s">
        <v>655</v>
      </c>
      <c r="B87" s="6" t="s">
        <v>267</v>
      </c>
      <c r="C87" s="6" t="s">
        <v>222</v>
      </c>
      <c r="D87" s="69">
        <v>7.0000000000000007E-2</v>
      </c>
      <c r="E87" s="69">
        <v>0.06</v>
      </c>
      <c r="F87" s="69">
        <v>0.05</v>
      </c>
      <c r="G87" s="2"/>
      <c r="H87" s="2"/>
      <c r="I87" s="10" t="s">
        <v>543</v>
      </c>
    </row>
    <row r="88" spans="1:9" ht="15" customHeight="1" x14ac:dyDescent="0.3">
      <c r="A88" s="6" t="s">
        <v>656</v>
      </c>
      <c r="B88" s="6" t="s">
        <v>267</v>
      </c>
      <c r="C88" s="6" t="s">
        <v>222</v>
      </c>
      <c r="D88" s="69">
        <v>3.5000000000000003E-2</v>
      </c>
      <c r="E88" s="69">
        <v>0.03</v>
      </c>
      <c r="F88" s="69">
        <v>2.5999999999999999E-2</v>
      </c>
      <c r="G88" s="2"/>
      <c r="H88" s="2"/>
      <c r="I88" s="10" t="s">
        <v>543</v>
      </c>
    </row>
    <row r="89" spans="1:9" ht="15" customHeight="1" x14ac:dyDescent="0.3">
      <c r="A89" s="6" t="s">
        <v>657</v>
      </c>
      <c r="B89" s="6" t="s">
        <v>344</v>
      </c>
      <c r="C89" s="6" t="s">
        <v>222</v>
      </c>
      <c r="D89" s="64">
        <v>28</v>
      </c>
      <c r="E89" s="64">
        <v>25</v>
      </c>
      <c r="F89" s="64">
        <v>22</v>
      </c>
      <c r="G89" s="2"/>
      <c r="H89" s="2"/>
      <c r="I89" s="10" t="s">
        <v>543</v>
      </c>
    </row>
    <row r="90" spans="1:9" ht="15" customHeight="1" x14ac:dyDescent="0.3">
      <c r="A90" s="6" t="s">
        <v>658</v>
      </c>
      <c r="B90" s="6" t="s">
        <v>344</v>
      </c>
      <c r="C90" s="6" t="s">
        <v>222</v>
      </c>
      <c r="D90" s="64">
        <v>26</v>
      </c>
      <c r="E90" s="64">
        <v>22</v>
      </c>
      <c r="F90" s="64">
        <v>18</v>
      </c>
      <c r="G90" s="2"/>
      <c r="H90" s="2"/>
      <c r="I90" s="10" t="s">
        <v>543</v>
      </c>
    </row>
    <row r="91" spans="1:9" ht="15" customHeight="1" x14ac:dyDescent="0.3">
      <c r="A91" s="6" t="s">
        <v>659</v>
      </c>
      <c r="B91" s="6" t="s">
        <v>267</v>
      </c>
      <c r="C91" s="6" t="s">
        <v>245</v>
      </c>
      <c r="D91" s="64">
        <v>0</v>
      </c>
      <c r="E91" s="64">
        <v>0</v>
      </c>
      <c r="F91" s="64">
        <v>0</v>
      </c>
      <c r="G91" s="2"/>
      <c r="H91" s="2" t="s">
        <v>660</v>
      </c>
      <c r="I91" s="10" t="s">
        <v>550</v>
      </c>
    </row>
    <row r="92" spans="1:9" ht="15" customHeight="1" x14ac:dyDescent="0.3">
      <c r="A92" s="21" t="s">
        <v>661</v>
      </c>
      <c r="B92" s="10"/>
      <c r="C92" s="10"/>
      <c r="D92" s="10"/>
      <c r="E92" s="10"/>
      <c r="F92" s="10"/>
      <c r="G92" s="10"/>
      <c r="H92" s="10"/>
    </row>
    <row r="93" spans="1:9" ht="15" customHeight="1" x14ac:dyDescent="0.3">
      <c r="A93" s="6" t="s">
        <v>662</v>
      </c>
      <c r="B93" s="6" t="s">
        <v>265</v>
      </c>
      <c r="C93" s="6" t="s">
        <v>222</v>
      </c>
      <c r="D93" s="68">
        <v>2.25</v>
      </c>
      <c r="E93" s="68">
        <v>2.75</v>
      </c>
      <c r="F93" s="68">
        <v>3.15</v>
      </c>
      <c r="G93" s="2"/>
      <c r="H93" s="2"/>
      <c r="I93" s="10" t="s">
        <v>543</v>
      </c>
    </row>
    <row r="94" spans="1:9" ht="15" customHeight="1" x14ac:dyDescent="0.3">
      <c r="A94" s="6" t="s">
        <v>663</v>
      </c>
      <c r="B94" s="6" t="s">
        <v>265</v>
      </c>
      <c r="C94" s="6" t="s">
        <v>222</v>
      </c>
      <c r="D94" s="68">
        <v>1.4</v>
      </c>
      <c r="E94" s="68">
        <v>1.25</v>
      </c>
      <c r="F94" s="68">
        <v>1.18</v>
      </c>
      <c r="G94" s="2"/>
      <c r="H94" s="6" t="s">
        <v>664</v>
      </c>
      <c r="I94" s="10" t="s">
        <v>543</v>
      </c>
    </row>
    <row r="95" spans="1:9" ht="15" customHeight="1" x14ac:dyDescent="0.3">
      <c r="A95" s="6" t="s">
        <v>665</v>
      </c>
      <c r="B95" s="6" t="s">
        <v>267</v>
      </c>
      <c r="C95" s="6" t="s">
        <v>222</v>
      </c>
      <c r="D95" s="69">
        <v>0.35</v>
      </c>
      <c r="E95" s="69">
        <v>0.35</v>
      </c>
      <c r="F95" s="69">
        <v>0.35</v>
      </c>
      <c r="G95" s="2"/>
      <c r="H95" s="6" t="s">
        <v>666</v>
      </c>
      <c r="I95" s="10" t="s">
        <v>543</v>
      </c>
    </row>
    <row r="96" spans="1:9" ht="15" customHeight="1" x14ac:dyDescent="0.3">
      <c r="A96" s="6" t="s">
        <v>667</v>
      </c>
      <c r="B96" s="6" t="s">
        <v>267</v>
      </c>
      <c r="C96" s="6" t="s">
        <v>222</v>
      </c>
      <c r="D96" s="69">
        <v>0.105</v>
      </c>
      <c r="E96" s="69">
        <v>9.5000000000000001E-2</v>
      </c>
      <c r="F96" s="69">
        <v>8.6999999999999994E-2</v>
      </c>
      <c r="G96" s="2"/>
      <c r="H96" s="2"/>
      <c r="I96" s="10" t="s">
        <v>543</v>
      </c>
    </row>
    <row r="97" spans="1:9" ht="15" customHeight="1" x14ac:dyDescent="0.3">
      <c r="A97" s="6" t="s">
        <v>668</v>
      </c>
      <c r="B97" s="6" t="s">
        <v>267</v>
      </c>
      <c r="C97" s="6" t="s">
        <v>222</v>
      </c>
      <c r="D97" s="69">
        <v>0.1</v>
      </c>
      <c r="E97" s="69">
        <v>0.1</v>
      </c>
      <c r="F97" s="69">
        <v>0.1</v>
      </c>
      <c r="G97" s="2"/>
      <c r="H97" s="2"/>
      <c r="I97" s="10" t="s">
        <v>543</v>
      </c>
    </row>
    <row r="98" spans="1:9" ht="15" customHeight="1" x14ac:dyDescent="0.3">
      <c r="A98" s="6" t="s">
        <v>669</v>
      </c>
      <c r="B98" s="6" t="s">
        <v>267</v>
      </c>
      <c r="C98" s="6" t="s">
        <v>245</v>
      </c>
      <c r="D98" s="69">
        <v>0.15</v>
      </c>
      <c r="E98" s="69">
        <v>0.15</v>
      </c>
      <c r="F98" s="69">
        <v>0.15</v>
      </c>
      <c r="G98" s="2"/>
      <c r="H98" s="2"/>
      <c r="I98" s="10" t="s">
        <v>550</v>
      </c>
    </row>
    <row r="99" spans="1:9" ht="15" customHeight="1" x14ac:dyDescent="0.3">
      <c r="A99" s="6" t="s">
        <v>670</v>
      </c>
      <c r="B99" s="6" t="s">
        <v>267</v>
      </c>
      <c r="C99" s="6" t="s">
        <v>222</v>
      </c>
      <c r="D99" s="69">
        <v>7.6999999999999999E-2</v>
      </c>
      <c r="E99" s="69">
        <v>7.0000000000000007E-2</v>
      </c>
      <c r="F99" s="69">
        <v>6.3E-2</v>
      </c>
      <c r="G99" s="2"/>
      <c r="H99" s="2"/>
      <c r="I99" s="10" t="s">
        <v>543</v>
      </c>
    </row>
    <row r="100" spans="1:9" ht="15" customHeight="1" x14ac:dyDescent="0.3">
      <c r="A100" s="6" t="s">
        <v>671</v>
      </c>
      <c r="B100" s="6" t="s">
        <v>642</v>
      </c>
      <c r="C100" s="6" t="s">
        <v>245</v>
      </c>
      <c r="D100" s="64">
        <v>5</v>
      </c>
      <c r="E100" s="64">
        <v>5</v>
      </c>
      <c r="F100" s="64">
        <v>5</v>
      </c>
      <c r="G100" s="2"/>
      <c r="H100" s="2"/>
      <c r="I100" s="10" t="s">
        <v>550</v>
      </c>
    </row>
    <row r="101" spans="1:9" ht="15" customHeight="1" x14ac:dyDescent="0.3">
      <c r="A101" s="6" t="s">
        <v>672</v>
      </c>
      <c r="B101" s="6" t="s">
        <v>218</v>
      </c>
      <c r="C101" s="6" t="s">
        <v>245</v>
      </c>
      <c r="D101" s="64">
        <v>1500000</v>
      </c>
      <c r="E101" s="64">
        <v>1500000</v>
      </c>
      <c r="F101" s="64">
        <v>1500000</v>
      </c>
      <c r="G101" s="2"/>
      <c r="H101" s="6" t="s">
        <v>673</v>
      </c>
      <c r="I101" s="10" t="s">
        <v>550</v>
      </c>
    </row>
    <row r="102" spans="1:9" ht="15" customHeight="1" x14ac:dyDescent="0.3">
      <c r="A102" s="6" t="s">
        <v>674</v>
      </c>
      <c r="B102" s="6" t="s">
        <v>267</v>
      </c>
      <c r="C102" s="6" t="s">
        <v>222</v>
      </c>
      <c r="D102" s="69">
        <v>0.26</v>
      </c>
      <c r="E102" s="69">
        <v>0.26</v>
      </c>
      <c r="F102" s="69">
        <v>0.26</v>
      </c>
      <c r="G102" s="2"/>
      <c r="H102" s="2"/>
      <c r="I102" s="10" t="s">
        <v>543</v>
      </c>
    </row>
    <row r="103" spans="1:9" ht="15" customHeight="1" x14ac:dyDescent="0.3">
      <c r="A103" s="6" t="s">
        <v>675</v>
      </c>
      <c r="B103" s="6" t="s">
        <v>265</v>
      </c>
      <c r="C103" s="6" t="s">
        <v>245</v>
      </c>
      <c r="D103" s="68">
        <v>8.5</v>
      </c>
      <c r="E103" s="68">
        <v>9.5</v>
      </c>
      <c r="F103" s="68">
        <v>10.5</v>
      </c>
      <c r="G103" s="2"/>
      <c r="H103" s="6" t="s">
        <v>676</v>
      </c>
      <c r="I103" s="10" t="s">
        <v>550</v>
      </c>
    </row>
    <row r="104" spans="1:9" ht="15" customHeight="1" x14ac:dyDescent="0.3">
      <c r="A104" s="6" t="s">
        <v>677</v>
      </c>
      <c r="B104" s="6" t="s">
        <v>265</v>
      </c>
      <c r="C104" s="6" t="s">
        <v>245</v>
      </c>
      <c r="D104" s="68">
        <v>9.5</v>
      </c>
      <c r="E104" s="68">
        <v>9.5</v>
      </c>
      <c r="F104" s="68">
        <v>9.5</v>
      </c>
      <c r="G104" s="2"/>
      <c r="H104" s="6" t="s">
        <v>127</v>
      </c>
      <c r="I104" s="10" t="s">
        <v>550</v>
      </c>
    </row>
    <row r="105" spans="1:9" ht="15" customHeight="1" x14ac:dyDescent="0.3">
      <c r="A105" s="6" t="s">
        <v>678</v>
      </c>
      <c r="B105" s="6" t="s">
        <v>265</v>
      </c>
      <c r="C105" s="6" t="s">
        <v>245</v>
      </c>
      <c r="D105" s="68">
        <v>5.5</v>
      </c>
      <c r="E105" s="68">
        <v>6</v>
      </c>
      <c r="F105" s="68">
        <v>6.5</v>
      </c>
      <c r="G105" s="2"/>
      <c r="H105" s="6" t="s">
        <v>679</v>
      </c>
      <c r="I105" s="10" t="s">
        <v>550</v>
      </c>
    </row>
    <row r="106" spans="1:9" ht="15" customHeight="1" x14ac:dyDescent="0.3">
      <c r="A106" s="6" t="s">
        <v>680</v>
      </c>
      <c r="B106" s="6" t="s">
        <v>267</v>
      </c>
      <c r="C106" s="6" t="s">
        <v>222</v>
      </c>
      <c r="D106" s="69">
        <v>0.02</v>
      </c>
      <c r="E106" s="69">
        <v>0.02</v>
      </c>
      <c r="F106" s="69">
        <v>0.02</v>
      </c>
      <c r="G106" s="2"/>
      <c r="H106" s="2"/>
      <c r="I106" s="10" t="s">
        <v>543</v>
      </c>
    </row>
    <row r="109" spans="1:9" ht="15" customHeight="1" x14ac:dyDescent="0.25">
      <c r="A109" s="49" t="s">
        <v>681</v>
      </c>
    </row>
    <row r="110" spans="1:9" ht="15" customHeight="1" x14ac:dyDescent="0.3">
      <c r="A110" s="73" t="s">
        <v>682</v>
      </c>
      <c r="B110" s="6" t="s">
        <v>683</v>
      </c>
    </row>
    <row r="111" spans="1:9" ht="15" customHeight="1" x14ac:dyDescent="0.3">
      <c r="A111" s="1" t="s">
        <v>684</v>
      </c>
      <c r="B111" s="6" t="s">
        <v>685</v>
      </c>
    </row>
    <row r="112" spans="1:9" ht="15" customHeight="1" x14ac:dyDescent="0.3">
      <c r="A112" s="74" t="s">
        <v>686</v>
      </c>
      <c r="B112" s="6" t="s">
        <v>687</v>
      </c>
    </row>
    <row r="113" spans="1:2" ht="15" customHeight="1" x14ac:dyDescent="0.3">
      <c r="A113" s="75" t="s">
        <v>688</v>
      </c>
      <c r="B113" s="6" t="s">
        <v>689</v>
      </c>
    </row>
    <row r="114" spans="1:2" ht="15" customHeight="1" x14ac:dyDescent="0.3">
      <c r="A114" s="76" t="s">
        <v>690</v>
      </c>
      <c r="B114" s="6" t="s">
        <v>691</v>
      </c>
    </row>
    <row r="115" spans="1:2" ht="15" customHeight="1" x14ac:dyDescent="0.3">
      <c r="A115" s="1" t="s">
        <v>692</v>
      </c>
      <c r="B115" s="6" t="s">
        <v>693</v>
      </c>
    </row>
    <row r="116" spans="1:2" ht="15" customHeight="1" x14ac:dyDescent="0.3">
      <c r="A116" s="1" t="s">
        <v>694</v>
      </c>
      <c r="B116" s="6" t="s">
        <v>695</v>
      </c>
    </row>
    <row r="117" spans="1:2" ht="15" customHeight="1" x14ac:dyDescent="0.3">
      <c r="A117" s="1" t="s">
        <v>696</v>
      </c>
      <c r="B117" s="6" t="s">
        <v>697</v>
      </c>
    </row>
    <row r="118" spans="1:2" ht="15" customHeight="1" x14ac:dyDescent="0.3">
      <c r="A118" s="1" t="s">
        <v>698</v>
      </c>
      <c r="B118" s="6" t="s">
        <v>699</v>
      </c>
    </row>
  </sheetData>
  <pageMargins left="0.7" right="0.7" top="0.75" bottom="0.75" header="0.511811023622047" footer="0.511811023622047"/>
  <pageSetup paperSize="9"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50"/>
  <sheetViews>
    <sheetView showGridLines="0" zoomScaleNormal="100" workbookViewId="0">
      <pane xSplit="5" ySplit="5" topLeftCell="F6" activePane="bottomRight" state="frozen"/>
      <selection pane="topRight" activeCell="F1" sqref="F1"/>
      <selection pane="bottomLeft" activeCell="A6" sqref="A6"/>
      <selection pane="bottomRight"/>
    </sheetView>
  </sheetViews>
  <sheetFormatPr defaultColWidth="8.7109375" defaultRowHeight="12.75" x14ac:dyDescent="0.2"/>
  <cols>
    <col min="1" max="1" width="9" customWidth="1"/>
    <col min="2" max="2" width="22" customWidth="1"/>
    <col min="3" max="4" width="11" customWidth="1"/>
    <col min="5" max="5" width="8" customWidth="1"/>
    <col min="6" max="7" width="12" customWidth="1"/>
    <col min="8" max="8" width="8" customWidth="1"/>
    <col min="9" max="9" width="10" customWidth="1"/>
    <col min="10" max="12" width="8" customWidth="1"/>
    <col min="13" max="13" width="9" customWidth="1"/>
    <col min="14" max="14" width="12" customWidth="1"/>
    <col min="15" max="18" width="11" customWidth="1"/>
    <col min="19" max="20" width="8" customWidth="1"/>
    <col min="21" max="22" width="9" customWidth="1"/>
    <col min="23" max="23" width="12" customWidth="1"/>
  </cols>
  <sheetData>
    <row r="1" spans="1:23" ht="15" customHeight="1" x14ac:dyDescent="0.3">
      <c r="A1" s="1" t="s">
        <v>700</v>
      </c>
      <c r="B1" s="2"/>
      <c r="C1" s="2"/>
      <c r="D1" s="2"/>
      <c r="E1" s="2"/>
      <c r="F1" s="2"/>
      <c r="G1" s="2"/>
      <c r="H1" s="2"/>
      <c r="I1" s="2"/>
      <c r="J1" s="2"/>
      <c r="K1" s="2"/>
      <c r="L1" s="2"/>
      <c r="M1" s="2"/>
      <c r="N1" s="2"/>
      <c r="O1" s="2"/>
      <c r="P1" s="2"/>
      <c r="Q1" s="2"/>
      <c r="R1" s="2"/>
      <c r="S1" s="2"/>
      <c r="T1" s="2"/>
      <c r="U1" s="2"/>
      <c r="V1" s="2"/>
      <c r="W1" s="2"/>
    </row>
    <row r="2" spans="1:23" ht="15" customHeight="1" x14ac:dyDescent="0.3">
      <c r="A2" s="6" t="s">
        <v>701</v>
      </c>
      <c r="B2" s="2"/>
      <c r="C2" s="2"/>
      <c r="D2" s="2"/>
      <c r="E2" s="2"/>
      <c r="F2" s="2"/>
      <c r="G2" s="2"/>
      <c r="H2" s="2"/>
      <c r="I2" s="2"/>
      <c r="J2" s="2"/>
      <c r="K2" s="2"/>
      <c r="L2" s="2"/>
      <c r="M2" s="2"/>
      <c r="N2" s="2"/>
      <c r="O2" s="2"/>
      <c r="P2" s="2"/>
      <c r="Q2" s="2"/>
      <c r="R2" s="2"/>
      <c r="S2" s="2"/>
      <c r="T2" s="2"/>
      <c r="U2" s="2"/>
      <c r="V2" s="2"/>
      <c r="W2" s="2"/>
    </row>
    <row r="3" spans="1:23" ht="15" customHeight="1" x14ac:dyDescent="0.3">
      <c r="A3" s="2"/>
      <c r="B3" s="2"/>
      <c r="C3" s="2"/>
      <c r="D3" s="2"/>
      <c r="E3" s="2"/>
      <c r="F3" s="2"/>
      <c r="G3" s="2"/>
      <c r="H3" s="2"/>
      <c r="I3" s="2"/>
      <c r="J3" s="2"/>
      <c r="K3" s="2"/>
      <c r="L3" s="2"/>
      <c r="M3" s="2"/>
      <c r="N3" s="2"/>
      <c r="O3" s="2"/>
      <c r="P3" s="2"/>
      <c r="Q3" s="2"/>
      <c r="R3" s="2"/>
      <c r="S3" s="2"/>
      <c r="T3" s="2"/>
      <c r="U3" s="2"/>
      <c r="V3" s="2"/>
      <c r="W3" s="2"/>
    </row>
    <row r="4" spans="1:23" ht="15" customHeight="1" x14ac:dyDescent="0.3">
      <c r="A4" s="2"/>
      <c r="B4" s="2"/>
      <c r="C4" s="2"/>
      <c r="D4" s="2"/>
      <c r="E4" s="2"/>
      <c r="F4" s="2"/>
      <c r="G4" s="2"/>
      <c r="H4" s="2"/>
      <c r="I4" s="2"/>
      <c r="J4" s="2"/>
      <c r="K4" s="2"/>
      <c r="L4" s="2"/>
      <c r="M4" s="2"/>
      <c r="N4" s="2"/>
      <c r="O4" s="2"/>
      <c r="P4" s="2"/>
      <c r="Q4" s="2"/>
      <c r="R4" s="2"/>
      <c r="S4" s="2"/>
      <c r="T4" s="2"/>
      <c r="U4" s="2"/>
      <c r="V4" s="2"/>
      <c r="W4" s="2"/>
    </row>
    <row r="5" spans="1:23" ht="15" customHeight="1" x14ac:dyDescent="0.25">
      <c r="A5" s="21" t="s">
        <v>702</v>
      </c>
      <c r="B5" s="21" t="s">
        <v>703</v>
      </c>
      <c r="C5" s="21" t="s">
        <v>423</v>
      </c>
      <c r="D5" s="21" t="s">
        <v>704</v>
      </c>
      <c r="E5" s="21" t="s">
        <v>705</v>
      </c>
      <c r="F5" s="21" t="s">
        <v>706</v>
      </c>
      <c r="G5" s="21" t="s">
        <v>707</v>
      </c>
      <c r="H5" s="21" t="s">
        <v>708</v>
      </c>
      <c r="I5" s="21" t="s">
        <v>709</v>
      </c>
      <c r="J5" s="21" t="s">
        <v>710</v>
      </c>
      <c r="K5" s="21" t="s">
        <v>711</v>
      </c>
      <c r="L5" s="21" t="s">
        <v>712</v>
      </c>
      <c r="M5" s="21" t="s">
        <v>713</v>
      </c>
      <c r="N5" s="21" t="s">
        <v>714</v>
      </c>
      <c r="O5" s="21" t="s">
        <v>715</v>
      </c>
      <c r="P5" s="21" t="s">
        <v>716</v>
      </c>
      <c r="Q5" s="21" t="s">
        <v>717</v>
      </c>
      <c r="R5" s="21" t="s">
        <v>718</v>
      </c>
      <c r="S5" s="21" t="s">
        <v>719</v>
      </c>
      <c r="T5" s="21" t="s">
        <v>720</v>
      </c>
      <c r="U5" s="21" t="s">
        <v>721</v>
      </c>
      <c r="V5" s="21" t="s">
        <v>722</v>
      </c>
      <c r="W5" s="21" t="s">
        <v>723</v>
      </c>
    </row>
    <row r="6" spans="1:23" ht="15" customHeight="1" x14ac:dyDescent="0.3">
      <c r="A6" s="6" t="s">
        <v>724</v>
      </c>
      <c r="B6" s="6" t="s">
        <v>725</v>
      </c>
      <c r="C6" s="77" t="s">
        <v>429</v>
      </c>
      <c r="D6" s="77" t="s">
        <v>396</v>
      </c>
      <c r="E6" s="64">
        <v>0</v>
      </c>
      <c r="F6" s="13">
        <f>INDEX(Assumptions!$D$34:$F$34,1,2)</f>
        <v>1000000</v>
      </c>
      <c r="G6" s="13">
        <f>I6*(INDEX(Assumptions!$D$27:$F$27,1,2)+INDEX(Assumptions!$D$28:$F$28,1,2)+INDEX(Assumptions!$D$29:$F$29,1,2)+INDEX(Assumptions!$D$30:$F$30,1,2))</f>
        <v>5105335.5015829047</v>
      </c>
      <c r="H6" s="71">
        <f t="shared" ref="H6:H14" si="0">IF(G6=0,0,F6/G6)</f>
        <v>0.19587351305118947</v>
      </c>
      <c r="I6" s="13">
        <f>F6/INDEX(Assumptions!$D$32:$F$32,1,2)</f>
        <v>7812.5</v>
      </c>
      <c r="J6" s="15">
        <f>I6/INDEX(Assumptions!$D$17:$F$17,1,2)</f>
        <v>31.25</v>
      </c>
      <c r="K6" s="15">
        <f>INDEX(Assumptions!$D$43:$F$43,1,2)</f>
        <v>6</v>
      </c>
      <c r="L6" s="54">
        <f>K6*INDEX(Assumptions!$D$46:$F$46,1,2)/10</f>
        <v>1.5</v>
      </c>
      <c r="M6" s="12">
        <f>INDEX(Assumptions!$D$39:$F$39,1,2)</f>
        <v>6</v>
      </c>
      <c r="N6" s="63">
        <f t="shared" ref="N6:N14" si="1">F6*M6</f>
        <v>6000000</v>
      </c>
      <c r="O6" s="13">
        <f>N6*INDEX(Assumptions!$D$95:$F$95,1,2)</f>
        <v>2100000</v>
      </c>
      <c r="P6" s="13">
        <f>N6*INDEX(Assumptions!$D$98:$F$98,1,2)</f>
        <v>900000</v>
      </c>
      <c r="Q6" s="13">
        <f>INDEX(Assumptions!$D$63:$F$63,1,2)</f>
        <v>175000</v>
      </c>
      <c r="R6" s="13">
        <f>INDEX(Assumptions!$D$64:$F$64,1,2)+N6*INDEX(Assumptions!$D$65:$F$65,1,2)</f>
        <v>255000</v>
      </c>
      <c r="S6" s="64">
        <v>2</v>
      </c>
      <c r="T6" s="64">
        <v>1</v>
      </c>
      <c r="U6" s="63">
        <f t="shared" ref="U6:U14" si="2">MAX(0,S6-T6)</f>
        <v>1</v>
      </c>
      <c r="V6" s="12">
        <f>INDEX('Evidence &amp; Market'!$F$42:$F$44,MATCH($D6,'Evidence &amp; Market'!$A$42:$A$44,0))</f>
        <v>1</v>
      </c>
      <c r="W6" s="63">
        <f t="shared" ref="W6:W14" si="3">I6*V6</f>
        <v>7812.5</v>
      </c>
    </row>
    <row r="7" spans="1:23" ht="15" customHeight="1" x14ac:dyDescent="0.3">
      <c r="A7" s="6" t="s">
        <v>726</v>
      </c>
      <c r="B7" s="6" t="s">
        <v>727</v>
      </c>
      <c r="C7" s="77" t="s">
        <v>429</v>
      </c>
      <c r="D7" s="77" t="s">
        <v>393</v>
      </c>
      <c r="E7" s="64">
        <v>1</v>
      </c>
      <c r="F7" s="13">
        <f>INDEX(Assumptions!$D$35:$F$35,1,2)</f>
        <v>750000</v>
      </c>
      <c r="G7" s="13">
        <f>I7*(INDEX(Assumptions!$D$27:$F$27,1,2)+INDEX(Assumptions!$D$28:$F$28,1,2)+INDEX(Assumptions!$D$29:$F$29,1,2)+INDEX(Assumptions!$D$30:$F$30,1,2))</f>
        <v>3829001.6261871783</v>
      </c>
      <c r="H7" s="71">
        <f t="shared" si="0"/>
        <v>0.19587351305118947</v>
      </c>
      <c r="I7" s="13">
        <f>F7/INDEX(Assumptions!$D$32:$F$32,1,2)</f>
        <v>5859.375</v>
      </c>
      <c r="J7" s="15">
        <f>I7/INDEX(Assumptions!$D$17:$F$17,1,2)</f>
        <v>23.4375</v>
      </c>
      <c r="K7" s="15">
        <f>INDEX(Assumptions!$D$44:$F$44,1,2)</f>
        <v>3.4</v>
      </c>
      <c r="L7" s="54">
        <f>K7*INDEX(Assumptions!$D$46:$F$46,1,2)/10</f>
        <v>0.85</v>
      </c>
      <c r="M7" s="12">
        <f>IF(F7&lt;INDEX(Assumptions!$D$38:$F$38,1,2),INDEX(Assumptions!$D$40:$F$40,1,2),INDEX(Assumptions!$D$42:$F$42,1,2))</f>
        <v>4</v>
      </c>
      <c r="N7" s="63">
        <f t="shared" si="1"/>
        <v>3000000</v>
      </c>
      <c r="O7" s="13">
        <f>N7*INDEX(Assumptions!$D$95:$F$95,1,2)</f>
        <v>1050000</v>
      </c>
      <c r="P7" s="13">
        <f>N7*INDEX(Assumptions!$D$98:$F$98,1,2)</f>
        <v>450000</v>
      </c>
      <c r="Q7" s="13">
        <f>INDEX(Assumptions!$D$63:$F$63,1,2)</f>
        <v>175000</v>
      </c>
      <c r="R7" s="13">
        <f>INDEX(Assumptions!$D$64:$F$64,1,2)+N7*INDEX(Assumptions!$D$65:$F$65,1,2)</f>
        <v>165000</v>
      </c>
      <c r="S7" s="64">
        <v>1</v>
      </c>
      <c r="T7" s="64">
        <v>1</v>
      </c>
      <c r="U7" s="63">
        <f t="shared" si="2"/>
        <v>0</v>
      </c>
      <c r="V7" s="12">
        <f>INDEX('Evidence &amp; Market'!$F$42:$F$44,MATCH($D7,'Evidence &amp; Market'!$A$42:$A$44,0))</f>
        <v>0.9</v>
      </c>
      <c r="W7" s="63">
        <f t="shared" si="3"/>
        <v>5273.4375</v>
      </c>
    </row>
    <row r="8" spans="1:23" ht="15" customHeight="1" x14ac:dyDescent="0.3">
      <c r="A8" s="6" t="s">
        <v>728</v>
      </c>
      <c r="B8" s="6" t="s">
        <v>727</v>
      </c>
      <c r="C8" s="77" t="s">
        <v>429</v>
      </c>
      <c r="D8" s="77" t="s">
        <v>393</v>
      </c>
      <c r="E8" s="64">
        <v>2</v>
      </c>
      <c r="F8" s="13">
        <f>INDEX(Assumptions!$D$35:$F$35,1,2)</f>
        <v>750000</v>
      </c>
      <c r="G8" s="13">
        <f>I8*(INDEX(Assumptions!$D$27:$F$27,1,2)+INDEX(Assumptions!$D$28:$F$28,1,2)+INDEX(Assumptions!$D$29:$F$29,1,2)+INDEX(Assumptions!$D$30:$F$30,1,2))</f>
        <v>3829001.6261871783</v>
      </c>
      <c r="H8" s="71">
        <f t="shared" si="0"/>
        <v>0.19587351305118947</v>
      </c>
      <c r="I8" s="13">
        <f>F8/INDEX(Assumptions!$D$32:$F$32,1,2)</f>
        <v>5859.375</v>
      </c>
      <c r="J8" s="15">
        <f>I8/INDEX(Assumptions!$D$17:$F$17,1,2)</f>
        <v>23.4375</v>
      </c>
      <c r="K8" s="15">
        <f>INDEX(Assumptions!$D$44:$F$44,1,2)</f>
        <v>3.4</v>
      </c>
      <c r="L8" s="54">
        <f>K8*INDEX(Assumptions!$D$46:$F$46,1,2)/10</f>
        <v>0.85</v>
      </c>
      <c r="M8" s="12">
        <f>IF(F8&lt;INDEX(Assumptions!$D$38:$F$38,1,2),INDEX(Assumptions!$D$40:$F$40,1,2),INDEX(Assumptions!$D$42:$F$42,1,2))</f>
        <v>4</v>
      </c>
      <c r="N8" s="63">
        <f t="shared" si="1"/>
        <v>3000000</v>
      </c>
      <c r="O8" s="13">
        <f>N8*INDEX(Assumptions!$D$95:$F$95,1,2)</f>
        <v>1050000</v>
      </c>
      <c r="P8" s="13">
        <f>N8*INDEX(Assumptions!$D$98:$F$98,1,2)</f>
        <v>450000</v>
      </c>
      <c r="Q8" s="13">
        <f>INDEX(Assumptions!$D$63:$F$63,1,2)</f>
        <v>175000</v>
      </c>
      <c r="R8" s="13">
        <f>INDEX(Assumptions!$D$64:$F$64,1,2)+N8*INDEX(Assumptions!$D$65:$F$65,1,2)</f>
        <v>165000</v>
      </c>
      <c r="S8" s="64">
        <v>1</v>
      </c>
      <c r="T8" s="64">
        <v>1</v>
      </c>
      <c r="U8" s="63">
        <f t="shared" si="2"/>
        <v>0</v>
      </c>
      <c r="V8" s="12">
        <f>INDEX('Evidence &amp; Market'!$F$42:$F$44,MATCH($D8,'Evidence &amp; Market'!$A$42:$A$44,0))</f>
        <v>0.9</v>
      </c>
      <c r="W8" s="63">
        <f t="shared" si="3"/>
        <v>5273.4375</v>
      </c>
    </row>
    <row r="9" spans="1:23" ht="15" customHeight="1" x14ac:dyDescent="0.3">
      <c r="A9" s="6" t="s">
        <v>729</v>
      </c>
      <c r="B9" s="6" t="s">
        <v>727</v>
      </c>
      <c r="C9" s="77" t="s">
        <v>429</v>
      </c>
      <c r="D9" s="77" t="s">
        <v>396</v>
      </c>
      <c r="E9" s="64">
        <v>3</v>
      </c>
      <c r="F9" s="13">
        <f>INDEX(Assumptions!$D$35:$F$35,1,2)</f>
        <v>750000</v>
      </c>
      <c r="G9" s="13">
        <f>I9*(INDEX(Assumptions!$D$27:$F$27,1,2)+INDEX(Assumptions!$D$28:$F$28,1,2)+INDEX(Assumptions!$D$29:$F$29,1,2)+INDEX(Assumptions!$D$30:$F$30,1,2))</f>
        <v>3829001.6261871783</v>
      </c>
      <c r="H9" s="71">
        <f t="shared" si="0"/>
        <v>0.19587351305118947</v>
      </c>
      <c r="I9" s="13">
        <f>F9/INDEX(Assumptions!$D$32:$F$32,1,2)</f>
        <v>5859.375</v>
      </c>
      <c r="J9" s="15">
        <f>I9/INDEX(Assumptions!$D$17:$F$17,1,2)</f>
        <v>23.4375</v>
      </c>
      <c r="K9" s="15">
        <f>INDEX(Assumptions!$D$44:$F$44,1,2)</f>
        <v>3.4</v>
      </c>
      <c r="L9" s="54">
        <f>K9*INDEX(Assumptions!$D$46:$F$46,1,2)/10</f>
        <v>0.85</v>
      </c>
      <c r="M9" s="12">
        <f>IF(F9&lt;INDEX(Assumptions!$D$38:$F$38,1,2),INDEX(Assumptions!$D$40:$F$40,1,2),INDEX(Assumptions!$D$42:$F$42,1,2))</f>
        <v>4</v>
      </c>
      <c r="N9" s="63">
        <f t="shared" si="1"/>
        <v>3000000</v>
      </c>
      <c r="O9" s="13">
        <f>N9*INDEX(Assumptions!$D$95:$F$95,1,2)</f>
        <v>1050000</v>
      </c>
      <c r="P9" s="13">
        <f>N9*INDEX(Assumptions!$D$98:$F$98,1,2)</f>
        <v>450000</v>
      </c>
      <c r="Q9" s="13">
        <f>INDEX(Assumptions!$D$63:$F$63,1,2)</f>
        <v>175000</v>
      </c>
      <c r="R9" s="13">
        <f>INDEX(Assumptions!$D$64:$F$64,1,2)+N9*INDEX(Assumptions!$D$65:$F$65,1,2)</f>
        <v>165000</v>
      </c>
      <c r="S9" s="64">
        <v>1</v>
      </c>
      <c r="T9" s="64">
        <v>1</v>
      </c>
      <c r="U9" s="63">
        <f t="shared" si="2"/>
        <v>0</v>
      </c>
      <c r="V9" s="12">
        <f>INDEX('Evidence &amp; Market'!$F$42:$F$44,MATCH($D9,'Evidence &amp; Market'!$A$42:$A$44,0))</f>
        <v>1</v>
      </c>
      <c r="W9" s="63">
        <f t="shared" si="3"/>
        <v>5859.375</v>
      </c>
    </row>
    <row r="10" spans="1:23" ht="15" customHeight="1" x14ac:dyDescent="0.3">
      <c r="A10" s="6" t="s">
        <v>730</v>
      </c>
      <c r="B10" s="6" t="s">
        <v>731</v>
      </c>
      <c r="C10" s="77" t="s">
        <v>464</v>
      </c>
      <c r="D10" s="77" t="s">
        <v>399</v>
      </c>
      <c r="E10" s="64">
        <v>3</v>
      </c>
      <c r="F10" s="13">
        <f>INDEX(Assumptions!$D$37:$F$37,1,2)</f>
        <v>1250000</v>
      </c>
      <c r="G10" s="13">
        <f>I10*(INDEX(Assumptions!$D$27:$F$27,1,2)+INDEX(Assumptions!$D$28:$F$28,1,2)+INDEX(Assumptions!$D$29:$F$29,1,2)+INDEX(Assumptions!$D$30:$F$30,1,2))</f>
        <v>6381669.3769786302</v>
      </c>
      <c r="H10" s="71">
        <f t="shared" si="0"/>
        <v>0.1958735130511895</v>
      </c>
      <c r="I10" s="13">
        <f>F10/INDEX(Assumptions!$D$32:$F$32,1,2)</f>
        <v>9765.625</v>
      </c>
      <c r="J10" s="15">
        <f>I10/INDEX(Assumptions!$D$17:$F$17,1,2)</f>
        <v>39.0625</v>
      </c>
      <c r="K10" s="15">
        <f>INDEX(Assumptions!$D$44:$F$44,1,2)</f>
        <v>3.4</v>
      </c>
      <c r="L10" s="54">
        <f>K10*INDEX(Assumptions!$D$46:$F$46,1,2)/10</f>
        <v>0.85</v>
      </c>
      <c r="M10" s="12">
        <f>IF(F10&lt;INDEX(Assumptions!$D$38:$F$38,1,2),INDEX(Assumptions!$D$40:$F$40,1,2),INDEX(Assumptions!$D$42:$F$42,1,2))</f>
        <v>6</v>
      </c>
      <c r="N10" s="63">
        <f t="shared" si="1"/>
        <v>7500000</v>
      </c>
      <c r="O10" s="13">
        <f>N10*INDEX(Assumptions!$D$95:$F$95,1,2)</f>
        <v>2625000</v>
      </c>
      <c r="P10" s="13">
        <f>N10*INDEX(Assumptions!$D$98:$F$98,1,2)</f>
        <v>1125000</v>
      </c>
      <c r="Q10" s="13">
        <f>INDEX(Assumptions!$D$63:$F$63,1,2)</f>
        <v>175000</v>
      </c>
      <c r="R10" s="13">
        <f>INDEX(Assumptions!$D$64:$F$64,1,2)+N10*INDEX(Assumptions!$D$65:$F$65,1,2)</f>
        <v>300000</v>
      </c>
      <c r="S10" s="64">
        <v>2</v>
      </c>
      <c r="T10" s="64">
        <v>1</v>
      </c>
      <c r="U10" s="63">
        <f t="shared" si="2"/>
        <v>1</v>
      </c>
      <c r="V10" s="12">
        <f>INDEX('Evidence &amp; Market'!$F$42:$F$44,MATCH($D10,'Evidence &amp; Market'!$A$42:$A$44,0))</f>
        <v>1.1499999999999999</v>
      </c>
      <c r="W10" s="63">
        <f t="shared" si="3"/>
        <v>11230.46875</v>
      </c>
    </row>
    <row r="11" spans="1:23" ht="15" customHeight="1" x14ac:dyDescent="0.3">
      <c r="A11" s="6" t="s">
        <v>732</v>
      </c>
      <c r="B11" s="6" t="s">
        <v>727</v>
      </c>
      <c r="C11" s="77" t="s">
        <v>429</v>
      </c>
      <c r="D11" s="77" t="s">
        <v>393</v>
      </c>
      <c r="E11" s="64">
        <v>4</v>
      </c>
      <c r="F11" s="13">
        <f>INDEX(Assumptions!$D$35:$F$35,1,2)</f>
        <v>750000</v>
      </c>
      <c r="G11" s="13">
        <f>I11*(INDEX(Assumptions!$D$27:$F$27,1,2)+INDEX(Assumptions!$D$28:$F$28,1,2)+INDEX(Assumptions!$D$29:$F$29,1,2)+INDEX(Assumptions!$D$30:$F$30,1,2))</f>
        <v>3829001.6261871783</v>
      </c>
      <c r="H11" s="71">
        <f t="shared" si="0"/>
        <v>0.19587351305118947</v>
      </c>
      <c r="I11" s="13">
        <f>F11/INDEX(Assumptions!$D$32:$F$32,1,2)</f>
        <v>5859.375</v>
      </c>
      <c r="J11" s="15">
        <f>I11/INDEX(Assumptions!$D$17:$F$17,1,2)</f>
        <v>23.4375</v>
      </c>
      <c r="K11" s="15">
        <f>INDEX(Assumptions!$D$44:$F$44,1,2)</f>
        <v>3.4</v>
      </c>
      <c r="L11" s="54">
        <f>K11*INDEX(Assumptions!$D$46:$F$46,1,2)/10</f>
        <v>0.85</v>
      </c>
      <c r="M11" s="12">
        <f>IF(F11&lt;INDEX(Assumptions!$D$38:$F$38,1,2),INDEX(Assumptions!$D$40:$F$40,1,2),INDEX(Assumptions!$D$42:$F$42,1,2))</f>
        <v>4</v>
      </c>
      <c r="N11" s="63">
        <f t="shared" si="1"/>
        <v>3000000</v>
      </c>
      <c r="O11" s="13">
        <f>N11*INDEX(Assumptions!$D$95:$F$95,1,2)</f>
        <v>1050000</v>
      </c>
      <c r="P11" s="13">
        <f>N11*INDEX(Assumptions!$D$98:$F$98,1,2)</f>
        <v>450000</v>
      </c>
      <c r="Q11" s="13">
        <f>INDEX(Assumptions!$D$63:$F$63,1,2)</f>
        <v>175000</v>
      </c>
      <c r="R11" s="13">
        <f>INDEX(Assumptions!$D$64:$F$64,1,2)+N11*INDEX(Assumptions!$D$65:$F$65,1,2)</f>
        <v>165000</v>
      </c>
      <c r="S11" s="64">
        <v>1</v>
      </c>
      <c r="T11" s="64">
        <v>1</v>
      </c>
      <c r="U11" s="63">
        <f t="shared" si="2"/>
        <v>0</v>
      </c>
      <c r="V11" s="12">
        <f>INDEX('Evidence &amp; Market'!$F$42:$F$44,MATCH($D11,'Evidence &amp; Market'!$A$42:$A$44,0))</f>
        <v>0.9</v>
      </c>
      <c r="W11" s="63">
        <f t="shared" si="3"/>
        <v>5273.4375</v>
      </c>
    </row>
    <row r="12" spans="1:23" ht="15" customHeight="1" x14ac:dyDescent="0.3">
      <c r="A12" s="6" t="s">
        <v>733</v>
      </c>
      <c r="B12" s="6" t="s">
        <v>727</v>
      </c>
      <c r="C12" s="77" t="s">
        <v>464</v>
      </c>
      <c r="D12" s="77" t="s">
        <v>396</v>
      </c>
      <c r="E12" s="64">
        <v>5</v>
      </c>
      <c r="F12" s="13">
        <f>INDEX(Assumptions!$D$35:$F$35,1,2)</f>
        <v>750000</v>
      </c>
      <c r="G12" s="13">
        <f>I12*(INDEX(Assumptions!$D$27:$F$27,1,2)+INDEX(Assumptions!$D$28:$F$28,1,2)+INDEX(Assumptions!$D$29:$F$29,1,2)+INDEX(Assumptions!$D$30:$F$30,1,2))</f>
        <v>3829001.6261871783</v>
      </c>
      <c r="H12" s="71">
        <f t="shared" si="0"/>
        <v>0.19587351305118947</v>
      </c>
      <c r="I12" s="13">
        <f>F12/INDEX(Assumptions!$D$32:$F$32,1,2)</f>
        <v>5859.375</v>
      </c>
      <c r="J12" s="15">
        <f>I12/INDEX(Assumptions!$D$17:$F$17,1,2)</f>
        <v>23.4375</v>
      </c>
      <c r="K12" s="15">
        <f>INDEX(Assumptions!$D$44:$F$44,1,2)</f>
        <v>3.4</v>
      </c>
      <c r="L12" s="54">
        <f>K12*INDEX(Assumptions!$D$46:$F$46,1,2)/10</f>
        <v>0.85</v>
      </c>
      <c r="M12" s="12">
        <f>IF(F12&lt;INDEX(Assumptions!$D$38:$F$38,1,2),INDEX(Assumptions!$D$40:$F$40,1,2),INDEX(Assumptions!$D$42:$F$42,1,2))</f>
        <v>4</v>
      </c>
      <c r="N12" s="63">
        <f t="shared" si="1"/>
        <v>3000000</v>
      </c>
      <c r="O12" s="13">
        <f>N12*INDEX(Assumptions!$D$95:$F$95,1,2)</f>
        <v>1050000</v>
      </c>
      <c r="P12" s="13">
        <f>N12*INDEX(Assumptions!$D$98:$F$98,1,2)</f>
        <v>450000</v>
      </c>
      <c r="Q12" s="13">
        <f>INDEX(Assumptions!$D$63:$F$63,1,2)</f>
        <v>175000</v>
      </c>
      <c r="R12" s="13">
        <f>INDEX(Assumptions!$D$64:$F$64,1,2)+N12*INDEX(Assumptions!$D$65:$F$65,1,2)</f>
        <v>165000</v>
      </c>
      <c r="S12" s="64">
        <v>1</v>
      </c>
      <c r="T12" s="64">
        <v>1</v>
      </c>
      <c r="U12" s="63">
        <f t="shared" si="2"/>
        <v>0</v>
      </c>
      <c r="V12" s="12">
        <f>INDEX('Evidence &amp; Market'!$F$42:$F$44,MATCH($D12,'Evidence &amp; Market'!$A$42:$A$44,0))</f>
        <v>1</v>
      </c>
      <c r="W12" s="63">
        <f t="shared" si="3"/>
        <v>5859.375</v>
      </c>
    </row>
    <row r="13" spans="1:23" ht="15" customHeight="1" x14ac:dyDescent="0.3">
      <c r="A13" s="6" t="s">
        <v>734</v>
      </c>
      <c r="B13" s="6" t="s">
        <v>727</v>
      </c>
      <c r="C13" s="77" t="s">
        <v>464</v>
      </c>
      <c r="D13" s="77" t="s">
        <v>393</v>
      </c>
      <c r="E13" s="64">
        <v>6</v>
      </c>
      <c r="F13" s="13">
        <f>INDEX(Assumptions!$D$35:$F$35,1,2)</f>
        <v>750000</v>
      </c>
      <c r="G13" s="13">
        <f>I13*(INDEX(Assumptions!$D$27:$F$27,1,2)+INDEX(Assumptions!$D$28:$F$28,1,2)+INDEX(Assumptions!$D$29:$F$29,1,2)+INDEX(Assumptions!$D$30:$F$30,1,2))</f>
        <v>3829001.6261871783</v>
      </c>
      <c r="H13" s="71">
        <f t="shared" si="0"/>
        <v>0.19587351305118947</v>
      </c>
      <c r="I13" s="13">
        <f>F13/INDEX(Assumptions!$D$32:$F$32,1,2)</f>
        <v>5859.375</v>
      </c>
      <c r="J13" s="15">
        <f>I13/INDEX(Assumptions!$D$17:$F$17,1,2)</f>
        <v>23.4375</v>
      </c>
      <c r="K13" s="15">
        <f>INDEX(Assumptions!$D$44:$F$44,1,2)</f>
        <v>3.4</v>
      </c>
      <c r="L13" s="54">
        <f>K13*INDEX(Assumptions!$D$46:$F$46,1,2)/10</f>
        <v>0.85</v>
      </c>
      <c r="M13" s="12">
        <f>IF(F13&lt;INDEX(Assumptions!$D$38:$F$38,1,2),INDEX(Assumptions!$D$40:$F$40,1,2),INDEX(Assumptions!$D$42:$F$42,1,2))</f>
        <v>4</v>
      </c>
      <c r="N13" s="63">
        <f t="shared" si="1"/>
        <v>3000000</v>
      </c>
      <c r="O13" s="13">
        <f>N13*INDEX(Assumptions!$D$95:$F$95,1,2)</f>
        <v>1050000</v>
      </c>
      <c r="P13" s="13">
        <f>N13*INDEX(Assumptions!$D$98:$F$98,1,2)</f>
        <v>450000</v>
      </c>
      <c r="Q13" s="13">
        <f>INDEX(Assumptions!$D$63:$F$63,1,2)</f>
        <v>175000</v>
      </c>
      <c r="R13" s="13">
        <f>INDEX(Assumptions!$D$64:$F$64,1,2)+N13*INDEX(Assumptions!$D$65:$F$65,1,2)</f>
        <v>165000</v>
      </c>
      <c r="S13" s="64">
        <v>1</v>
      </c>
      <c r="T13" s="64">
        <v>1</v>
      </c>
      <c r="U13" s="63">
        <f t="shared" si="2"/>
        <v>0</v>
      </c>
      <c r="V13" s="12">
        <f>INDEX('Evidence &amp; Market'!$F$42:$F$44,MATCH($D13,'Evidence &amp; Market'!$A$42:$A$44,0))</f>
        <v>0.9</v>
      </c>
      <c r="W13" s="63">
        <f t="shared" si="3"/>
        <v>5273.4375</v>
      </c>
    </row>
    <row r="14" spans="1:23" ht="15" customHeight="1" x14ac:dyDescent="0.3">
      <c r="A14" s="6" t="s">
        <v>735</v>
      </c>
      <c r="B14" s="6" t="s">
        <v>727</v>
      </c>
      <c r="C14" s="77" t="s">
        <v>464</v>
      </c>
      <c r="D14" s="77" t="s">
        <v>393</v>
      </c>
      <c r="E14" s="64">
        <v>7</v>
      </c>
      <c r="F14" s="13">
        <f>INDEX(Assumptions!$D$35:$F$35,1,2)</f>
        <v>750000</v>
      </c>
      <c r="G14" s="13">
        <f>I14*(INDEX(Assumptions!$D$27:$F$27,1,2)+INDEX(Assumptions!$D$28:$F$28,1,2)+INDEX(Assumptions!$D$29:$F$29,1,2)+INDEX(Assumptions!$D$30:$F$30,1,2))</f>
        <v>3829001.6261871783</v>
      </c>
      <c r="H14" s="71">
        <f t="shared" si="0"/>
        <v>0.19587351305118947</v>
      </c>
      <c r="I14" s="13">
        <f>F14/INDEX(Assumptions!$D$32:$F$32,1,2)</f>
        <v>5859.375</v>
      </c>
      <c r="J14" s="15">
        <f>I14/INDEX(Assumptions!$D$17:$F$17,1,2)</f>
        <v>23.4375</v>
      </c>
      <c r="K14" s="15">
        <f>INDEX(Assumptions!$D$44:$F$44,1,2)</f>
        <v>3.4</v>
      </c>
      <c r="L14" s="54">
        <f>K14*INDEX(Assumptions!$D$46:$F$46,1,2)/10</f>
        <v>0.85</v>
      </c>
      <c r="M14" s="12">
        <f>IF(F14&lt;INDEX(Assumptions!$D$38:$F$38,1,2),INDEX(Assumptions!$D$40:$F$40,1,2),INDEX(Assumptions!$D$42:$F$42,1,2))</f>
        <v>4</v>
      </c>
      <c r="N14" s="63">
        <f t="shared" si="1"/>
        <v>3000000</v>
      </c>
      <c r="O14" s="13">
        <f>N14*INDEX(Assumptions!$D$95:$F$95,1,2)</f>
        <v>1050000</v>
      </c>
      <c r="P14" s="13">
        <f>N14*INDEX(Assumptions!$D$98:$F$98,1,2)</f>
        <v>450000</v>
      </c>
      <c r="Q14" s="13">
        <f>INDEX(Assumptions!$D$63:$F$63,1,2)</f>
        <v>175000</v>
      </c>
      <c r="R14" s="13">
        <f>INDEX(Assumptions!$D$64:$F$64,1,2)+N14*INDEX(Assumptions!$D$65:$F$65,1,2)</f>
        <v>165000</v>
      </c>
      <c r="S14" s="64">
        <v>1</v>
      </c>
      <c r="T14" s="64">
        <v>1</v>
      </c>
      <c r="U14" s="63">
        <f t="shared" si="2"/>
        <v>0</v>
      </c>
      <c r="V14" s="12">
        <f>INDEX('Evidence &amp; Market'!$F$42:$F$44,MATCH($D14,'Evidence &amp; Market'!$A$42:$A$44,0))</f>
        <v>0.9</v>
      </c>
      <c r="W14" s="63">
        <f t="shared" si="3"/>
        <v>5273.4375</v>
      </c>
    </row>
    <row r="15" spans="1:23" ht="15" customHeight="1" x14ac:dyDescent="0.3">
      <c r="A15" s="1" t="s">
        <v>736</v>
      </c>
      <c r="B15" s="2"/>
      <c r="C15" s="2"/>
      <c r="D15" s="2"/>
      <c r="E15" s="2"/>
      <c r="F15" s="40">
        <f>SUM(F6:F14)</f>
        <v>7500000</v>
      </c>
      <c r="G15" s="40">
        <f>SUM(G6:G14)</f>
        <v>38290016.261871777</v>
      </c>
      <c r="H15" s="2"/>
      <c r="I15" s="40">
        <f>SUM(I6:I14)</f>
        <v>58593.75</v>
      </c>
      <c r="J15" s="40">
        <f>SUM(J6:J14)</f>
        <v>234.375</v>
      </c>
      <c r="K15" s="40">
        <f>SUM(K6:K14)</f>
        <v>33.199999999999996</v>
      </c>
      <c r="L15" s="2"/>
      <c r="M15" s="2"/>
      <c r="N15" s="40">
        <f t="shared" ref="N15:U15" si="4">SUM(N6:N14)</f>
        <v>34500000</v>
      </c>
      <c r="O15" s="40">
        <f t="shared" si="4"/>
        <v>12075000</v>
      </c>
      <c r="P15" s="40">
        <f t="shared" si="4"/>
        <v>5175000</v>
      </c>
      <c r="Q15" s="40">
        <f t="shared" si="4"/>
        <v>1575000</v>
      </c>
      <c r="R15" s="40">
        <f t="shared" si="4"/>
        <v>1710000</v>
      </c>
      <c r="S15" s="40">
        <f t="shared" si="4"/>
        <v>11</v>
      </c>
      <c r="T15" s="40">
        <f t="shared" si="4"/>
        <v>9</v>
      </c>
      <c r="U15" s="40">
        <f t="shared" si="4"/>
        <v>2</v>
      </c>
      <c r="V15" s="2"/>
      <c r="W15" s="2"/>
    </row>
    <row r="16" spans="1:23" ht="15" customHeight="1" x14ac:dyDescent="0.3">
      <c r="A16" s="2"/>
      <c r="B16" s="2"/>
      <c r="C16" s="2"/>
      <c r="D16" s="2"/>
      <c r="E16" s="2"/>
      <c r="F16" s="2"/>
      <c r="G16" s="2"/>
      <c r="H16" s="2"/>
      <c r="I16" s="2"/>
      <c r="J16" s="2"/>
      <c r="K16" s="2"/>
      <c r="L16" s="2"/>
      <c r="M16" s="2"/>
      <c r="N16" s="2"/>
      <c r="O16" s="2"/>
      <c r="P16" s="2"/>
      <c r="Q16" s="2"/>
      <c r="R16" s="2"/>
      <c r="S16" s="2"/>
      <c r="T16" s="2"/>
      <c r="U16" s="2"/>
      <c r="V16" s="2"/>
      <c r="W16" s="2"/>
    </row>
    <row r="17" spans="1:23" ht="15" customHeight="1" x14ac:dyDescent="0.3">
      <c r="A17" s="21" t="s">
        <v>737</v>
      </c>
      <c r="B17" s="10"/>
      <c r="C17" s="10"/>
      <c r="D17" s="10"/>
      <c r="E17" s="10"/>
      <c r="F17" s="10"/>
      <c r="G17" s="10"/>
      <c r="H17" s="10"/>
      <c r="I17" s="10"/>
      <c r="J17" s="10"/>
      <c r="K17" s="10"/>
      <c r="L17" s="10"/>
      <c r="M17" s="10"/>
      <c r="N17" s="10"/>
      <c r="O17" s="10"/>
      <c r="P17" s="10"/>
      <c r="Q17" s="10"/>
      <c r="R17" s="10"/>
      <c r="S17" s="10"/>
      <c r="T17" s="10"/>
      <c r="U17" s="10"/>
      <c r="V17" s="2"/>
      <c r="W17" s="2"/>
    </row>
    <row r="18" spans="1:23" ht="15" customHeight="1" x14ac:dyDescent="0.3">
      <c r="A18" s="21" t="s">
        <v>202</v>
      </c>
      <c r="B18" s="10"/>
      <c r="C18" s="10"/>
      <c r="D18" s="10"/>
      <c r="E18" s="10"/>
      <c r="F18" s="21" t="s">
        <v>203</v>
      </c>
      <c r="G18" s="21" t="s">
        <v>738</v>
      </c>
      <c r="H18" s="21" t="s">
        <v>739</v>
      </c>
      <c r="I18" s="21" t="s">
        <v>740</v>
      </c>
      <c r="J18" s="21" t="s">
        <v>741</v>
      </c>
      <c r="K18" s="21" t="s">
        <v>742</v>
      </c>
      <c r="L18" s="21" t="s">
        <v>743</v>
      </c>
      <c r="M18" s="21" t="s">
        <v>744</v>
      </c>
      <c r="N18" s="21" t="s">
        <v>745</v>
      </c>
      <c r="O18" s="21" t="s">
        <v>746</v>
      </c>
      <c r="P18" s="21" t="s">
        <v>747</v>
      </c>
      <c r="Q18" s="2"/>
      <c r="R18" s="2"/>
      <c r="S18" s="2"/>
      <c r="T18" s="2"/>
      <c r="U18" s="2"/>
      <c r="V18" s="2"/>
      <c r="W18" s="2"/>
    </row>
    <row r="19" spans="1:23" ht="15" customHeight="1" x14ac:dyDescent="0.3">
      <c r="A19" s="1" t="s">
        <v>748</v>
      </c>
      <c r="B19" s="6" t="s">
        <v>651</v>
      </c>
      <c r="C19" s="6" t="s">
        <v>245</v>
      </c>
      <c r="D19" s="2"/>
      <c r="E19" s="2"/>
      <c r="F19" s="40">
        <f>COUNTIFS($E$6:$E$14,0)</f>
        <v>1</v>
      </c>
      <c r="G19" s="40">
        <f>COUNTIFS($E$6:$E$14,1)</f>
        <v>1</v>
      </c>
      <c r="H19" s="40">
        <f>COUNTIFS($E$6:$E$14,2)</f>
        <v>1</v>
      </c>
      <c r="I19" s="40">
        <f>COUNTIFS($E$6:$E$14,3)</f>
        <v>2</v>
      </c>
      <c r="J19" s="40">
        <f>COUNTIFS($E$6:$E$14,4)</f>
        <v>1</v>
      </c>
      <c r="K19" s="40">
        <f>COUNTIFS($E$6:$E$14,5)</f>
        <v>1</v>
      </c>
      <c r="L19" s="40">
        <f>COUNTIFS($E$6:$E$14,6)</f>
        <v>1</v>
      </c>
      <c r="M19" s="40">
        <f>COUNTIFS($E$6:$E$14,7)</f>
        <v>1</v>
      </c>
      <c r="N19" s="40">
        <f>COUNTIFS($E$6:$E$14,8)</f>
        <v>0</v>
      </c>
      <c r="O19" s="40">
        <f>COUNTIFS($E$6:$E$14,9)</f>
        <v>0</v>
      </c>
      <c r="P19" s="40">
        <f>COUNTIFS($E$6:$E$14,10)</f>
        <v>0</v>
      </c>
      <c r="Q19" s="2"/>
      <c r="R19" s="2"/>
      <c r="S19" s="2"/>
      <c r="T19" s="2"/>
      <c r="U19" s="2"/>
      <c r="V19" s="2"/>
      <c r="W19" s="2"/>
    </row>
    <row r="20" spans="1:23" ht="15" customHeight="1" x14ac:dyDescent="0.3">
      <c r="A20" s="1" t="s">
        <v>749</v>
      </c>
      <c r="B20" s="6" t="s">
        <v>218</v>
      </c>
      <c r="C20" s="6" t="s">
        <v>214</v>
      </c>
      <c r="D20" s="2"/>
      <c r="E20" s="2"/>
      <c r="F20" s="40">
        <f>SUMIFS($F$6:$F$14,$E$6:$E$14,0)</f>
        <v>1000000</v>
      </c>
      <c r="G20" s="40">
        <f>SUMIFS($F$6:$F$14,$E$6:$E$14,1)</f>
        <v>750000</v>
      </c>
      <c r="H20" s="40">
        <f>SUMIFS($F$6:$F$14,$E$6:$E$14,2)</f>
        <v>750000</v>
      </c>
      <c r="I20" s="40">
        <f>SUMIFS($F$6:$F$14,$E$6:$E$14,3)</f>
        <v>2000000</v>
      </c>
      <c r="J20" s="40">
        <f>SUMIFS($F$6:$F$14,$E$6:$E$14,4)</f>
        <v>750000</v>
      </c>
      <c r="K20" s="40">
        <f>SUMIFS($F$6:$F$14,$E$6:$E$14,5)</f>
        <v>750000</v>
      </c>
      <c r="L20" s="40">
        <f>SUMIFS($F$6:$F$14,$E$6:$E$14,6)</f>
        <v>750000</v>
      </c>
      <c r="M20" s="40">
        <f>SUMIFS($F$6:$F$14,$E$6:$E$14,7)</f>
        <v>750000</v>
      </c>
      <c r="N20" s="40">
        <f>SUMIFS($F$6:$F$14,$E$6:$E$14,8)</f>
        <v>0</v>
      </c>
      <c r="O20" s="40">
        <f>SUMIFS($F$6:$F$14,$E$6:$E$14,9)</f>
        <v>0</v>
      </c>
      <c r="P20" s="40">
        <f>SUMIFS($F$6:$F$14,$E$6:$E$14,10)</f>
        <v>0</v>
      </c>
      <c r="Q20" s="2"/>
      <c r="R20" s="2"/>
      <c r="S20" s="2"/>
      <c r="T20" s="2"/>
      <c r="U20" s="2"/>
      <c r="V20" s="2"/>
      <c r="W20" s="2"/>
    </row>
    <row r="21" spans="1:23" ht="15" customHeight="1" x14ac:dyDescent="0.3">
      <c r="A21" s="6" t="s">
        <v>750</v>
      </c>
      <c r="B21" s="6" t="s">
        <v>218</v>
      </c>
      <c r="C21" s="6" t="s">
        <v>211</v>
      </c>
      <c r="D21" s="2"/>
      <c r="E21" s="2"/>
      <c r="F21" s="63">
        <f>SUMIFS($G$6:$G$14,$E$6:$E$14,0)</f>
        <v>5105335.5015829047</v>
      </c>
      <c r="G21" s="63">
        <f>SUMIFS($G$6:$G$14,$E$6:$E$14,1)</f>
        <v>3829001.6261871783</v>
      </c>
      <c r="H21" s="63">
        <f>SUMIFS($G$6:$G$14,$E$6:$E$14,2)</f>
        <v>3829001.6261871783</v>
      </c>
      <c r="I21" s="63">
        <f>SUMIFS($G$6:$G$14,$E$6:$E$14,3)</f>
        <v>10210671.003165808</v>
      </c>
      <c r="J21" s="63">
        <f>SUMIFS($G$6:$G$14,$E$6:$E$14,4)</f>
        <v>3829001.6261871783</v>
      </c>
      <c r="K21" s="63">
        <f>SUMIFS($G$6:$G$14,$E$6:$E$14,5)</f>
        <v>3829001.6261871783</v>
      </c>
      <c r="L21" s="63">
        <f>SUMIFS($G$6:$G$14,$E$6:$E$14,6)</f>
        <v>3829001.6261871783</v>
      </c>
      <c r="M21" s="63">
        <f>SUMIFS($G$6:$G$14,$E$6:$E$14,7)</f>
        <v>3829001.6261871783</v>
      </c>
      <c r="N21" s="63">
        <f>SUMIFS($G$6:$G$14,$E$6:$E$14,8)</f>
        <v>0</v>
      </c>
      <c r="O21" s="63">
        <f>SUMIFS($G$6:$G$14,$E$6:$E$14,9)</f>
        <v>0</v>
      </c>
      <c r="P21" s="63">
        <f>SUMIFS($G$6:$G$14,$E$6:$E$14,10)</f>
        <v>0</v>
      </c>
      <c r="Q21" s="2"/>
      <c r="R21" s="2"/>
      <c r="S21" s="2"/>
      <c r="T21" s="2"/>
      <c r="U21" s="2"/>
      <c r="V21" s="2"/>
      <c r="W21" s="2"/>
    </row>
    <row r="22" spans="1:23" ht="15" customHeight="1" x14ac:dyDescent="0.3">
      <c r="A22" s="6" t="s">
        <v>751</v>
      </c>
      <c r="B22" s="6" t="s">
        <v>210</v>
      </c>
      <c r="C22" s="6" t="s">
        <v>211</v>
      </c>
      <c r="D22" s="2"/>
      <c r="E22" s="2"/>
      <c r="F22" s="63">
        <f>SUMIFS($I$6:$I$14,$E$6:$E$14,0)</f>
        <v>7812.5</v>
      </c>
      <c r="G22" s="63">
        <f>SUMIFS($I$6:$I$14,$E$6:$E$14,1)</f>
        <v>5859.375</v>
      </c>
      <c r="H22" s="63">
        <f>SUMIFS($I$6:$I$14,$E$6:$E$14,2)</f>
        <v>5859.375</v>
      </c>
      <c r="I22" s="63">
        <f>SUMIFS($I$6:$I$14,$E$6:$E$14,3)</f>
        <v>15625</v>
      </c>
      <c r="J22" s="63">
        <f>SUMIFS($I$6:$I$14,$E$6:$E$14,4)</f>
        <v>5859.375</v>
      </c>
      <c r="K22" s="63">
        <f>SUMIFS($I$6:$I$14,$E$6:$E$14,5)</f>
        <v>5859.375</v>
      </c>
      <c r="L22" s="63">
        <f>SUMIFS($I$6:$I$14,$E$6:$E$14,6)</f>
        <v>5859.375</v>
      </c>
      <c r="M22" s="63">
        <f>SUMIFS($I$6:$I$14,$E$6:$E$14,7)</f>
        <v>5859.375</v>
      </c>
      <c r="N22" s="63">
        <f>SUMIFS($I$6:$I$14,$E$6:$E$14,8)</f>
        <v>0</v>
      </c>
      <c r="O22" s="63">
        <f>SUMIFS($I$6:$I$14,$E$6:$E$14,9)</f>
        <v>0</v>
      </c>
      <c r="P22" s="63">
        <f>SUMIFS($I$6:$I$14,$E$6:$E$14,10)</f>
        <v>0</v>
      </c>
      <c r="Q22" s="2"/>
      <c r="R22" s="2"/>
      <c r="S22" s="2"/>
      <c r="T22" s="2"/>
      <c r="U22" s="2"/>
      <c r="V22" s="2"/>
      <c r="W22" s="2"/>
    </row>
    <row r="23" spans="1:23" ht="15" customHeight="1" x14ac:dyDescent="0.3">
      <c r="A23" s="6" t="s">
        <v>752</v>
      </c>
      <c r="B23" s="6" t="s">
        <v>212</v>
      </c>
      <c r="C23" s="6" t="s">
        <v>211</v>
      </c>
      <c r="D23" s="2"/>
      <c r="E23" s="2"/>
      <c r="F23" s="78">
        <f>SUMIFS($J$6:$J$14,$E$6:$E$14,0)</f>
        <v>31.25</v>
      </c>
      <c r="G23" s="78">
        <f>SUMIFS($J$6:$J$14,$E$6:$E$14,1)</f>
        <v>23.4375</v>
      </c>
      <c r="H23" s="78">
        <f>SUMIFS($J$6:$J$14,$E$6:$E$14,2)</f>
        <v>23.4375</v>
      </c>
      <c r="I23" s="78">
        <f>SUMIFS($J$6:$J$14,$E$6:$E$14,3)</f>
        <v>62.5</v>
      </c>
      <c r="J23" s="78">
        <f>SUMIFS($J$6:$J$14,$E$6:$E$14,4)</f>
        <v>23.4375</v>
      </c>
      <c r="K23" s="78">
        <f>SUMIFS($J$6:$J$14,$E$6:$E$14,5)</f>
        <v>23.4375</v>
      </c>
      <c r="L23" s="78">
        <f>SUMIFS($J$6:$J$14,$E$6:$E$14,6)</f>
        <v>23.4375</v>
      </c>
      <c r="M23" s="78">
        <f>SUMIFS($J$6:$J$14,$E$6:$E$14,7)</f>
        <v>23.4375</v>
      </c>
      <c r="N23" s="78">
        <f>SUMIFS($J$6:$J$14,$E$6:$E$14,8)</f>
        <v>0</v>
      </c>
      <c r="O23" s="78">
        <f>SUMIFS($J$6:$J$14,$E$6:$E$14,9)</f>
        <v>0</v>
      </c>
      <c r="P23" s="78">
        <f>SUMIFS($J$6:$J$14,$E$6:$E$14,10)</f>
        <v>0</v>
      </c>
      <c r="Q23" s="2"/>
      <c r="R23" s="2"/>
      <c r="S23" s="2"/>
      <c r="T23" s="2"/>
      <c r="U23" s="2"/>
      <c r="V23" s="2"/>
      <c r="W23" s="2"/>
    </row>
    <row r="24" spans="1:23" ht="15" customHeight="1" x14ac:dyDescent="0.3">
      <c r="A24" s="6" t="s">
        <v>753</v>
      </c>
      <c r="B24" s="6" t="s">
        <v>213</v>
      </c>
      <c r="C24" s="6" t="s">
        <v>214</v>
      </c>
      <c r="D24" s="2"/>
      <c r="E24" s="2"/>
      <c r="F24" s="78">
        <f>SUMIFS($K$6:$K$14,$E$6:$E$14,0)</f>
        <v>6</v>
      </c>
      <c r="G24" s="78">
        <f>SUMIFS($K$6:$K$14,$E$6:$E$14,1)</f>
        <v>3.4</v>
      </c>
      <c r="H24" s="78">
        <f>SUMIFS($K$6:$K$14,$E$6:$E$14,2)</f>
        <v>3.4</v>
      </c>
      <c r="I24" s="78">
        <f>SUMIFS($K$6:$K$14,$E$6:$E$14,3)</f>
        <v>6.8</v>
      </c>
      <c r="J24" s="78">
        <f>SUMIFS($K$6:$K$14,$E$6:$E$14,4)</f>
        <v>3.4</v>
      </c>
      <c r="K24" s="78">
        <f>SUMIFS($K$6:$K$14,$E$6:$E$14,5)</f>
        <v>3.4</v>
      </c>
      <c r="L24" s="78">
        <f>SUMIFS($K$6:$K$14,$E$6:$E$14,6)</f>
        <v>3.4</v>
      </c>
      <c r="M24" s="78">
        <f>SUMIFS($K$6:$K$14,$E$6:$E$14,7)</f>
        <v>3.4</v>
      </c>
      <c r="N24" s="78">
        <f>SUMIFS($K$6:$K$14,$E$6:$E$14,8)</f>
        <v>0</v>
      </c>
      <c r="O24" s="78">
        <f>SUMIFS($K$6:$K$14,$E$6:$E$14,9)</f>
        <v>0</v>
      </c>
      <c r="P24" s="78">
        <f>SUMIFS($K$6:$K$14,$E$6:$E$14,10)</f>
        <v>0</v>
      </c>
      <c r="Q24" s="2"/>
      <c r="R24" s="2"/>
      <c r="S24" s="2"/>
      <c r="T24" s="2"/>
      <c r="U24" s="2"/>
      <c r="V24" s="2"/>
      <c r="W24" s="2"/>
    </row>
    <row r="25" spans="1:23" ht="15" customHeight="1" x14ac:dyDescent="0.3">
      <c r="A25" s="6" t="s">
        <v>754</v>
      </c>
      <c r="B25" s="6" t="s">
        <v>216</v>
      </c>
      <c r="C25" s="6" t="s">
        <v>217</v>
      </c>
      <c r="D25" s="2"/>
      <c r="E25" s="2"/>
      <c r="F25" s="79">
        <f>SUMIFS($L$6:$L$14,$E$6:$E$14,0)</f>
        <v>1.5</v>
      </c>
      <c r="G25" s="79">
        <f>SUMIFS($L$6:$L$14,$E$6:$E$14,1)</f>
        <v>0.85</v>
      </c>
      <c r="H25" s="79">
        <f>SUMIFS($L$6:$L$14,$E$6:$E$14,2)</f>
        <v>0.85</v>
      </c>
      <c r="I25" s="79">
        <f>SUMIFS($L$6:$L$14,$E$6:$E$14,3)</f>
        <v>1.7</v>
      </c>
      <c r="J25" s="79">
        <f>SUMIFS($L$6:$L$14,$E$6:$E$14,4)</f>
        <v>0.85</v>
      </c>
      <c r="K25" s="79">
        <f>SUMIFS($L$6:$L$14,$E$6:$E$14,5)</f>
        <v>0.85</v>
      </c>
      <c r="L25" s="79">
        <f>SUMIFS($L$6:$L$14,$E$6:$E$14,6)</f>
        <v>0.85</v>
      </c>
      <c r="M25" s="79">
        <f>SUMIFS($L$6:$L$14,$E$6:$E$14,7)</f>
        <v>0.85</v>
      </c>
      <c r="N25" s="79">
        <f>SUMIFS($L$6:$L$14,$E$6:$E$14,8)</f>
        <v>0</v>
      </c>
      <c r="O25" s="79">
        <f>SUMIFS($L$6:$L$14,$E$6:$E$14,9)</f>
        <v>0</v>
      </c>
      <c r="P25" s="79">
        <f>SUMIFS($L$6:$L$14,$E$6:$E$14,10)</f>
        <v>0</v>
      </c>
      <c r="Q25" s="2"/>
      <c r="R25" s="2"/>
      <c r="S25" s="2"/>
      <c r="T25" s="2"/>
      <c r="U25" s="2"/>
      <c r="V25" s="2"/>
      <c r="W25" s="2"/>
    </row>
    <row r="26" spans="1:23" ht="15" customHeight="1" x14ac:dyDescent="0.3">
      <c r="A26" s="6" t="s">
        <v>755</v>
      </c>
      <c r="B26" s="6" t="s">
        <v>218</v>
      </c>
      <c r="C26" s="6" t="s">
        <v>211</v>
      </c>
      <c r="D26" s="2"/>
      <c r="E26" s="2"/>
      <c r="F26" s="63">
        <f>SUMIFS($N$6:$N$14,$E$6:$E$14,0)</f>
        <v>6000000</v>
      </c>
      <c r="G26" s="63">
        <f>SUMIFS($N$6:$N$14,$E$6:$E$14,1)</f>
        <v>3000000</v>
      </c>
      <c r="H26" s="63">
        <f>SUMIFS($N$6:$N$14,$E$6:$E$14,2)</f>
        <v>3000000</v>
      </c>
      <c r="I26" s="63">
        <f>SUMIFS($N$6:$N$14,$E$6:$E$14,3)</f>
        <v>10500000</v>
      </c>
      <c r="J26" s="63">
        <f>SUMIFS($N$6:$N$14,$E$6:$E$14,4)</f>
        <v>3000000</v>
      </c>
      <c r="K26" s="63">
        <f>SUMIFS($N$6:$N$14,$E$6:$E$14,5)</f>
        <v>3000000</v>
      </c>
      <c r="L26" s="63">
        <f>SUMIFS($N$6:$N$14,$E$6:$E$14,6)</f>
        <v>3000000</v>
      </c>
      <c r="M26" s="63">
        <f>SUMIFS($N$6:$N$14,$E$6:$E$14,7)</f>
        <v>3000000</v>
      </c>
      <c r="N26" s="63">
        <f>SUMIFS($N$6:$N$14,$E$6:$E$14,8)</f>
        <v>0</v>
      </c>
      <c r="O26" s="63">
        <f>SUMIFS($N$6:$N$14,$E$6:$E$14,9)</f>
        <v>0</v>
      </c>
      <c r="P26" s="63">
        <f>SUMIFS($N$6:$N$14,$E$6:$E$14,10)</f>
        <v>0</v>
      </c>
      <c r="Q26" s="2"/>
      <c r="R26" s="2"/>
      <c r="S26" s="2"/>
      <c r="T26" s="2"/>
      <c r="U26" s="2"/>
      <c r="V26" s="2"/>
      <c r="W26" s="2"/>
    </row>
    <row r="27" spans="1:23" ht="15" customHeight="1" x14ac:dyDescent="0.3">
      <c r="A27" s="6" t="s">
        <v>756</v>
      </c>
      <c r="B27" s="6" t="s">
        <v>218</v>
      </c>
      <c r="C27" s="6" t="s">
        <v>211</v>
      </c>
      <c r="D27" s="2"/>
      <c r="E27" s="2"/>
      <c r="F27" s="63">
        <f>SUMIFS($O$6:$O$14,$E$6:$E$14,0)</f>
        <v>2100000</v>
      </c>
      <c r="G27" s="63">
        <f>SUMIFS($O$6:$O$14,$E$6:$E$14,1)</f>
        <v>1050000</v>
      </c>
      <c r="H27" s="63">
        <f>SUMIFS($O$6:$O$14,$E$6:$E$14,2)</f>
        <v>1050000</v>
      </c>
      <c r="I27" s="63">
        <f>SUMIFS($O$6:$O$14,$E$6:$E$14,3)</f>
        <v>3675000</v>
      </c>
      <c r="J27" s="63">
        <f>SUMIFS($O$6:$O$14,$E$6:$E$14,4)</f>
        <v>1050000</v>
      </c>
      <c r="K27" s="63">
        <f>SUMIFS($O$6:$O$14,$E$6:$E$14,5)</f>
        <v>1050000</v>
      </c>
      <c r="L27" s="63">
        <f>SUMIFS($O$6:$O$14,$E$6:$E$14,6)</f>
        <v>1050000</v>
      </c>
      <c r="M27" s="63">
        <f>SUMIFS($O$6:$O$14,$E$6:$E$14,7)</f>
        <v>1050000</v>
      </c>
      <c r="N27" s="63">
        <f>SUMIFS($O$6:$O$14,$E$6:$E$14,8)</f>
        <v>0</v>
      </c>
      <c r="O27" s="63">
        <f>SUMIFS($O$6:$O$14,$E$6:$E$14,9)</f>
        <v>0</v>
      </c>
      <c r="P27" s="63">
        <f>SUMIFS($O$6:$O$14,$E$6:$E$14,10)</f>
        <v>0</v>
      </c>
      <c r="Q27" s="2"/>
      <c r="R27" s="2"/>
      <c r="S27" s="2"/>
      <c r="T27" s="2"/>
      <c r="U27" s="2"/>
      <c r="V27" s="2"/>
      <c r="W27" s="2"/>
    </row>
    <row r="28" spans="1:23" ht="15" customHeight="1" x14ac:dyDescent="0.3">
      <c r="A28" s="6" t="s">
        <v>757</v>
      </c>
      <c r="B28" s="6" t="s">
        <v>218</v>
      </c>
      <c r="C28" s="6" t="s">
        <v>211</v>
      </c>
      <c r="D28" s="2"/>
      <c r="E28" s="2"/>
      <c r="F28" s="63">
        <f>SUMIFS($P$6:$P$14,$E$6:$E$14,0)</f>
        <v>900000</v>
      </c>
      <c r="G28" s="63">
        <f>SUMIFS($P$6:$P$14,$E$6:$E$14,1)</f>
        <v>450000</v>
      </c>
      <c r="H28" s="63">
        <f>SUMIFS($P$6:$P$14,$E$6:$E$14,2)</f>
        <v>450000</v>
      </c>
      <c r="I28" s="63">
        <f>SUMIFS($P$6:$P$14,$E$6:$E$14,3)</f>
        <v>1575000</v>
      </c>
      <c r="J28" s="63">
        <f>SUMIFS($P$6:$P$14,$E$6:$E$14,4)</f>
        <v>450000</v>
      </c>
      <c r="K28" s="63">
        <f>SUMIFS($P$6:$P$14,$E$6:$E$14,5)</f>
        <v>450000</v>
      </c>
      <c r="L28" s="63">
        <f>SUMIFS($P$6:$P$14,$E$6:$E$14,6)</f>
        <v>450000</v>
      </c>
      <c r="M28" s="63">
        <f>SUMIFS($P$6:$P$14,$E$6:$E$14,7)</f>
        <v>450000</v>
      </c>
      <c r="N28" s="63">
        <f>SUMIFS($P$6:$P$14,$E$6:$E$14,8)</f>
        <v>0</v>
      </c>
      <c r="O28" s="63">
        <f>SUMIFS($P$6:$P$14,$E$6:$E$14,9)</f>
        <v>0</v>
      </c>
      <c r="P28" s="63">
        <f>SUMIFS($P$6:$P$14,$E$6:$E$14,10)</f>
        <v>0</v>
      </c>
      <c r="Q28" s="2"/>
      <c r="R28" s="2"/>
      <c r="S28" s="2"/>
      <c r="T28" s="2"/>
      <c r="U28" s="2"/>
      <c r="V28" s="2"/>
      <c r="W28" s="2"/>
    </row>
    <row r="29" spans="1:23" ht="15" customHeight="1" x14ac:dyDescent="0.3">
      <c r="A29" s="6" t="s">
        <v>758</v>
      </c>
      <c r="B29" s="6" t="s">
        <v>218</v>
      </c>
      <c r="C29" s="6" t="s">
        <v>222</v>
      </c>
      <c r="D29" s="2"/>
      <c r="E29" s="2"/>
      <c r="F29" s="63">
        <f>SUMIFS($Q$6:$Q$14,$E$6:$E$14,0)</f>
        <v>175000</v>
      </c>
      <c r="G29" s="63">
        <f>SUMIFS($Q$6:$Q$14,$E$6:$E$14,1)</f>
        <v>175000</v>
      </c>
      <c r="H29" s="63">
        <f>SUMIFS($Q$6:$Q$14,$E$6:$E$14,2)</f>
        <v>175000</v>
      </c>
      <c r="I29" s="63">
        <f>SUMIFS($Q$6:$Q$14,$E$6:$E$14,3)</f>
        <v>350000</v>
      </c>
      <c r="J29" s="63">
        <f>SUMIFS($Q$6:$Q$14,$E$6:$E$14,4)</f>
        <v>175000</v>
      </c>
      <c r="K29" s="63">
        <f>SUMIFS($Q$6:$Q$14,$E$6:$E$14,5)</f>
        <v>175000</v>
      </c>
      <c r="L29" s="63">
        <f>SUMIFS($Q$6:$Q$14,$E$6:$E$14,6)</f>
        <v>175000</v>
      </c>
      <c r="M29" s="63">
        <f>SUMIFS($Q$6:$Q$14,$E$6:$E$14,7)</f>
        <v>175000</v>
      </c>
      <c r="N29" s="63">
        <f>SUMIFS($Q$6:$Q$14,$E$6:$E$14,8)</f>
        <v>0</v>
      </c>
      <c r="O29" s="63">
        <f>SUMIFS($Q$6:$Q$14,$E$6:$E$14,9)</f>
        <v>0</v>
      </c>
      <c r="P29" s="63">
        <f>SUMIFS($Q$6:$Q$14,$E$6:$E$14,10)</f>
        <v>0</v>
      </c>
      <c r="Q29" s="2"/>
      <c r="R29" s="2"/>
      <c r="S29" s="2"/>
      <c r="T29" s="2"/>
      <c r="U29" s="2"/>
      <c r="V29" s="2"/>
      <c r="W29" s="2"/>
    </row>
    <row r="30" spans="1:23" ht="15" customHeight="1" x14ac:dyDescent="0.3">
      <c r="A30" s="6" t="s">
        <v>759</v>
      </c>
      <c r="B30" s="6" t="s">
        <v>218</v>
      </c>
      <c r="C30" s="6" t="s">
        <v>222</v>
      </c>
      <c r="D30" s="2"/>
      <c r="E30" s="2"/>
      <c r="F30" s="63">
        <f>SUMIFS($R$6:$R$14,$E$6:$E$14,0)</f>
        <v>255000</v>
      </c>
      <c r="G30" s="63">
        <f>SUMIFS($R$6:$R$14,$E$6:$E$14,1)</f>
        <v>165000</v>
      </c>
      <c r="H30" s="63">
        <f>SUMIFS($R$6:$R$14,$E$6:$E$14,2)</f>
        <v>165000</v>
      </c>
      <c r="I30" s="63">
        <f>SUMIFS($R$6:$R$14,$E$6:$E$14,3)</f>
        <v>465000</v>
      </c>
      <c r="J30" s="63">
        <f>SUMIFS($R$6:$R$14,$E$6:$E$14,4)</f>
        <v>165000</v>
      </c>
      <c r="K30" s="63">
        <f>SUMIFS($R$6:$R$14,$E$6:$E$14,5)</f>
        <v>165000</v>
      </c>
      <c r="L30" s="63">
        <f>SUMIFS($R$6:$R$14,$E$6:$E$14,6)</f>
        <v>165000</v>
      </c>
      <c r="M30" s="63">
        <f>SUMIFS($R$6:$R$14,$E$6:$E$14,7)</f>
        <v>165000</v>
      </c>
      <c r="N30" s="63">
        <f>SUMIFS($R$6:$R$14,$E$6:$E$14,8)</f>
        <v>0</v>
      </c>
      <c r="O30" s="63">
        <f>SUMIFS($R$6:$R$14,$E$6:$E$14,9)</f>
        <v>0</v>
      </c>
      <c r="P30" s="63">
        <f>SUMIFS($R$6:$R$14,$E$6:$E$14,10)</f>
        <v>0</v>
      </c>
      <c r="Q30" s="2"/>
      <c r="R30" s="2"/>
      <c r="S30" s="2"/>
      <c r="T30" s="2"/>
      <c r="U30" s="2"/>
      <c r="V30" s="2"/>
      <c r="W30" s="2"/>
    </row>
    <row r="31" spans="1:23" ht="15" customHeight="1" x14ac:dyDescent="0.3">
      <c r="A31" s="6" t="s">
        <v>760</v>
      </c>
      <c r="B31" s="6" t="s">
        <v>219</v>
      </c>
      <c r="C31" s="6" t="s">
        <v>222</v>
      </c>
      <c r="D31" s="2"/>
      <c r="E31" s="2"/>
      <c r="F31" s="63">
        <f>SUMIFS($S$6:$S$14,$E$6:$E$14,0)</f>
        <v>2</v>
      </c>
      <c r="G31" s="63">
        <f>SUMIFS($S$6:$S$14,$E$6:$E$14,1)</f>
        <v>1</v>
      </c>
      <c r="H31" s="63">
        <f>SUMIFS($S$6:$S$14,$E$6:$E$14,2)</f>
        <v>1</v>
      </c>
      <c r="I31" s="63">
        <f>SUMIFS($S$6:$S$14,$E$6:$E$14,3)</f>
        <v>3</v>
      </c>
      <c r="J31" s="63">
        <f>SUMIFS($S$6:$S$14,$E$6:$E$14,4)</f>
        <v>1</v>
      </c>
      <c r="K31" s="63">
        <f>SUMIFS($S$6:$S$14,$E$6:$E$14,5)</f>
        <v>1</v>
      </c>
      <c r="L31" s="63">
        <f>SUMIFS($S$6:$S$14,$E$6:$E$14,6)</f>
        <v>1</v>
      </c>
      <c r="M31" s="63">
        <f>SUMIFS($S$6:$S$14,$E$6:$E$14,7)</f>
        <v>1</v>
      </c>
      <c r="N31" s="63">
        <f>SUMIFS($S$6:$S$14,$E$6:$E$14,8)</f>
        <v>0</v>
      </c>
      <c r="O31" s="63">
        <f>SUMIFS($S$6:$S$14,$E$6:$E$14,9)</f>
        <v>0</v>
      </c>
      <c r="P31" s="63">
        <f>SUMIFS($S$6:$S$14,$E$6:$E$14,10)</f>
        <v>0</v>
      </c>
      <c r="Q31" s="2"/>
      <c r="R31" s="2"/>
      <c r="S31" s="2"/>
      <c r="T31" s="2"/>
      <c r="U31" s="2"/>
      <c r="V31" s="2"/>
      <c r="W31" s="2"/>
    </row>
    <row r="32" spans="1:23" ht="15" customHeight="1" x14ac:dyDescent="0.3">
      <c r="A32" s="6" t="s">
        <v>761</v>
      </c>
      <c r="B32" s="6" t="s">
        <v>219</v>
      </c>
      <c r="C32" s="6" t="s">
        <v>222</v>
      </c>
      <c r="D32" s="2"/>
      <c r="E32" s="2"/>
      <c r="F32" s="63">
        <f>SUMIFS($T$6:$T$14,$E$6:$E$14,0)</f>
        <v>1</v>
      </c>
      <c r="G32" s="63">
        <f>SUMIFS($T$6:$T$14,$E$6:$E$14,1)</f>
        <v>1</v>
      </c>
      <c r="H32" s="63">
        <f>SUMIFS($T$6:$T$14,$E$6:$E$14,2)</f>
        <v>1</v>
      </c>
      <c r="I32" s="63">
        <f>SUMIFS($T$6:$T$14,$E$6:$E$14,3)</f>
        <v>2</v>
      </c>
      <c r="J32" s="63">
        <f>SUMIFS($T$6:$T$14,$E$6:$E$14,4)</f>
        <v>1</v>
      </c>
      <c r="K32" s="63">
        <f>SUMIFS($T$6:$T$14,$E$6:$E$14,5)</f>
        <v>1</v>
      </c>
      <c r="L32" s="63">
        <f>SUMIFS($T$6:$T$14,$E$6:$E$14,6)</f>
        <v>1</v>
      </c>
      <c r="M32" s="63">
        <f>SUMIFS($T$6:$T$14,$E$6:$E$14,7)</f>
        <v>1</v>
      </c>
      <c r="N32" s="63">
        <f>SUMIFS($T$6:$T$14,$E$6:$E$14,8)</f>
        <v>0</v>
      </c>
      <c r="O32" s="63">
        <f>SUMIFS($T$6:$T$14,$E$6:$E$14,9)</f>
        <v>0</v>
      </c>
      <c r="P32" s="63">
        <f>SUMIFS($T$6:$T$14,$E$6:$E$14,10)</f>
        <v>0</v>
      </c>
      <c r="Q32" s="2"/>
      <c r="R32" s="2"/>
      <c r="S32" s="2"/>
      <c r="T32" s="2"/>
      <c r="U32" s="2"/>
      <c r="V32" s="2"/>
      <c r="W32" s="2"/>
    </row>
    <row r="33" spans="1:23" ht="15" customHeight="1" x14ac:dyDescent="0.3">
      <c r="A33" s="6" t="s">
        <v>762</v>
      </c>
      <c r="B33" s="6" t="s">
        <v>219</v>
      </c>
      <c r="C33" s="6" t="s">
        <v>222</v>
      </c>
      <c r="D33" s="2"/>
      <c r="E33" s="2"/>
      <c r="F33" s="63">
        <f>SUMIFS($U$6:$U$14,$E$6:$E$14,0)</f>
        <v>1</v>
      </c>
      <c r="G33" s="63">
        <f>SUMIFS($U$6:$U$14,$E$6:$E$14,1)</f>
        <v>0</v>
      </c>
      <c r="H33" s="63">
        <f>SUMIFS($U$6:$U$14,$E$6:$E$14,2)</f>
        <v>0</v>
      </c>
      <c r="I33" s="63">
        <f>SUMIFS($U$6:$U$14,$E$6:$E$14,3)</f>
        <v>1</v>
      </c>
      <c r="J33" s="63">
        <f>SUMIFS($U$6:$U$14,$E$6:$E$14,4)</f>
        <v>0</v>
      </c>
      <c r="K33" s="63">
        <f>SUMIFS($U$6:$U$14,$E$6:$E$14,5)</f>
        <v>0</v>
      </c>
      <c r="L33" s="63">
        <f>SUMIFS($U$6:$U$14,$E$6:$E$14,6)</f>
        <v>0</v>
      </c>
      <c r="M33" s="63">
        <f>SUMIFS($U$6:$U$14,$E$6:$E$14,7)</f>
        <v>0</v>
      </c>
      <c r="N33" s="63">
        <f>SUMIFS($U$6:$U$14,$E$6:$E$14,8)</f>
        <v>0</v>
      </c>
      <c r="O33" s="63">
        <f>SUMIFS($U$6:$U$14,$E$6:$E$14,9)</f>
        <v>0</v>
      </c>
      <c r="P33" s="63">
        <f>SUMIFS($U$6:$U$14,$E$6:$E$14,10)</f>
        <v>0</v>
      </c>
      <c r="Q33" s="2"/>
      <c r="R33" s="2"/>
      <c r="S33" s="2"/>
      <c r="T33" s="2"/>
      <c r="U33" s="2"/>
      <c r="V33" s="2"/>
      <c r="W33" s="2"/>
    </row>
    <row r="34" spans="1:23" ht="15" customHeight="1" x14ac:dyDescent="0.3">
      <c r="A34" s="1" t="s">
        <v>763</v>
      </c>
      <c r="B34" s="6" t="s">
        <v>764</v>
      </c>
      <c r="C34" s="6" t="s">
        <v>211</v>
      </c>
      <c r="D34" s="2"/>
      <c r="E34" s="2"/>
      <c r="F34" s="39">
        <f>IF(F19=0,0,CEILING(F19/INDEX(Assumptions!$D$84:$F$84,1,2),1))</f>
        <v>1</v>
      </c>
      <c r="G34" s="39">
        <f>IF(G19=0,0,CEILING(G19/INDEX(Assumptions!$D$84:$F$84,1,2),1))</f>
        <v>1</v>
      </c>
      <c r="H34" s="39">
        <f>IF(H19=0,0,CEILING(H19/INDEX(Assumptions!$D$84:$F$84,1,2),1))</f>
        <v>1</v>
      </c>
      <c r="I34" s="39">
        <f>IF(I19=0,0,CEILING(I19/INDEX(Assumptions!$D$84:$F$84,1,2),1))</f>
        <v>1</v>
      </c>
      <c r="J34" s="39">
        <f>IF(J19=0,0,CEILING(J19/INDEX(Assumptions!$D$84:$F$84,1,2),1))</f>
        <v>1</v>
      </c>
      <c r="K34" s="39">
        <f>IF(K19=0,0,CEILING(K19/INDEX(Assumptions!$D$84:$F$84,1,2),1))</f>
        <v>1</v>
      </c>
      <c r="L34" s="39">
        <f>IF(L19=0,0,CEILING(L19/INDEX(Assumptions!$D$84:$F$84,1,2),1))</f>
        <v>1</v>
      </c>
      <c r="M34" s="39">
        <f>IF(M19=0,0,CEILING(M19/INDEX(Assumptions!$D$84:$F$84,1,2),1))</f>
        <v>1</v>
      </c>
      <c r="N34" s="39">
        <f>IF(N19=0,0,CEILING(N19/INDEX(Assumptions!$D$84:$F$84,1,2),1))</f>
        <v>0</v>
      </c>
      <c r="O34" s="39">
        <f>IF(O19=0,0,CEILING(O19/INDEX(Assumptions!$D$84:$F$84,1,2),1))</f>
        <v>0</v>
      </c>
      <c r="P34" s="39">
        <f>IF(P19=0,0,CEILING(P19/INDEX(Assumptions!$D$84:$F$84,1,2),1))</f>
        <v>0</v>
      </c>
      <c r="Q34" s="2"/>
      <c r="R34" s="2"/>
      <c r="S34" s="2"/>
      <c r="T34" s="2"/>
      <c r="U34" s="2"/>
      <c r="V34" s="2"/>
      <c r="W34" s="2"/>
    </row>
    <row r="35" spans="1:23" ht="15" customHeight="1" x14ac:dyDescent="0.3">
      <c r="A35" s="6" t="s">
        <v>765</v>
      </c>
      <c r="B35" s="6" t="s">
        <v>265</v>
      </c>
      <c r="C35" s="6" t="s">
        <v>217</v>
      </c>
      <c r="D35" s="2"/>
      <c r="E35" s="2"/>
      <c r="F35" s="80">
        <f>IF(F22=0,1,SUMIFS($W$6:$W$14,$E$6:$E$14,0)/F22)</f>
        <v>1</v>
      </c>
      <c r="G35" s="80">
        <f>IF(G22=0,1,SUMIFS($W$6:$W$14,$E$6:$E$14,1)/G22)</f>
        <v>0.9</v>
      </c>
      <c r="H35" s="80">
        <f>IF(H22=0,1,SUMIFS($W$6:$W$14,$E$6:$E$14,2)/H22)</f>
        <v>0.9</v>
      </c>
      <c r="I35" s="80">
        <f>IF(I22=0,1,SUMIFS($W$6:$W$14,$E$6:$E$14,3)/I22)</f>
        <v>1.09375</v>
      </c>
      <c r="J35" s="80">
        <f>IF(J22=0,1,SUMIFS($W$6:$W$14,$E$6:$E$14,4)/J22)</f>
        <v>0.9</v>
      </c>
      <c r="K35" s="80">
        <f>IF(K22=0,1,SUMIFS($W$6:$W$14,$E$6:$E$14,5)/K22)</f>
        <v>1</v>
      </c>
      <c r="L35" s="80">
        <f>IF(L22=0,1,SUMIFS($W$6:$W$14,$E$6:$E$14,6)/L22)</f>
        <v>0.9</v>
      </c>
      <c r="M35" s="80">
        <f>IF(M22=0,1,SUMIFS($W$6:$W$14,$E$6:$E$14,7)/M22)</f>
        <v>0.9</v>
      </c>
      <c r="N35" s="80">
        <f>IF(N22=0,1,SUMIFS($W$6:$W$14,$E$6:$E$14,8)/N22)</f>
        <v>1</v>
      </c>
      <c r="O35" s="80">
        <f>IF(O22=0,1,SUMIFS($W$6:$W$14,$E$6:$E$14,9)/O22)</f>
        <v>1</v>
      </c>
      <c r="P35" s="80">
        <f>IF(P22=0,1,SUMIFS($W$6:$W$14,$E$6:$E$14,10)/P22)</f>
        <v>1</v>
      </c>
      <c r="Q35" s="2"/>
      <c r="R35" s="2"/>
      <c r="S35" s="2"/>
      <c r="T35" s="2"/>
      <c r="U35" s="2"/>
      <c r="V35" s="2"/>
      <c r="W35" s="2"/>
    </row>
    <row r="36" spans="1:23" ht="15" customHeight="1" x14ac:dyDescent="0.3">
      <c r="A36" s="21" t="s">
        <v>766</v>
      </c>
      <c r="B36" s="10"/>
      <c r="C36" s="10"/>
      <c r="D36" s="10"/>
      <c r="E36" s="10"/>
      <c r="F36" s="10"/>
      <c r="G36" s="10"/>
      <c r="H36" s="10"/>
      <c r="I36" s="10"/>
      <c r="J36" s="10"/>
      <c r="K36" s="10"/>
      <c r="L36" s="10"/>
      <c r="M36" s="10"/>
      <c r="N36" s="10"/>
      <c r="O36" s="10"/>
      <c r="P36" s="10"/>
      <c r="Q36" s="10"/>
      <c r="R36" s="10"/>
      <c r="S36" s="10"/>
      <c r="T36" s="10"/>
      <c r="U36" s="10"/>
      <c r="V36" s="2"/>
      <c r="W36" s="2"/>
    </row>
    <row r="37" spans="1:23" ht="15" customHeight="1" x14ac:dyDescent="0.3">
      <c r="A37" s="6" t="s">
        <v>767</v>
      </c>
      <c r="B37" s="6" t="s">
        <v>218</v>
      </c>
      <c r="C37" s="6" t="s">
        <v>211</v>
      </c>
      <c r="D37" s="2"/>
      <c r="E37" s="2"/>
      <c r="F37" s="13">
        <f>F26*INDEX(Assumptions!$D$98:$F$98,1,2)</f>
        <v>900000</v>
      </c>
      <c r="G37" s="13">
        <f>G26*INDEX(Assumptions!$D$98:$F$98,1,2)</f>
        <v>450000</v>
      </c>
      <c r="H37" s="13">
        <f>H26*INDEX(Assumptions!$D$98:$F$98,1,2)</f>
        <v>450000</v>
      </c>
      <c r="I37" s="13">
        <f>I26*INDEX(Assumptions!$D$98:$F$98,1,2)</f>
        <v>1575000</v>
      </c>
      <c r="J37" s="13">
        <f>J26*INDEX(Assumptions!$D$98:$F$98,1,2)</f>
        <v>450000</v>
      </c>
      <c r="K37" s="13">
        <f>K26*INDEX(Assumptions!$D$98:$F$98,1,2)</f>
        <v>450000</v>
      </c>
      <c r="L37" s="13">
        <f>L26*INDEX(Assumptions!$D$98:$F$98,1,2)</f>
        <v>450000</v>
      </c>
      <c r="M37" s="13">
        <f>M26*INDEX(Assumptions!$D$98:$F$98,1,2)</f>
        <v>450000</v>
      </c>
      <c r="N37" s="13">
        <f>N26*INDEX(Assumptions!$D$98:$F$98,1,2)</f>
        <v>0</v>
      </c>
      <c r="O37" s="13">
        <f>O26*INDEX(Assumptions!$D$98:$F$98,1,2)</f>
        <v>0</v>
      </c>
      <c r="P37" s="13">
        <f>P26*INDEX(Assumptions!$D$98:$F$98,1,2)</f>
        <v>0</v>
      </c>
      <c r="Q37" s="2"/>
      <c r="R37" s="2"/>
      <c r="S37" s="2"/>
      <c r="T37" s="2"/>
      <c r="U37" s="2"/>
      <c r="V37" s="2"/>
      <c r="W37" s="2"/>
    </row>
    <row r="38" spans="1:23" ht="15" customHeight="1" x14ac:dyDescent="0.3">
      <c r="A38" s="6" t="s">
        <v>768</v>
      </c>
      <c r="B38" s="6" t="s">
        <v>218</v>
      </c>
      <c r="C38" s="6" t="s">
        <v>211</v>
      </c>
      <c r="D38" s="2"/>
      <c r="E38" s="2"/>
      <c r="F38" s="13">
        <f>F19*INDEX(Assumptions!$D$63:$F$63,1,2)</f>
        <v>175000</v>
      </c>
      <c r="G38" s="13">
        <f>G19*INDEX(Assumptions!$D$63:$F$63,1,2)</f>
        <v>175000</v>
      </c>
      <c r="H38" s="13">
        <f>H19*INDEX(Assumptions!$D$63:$F$63,1,2)</f>
        <v>175000</v>
      </c>
      <c r="I38" s="13">
        <f>I19*INDEX(Assumptions!$D$63:$F$63,1,2)</f>
        <v>350000</v>
      </c>
      <c r="J38" s="13">
        <f>J19*INDEX(Assumptions!$D$63:$F$63,1,2)</f>
        <v>175000</v>
      </c>
      <c r="K38" s="13">
        <f>K19*INDEX(Assumptions!$D$63:$F$63,1,2)</f>
        <v>175000</v>
      </c>
      <c r="L38" s="13">
        <f>L19*INDEX(Assumptions!$D$63:$F$63,1,2)</f>
        <v>175000</v>
      </c>
      <c r="M38" s="13">
        <f>M19*INDEX(Assumptions!$D$63:$F$63,1,2)</f>
        <v>175000</v>
      </c>
      <c r="N38" s="13">
        <f>N19*INDEX(Assumptions!$D$63:$F$63,1,2)</f>
        <v>0</v>
      </c>
      <c r="O38" s="13">
        <f>O19*INDEX(Assumptions!$D$63:$F$63,1,2)</f>
        <v>0</v>
      </c>
      <c r="P38" s="13">
        <f>P19*INDEX(Assumptions!$D$63:$F$63,1,2)</f>
        <v>0</v>
      </c>
      <c r="Q38" s="2"/>
      <c r="R38" s="2"/>
      <c r="S38" s="2"/>
      <c r="T38" s="2"/>
      <c r="U38" s="2"/>
      <c r="V38" s="2"/>
      <c r="W38" s="2"/>
    </row>
    <row r="39" spans="1:23" ht="15" customHeight="1" x14ac:dyDescent="0.3">
      <c r="A39" s="6" t="s">
        <v>769</v>
      </c>
      <c r="B39" s="6" t="s">
        <v>218</v>
      </c>
      <c r="C39" s="6" t="s">
        <v>211</v>
      </c>
      <c r="D39" s="2"/>
      <c r="E39" s="2"/>
      <c r="F39" s="13">
        <f>F19*INDEX(Assumptions!$D$64:$F$64,1,2)+F26*INDEX(Assumptions!$D$65:$F$65,1,2)</f>
        <v>255000</v>
      </c>
      <c r="G39" s="13">
        <f>G19*INDEX(Assumptions!$D$64:$F$64,1,2)+G26*INDEX(Assumptions!$D$65:$F$65,1,2)</f>
        <v>165000</v>
      </c>
      <c r="H39" s="13">
        <f>H19*INDEX(Assumptions!$D$64:$F$64,1,2)+H26*INDEX(Assumptions!$D$65:$F$65,1,2)</f>
        <v>165000</v>
      </c>
      <c r="I39" s="13">
        <f>I19*INDEX(Assumptions!$D$64:$F$64,1,2)+I26*INDEX(Assumptions!$D$65:$F$65,1,2)</f>
        <v>465000</v>
      </c>
      <c r="J39" s="13">
        <f>J19*INDEX(Assumptions!$D$64:$F$64,1,2)+J26*INDEX(Assumptions!$D$65:$F$65,1,2)</f>
        <v>165000</v>
      </c>
      <c r="K39" s="13">
        <f>K19*INDEX(Assumptions!$D$64:$F$64,1,2)+K26*INDEX(Assumptions!$D$65:$F$65,1,2)</f>
        <v>165000</v>
      </c>
      <c r="L39" s="13">
        <f>L19*INDEX(Assumptions!$D$64:$F$64,1,2)+L26*INDEX(Assumptions!$D$65:$F$65,1,2)</f>
        <v>165000</v>
      </c>
      <c r="M39" s="13">
        <f>M19*INDEX(Assumptions!$D$64:$F$64,1,2)+M26*INDEX(Assumptions!$D$65:$F$65,1,2)</f>
        <v>165000</v>
      </c>
      <c r="N39" s="13">
        <f>N19*INDEX(Assumptions!$D$64:$F$64,1,2)+N26*INDEX(Assumptions!$D$65:$F$65,1,2)</f>
        <v>0</v>
      </c>
      <c r="O39" s="13">
        <f>O19*INDEX(Assumptions!$D$64:$F$64,1,2)+O26*INDEX(Assumptions!$D$65:$F$65,1,2)</f>
        <v>0</v>
      </c>
      <c r="P39" s="13">
        <f>P19*INDEX(Assumptions!$D$64:$F$64,1,2)+P26*INDEX(Assumptions!$D$65:$F$65,1,2)</f>
        <v>0</v>
      </c>
      <c r="Q39" s="2"/>
      <c r="R39" s="2"/>
      <c r="S39" s="2"/>
      <c r="T39" s="2"/>
      <c r="U39" s="2"/>
      <c r="V39" s="2"/>
      <c r="W39" s="2"/>
    </row>
    <row r="40" spans="1:23" ht="15" customHeight="1" x14ac:dyDescent="0.3">
      <c r="A40" s="1" t="s">
        <v>770</v>
      </c>
      <c r="B40" s="6" t="s">
        <v>218</v>
      </c>
      <c r="C40" s="6" t="s">
        <v>211</v>
      </c>
      <c r="D40" s="2"/>
      <c r="E40" s="2"/>
      <c r="F40" s="40">
        <f t="shared" ref="F40:P40" si="5">ABS(F28-F37)+ABS(F29-F38)+ABS(F30-F39)</f>
        <v>0</v>
      </c>
      <c r="G40" s="40">
        <f t="shared" si="5"/>
        <v>0</v>
      </c>
      <c r="H40" s="40">
        <f t="shared" si="5"/>
        <v>0</v>
      </c>
      <c r="I40" s="40">
        <f t="shared" si="5"/>
        <v>0</v>
      </c>
      <c r="J40" s="40">
        <f t="shared" si="5"/>
        <v>0</v>
      </c>
      <c r="K40" s="40">
        <f t="shared" si="5"/>
        <v>0</v>
      </c>
      <c r="L40" s="40">
        <f t="shared" si="5"/>
        <v>0</v>
      </c>
      <c r="M40" s="40">
        <f t="shared" si="5"/>
        <v>0</v>
      </c>
      <c r="N40" s="40">
        <f t="shared" si="5"/>
        <v>0</v>
      </c>
      <c r="O40" s="40">
        <f t="shared" si="5"/>
        <v>0</v>
      </c>
      <c r="P40" s="40">
        <f t="shared" si="5"/>
        <v>0</v>
      </c>
      <c r="Q40" s="2"/>
      <c r="R40" s="2"/>
      <c r="S40" s="2"/>
      <c r="T40" s="2"/>
      <c r="U40" s="2"/>
      <c r="V40" s="2"/>
      <c r="W40" s="2"/>
    </row>
    <row r="41" spans="1:23" ht="15" customHeight="1" x14ac:dyDescent="0.3">
      <c r="A41" s="1" t="s">
        <v>771</v>
      </c>
      <c r="B41" s="6" t="s">
        <v>218</v>
      </c>
      <c r="C41" s="6" t="s">
        <v>211</v>
      </c>
      <c r="D41" s="2"/>
      <c r="E41" s="2"/>
      <c r="F41" s="40">
        <f>MAX(F40:P40)</f>
        <v>0</v>
      </c>
      <c r="G41" s="2"/>
      <c r="H41" s="2"/>
      <c r="I41" s="2"/>
      <c r="J41" s="2"/>
      <c r="K41" s="2"/>
      <c r="L41" s="2"/>
      <c r="M41" s="2"/>
      <c r="N41" s="2"/>
      <c r="O41" s="2"/>
      <c r="P41" s="2"/>
      <c r="Q41" s="2"/>
      <c r="R41" s="2"/>
      <c r="S41" s="2"/>
      <c r="T41" s="2"/>
      <c r="U41" s="2"/>
      <c r="V41" s="2"/>
      <c r="W41" s="2"/>
    </row>
    <row r="42" spans="1:23" ht="15" customHeight="1" x14ac:dyDescent="0.3">
      <c r="A42" s="21" t="s">
        <v>772</v>
      </c>
      <c r="B42" s="10"/>
      <c r="C42" s="10"/>
      <c r="D42" s="10"/>
      <c r="E42" s="10"/>
      <c r="F42" s="10"/>
      <c r="G42" s="10"/>
      <c r="H42" s="10"/>
      <c r="I42" s="10"/>
      <c r="J42" s="10"/>
      <c r="K42" s="10"/>
      <c r="L42" s="10"/>
      <c r="M42" s="10"/>
      <c r="N42" s="10"/>
      <c r="O42" s="10"/>
      <c r="P42" s="10"/>
      <c r="Q42" s="10"/>
      <c r="R42" s="10"/>
      <c r="S42" s="10"/>
      <c r="T42" s="10"/>
      <c r="U42" s="10"/>
      <c r="V42" s="2"/>
      <c r="W42" s="2"/>
    </row>
    <row r="43" spans="1:23" ht="15" customHeight="1" x14ac:dyDescent="0.3">
      <c r="A43" s="6" t="s">
        <v>773</v>
      </c>
      <c r="B43" s="2"/>
      <c r="C43" s="2"/>
      <c r="D43" s="2"/>
      <c r="E43" s="2"/>
      <c r="F43" s="2"/>
      <c r="G43" s="2"/>
      <c r="H43" s="2"/>
      <c r="I43" s="2"/>
      <c r="J43" s="2"/>
      <c r="K43" s="2"/>
      <c r="L43" s="2"/>
      <c r="M43" s="2"/>
      <c r="N43" s="2"/>
      <c r="O43" s="2"/>
      <c r="P43" s="2"/>
      <c r="Q43" s="2"/>
      <c r="R43" s="2"/>
      <c r="S43" s="2"/>
      <c r="T43" s="2"/>
      <c r="U43" s="2"/>
      <c r="V43" s="2"/>
      <c r="W43" s="2"/>
    </row>
    <row r="44" spans="1:23" ht="15" customHeight="1" x14ac:dyDescent="0.3">
      <c r="A44" s="6" t="s">
        <v>774</v>
      </c>
      <c r="B44" s="6" t="s">
        <v>775</v>
      </c>
      <c r="C44" s="6" t="s">
        <v>211</v>
      </c>
      <c r="D44" s="2"/>
      <c r="E44" s="2"/>
      <c r="F44" s="63">
        <f>COUNTIFS($B$6:$B$14,"Large tuck-in")</f>
        <v>7</v>
      </c>
      <c r="G44" s="2"/>
      <c r="H44" s="2"/>
      <c r="I44" s="2"/>
      <c r="J44" s="2"/>
      <c r="K44" s="2"/>
      <c r="L44" s="2"/>
      <c r="M44" s="2"/>
      <c r="N44" s="2"/>
      <c r="O44" s="2"/>
      <c r="P44" s="2"/>
      <c r="Q44" s="2"/>
      <c r="R44" s="2"/>
      <c r="S44" s="2"/>
      <c r="T44" s="2"/>
      <c r="U44" s="2"/>
      <c r="V44" s="2"/>
      <c r="W44" s="2"/>
    </row>
    <row r="45" spans="1:23" ht="15" customHeight="1" x14ac:dyDescent="0.3">
      <c r="A45" s="6" t="s">
        <v>776</v>
      </c>
      <c r="B45" s="6" t="s">
        <v>775</v>
      </c>
      <c r="C45" s="6" t="s">
        <v>211</v>
      </c>
      <c r="D45" s="2"/>
      <c r="E45" s="2"/>
      <c r="F45" s="13">
        <f>INDEX(Assumptions!$D$13:$F$13,1,2)</f>
        <v>7</v>
      </c>
      <c r="G45" s="2"/>
      <c r="H45" s="2"/>
      <c r="I45" s="2"/>
      <c r="J45" s="2"/>
      <c r="K45" s="2"/>
      <c r="L45" s="2"/>
      <c r="M45" s="2"/>
      <c r="N45" s="2"/>
      <c r="O45" s="2"/>
      <c r="P45" s="2"/>
      <c r="Q45" s="2"/>
      <c r="R45" s="2"/>
      <c r="S45" s="2"/>
      <c r="T45" s="2"/>
      <c r="U45" s="2"/>
      <c r="V45" s="2"/>
      <c r="W45" s="2"/>
    </row>
    <row r="46" spans="1:23" ht="15" customHeight="1" x14ac:dyDescent="0.3">
      <c r="A46" s="6" t="s">
        <v>777</v>
      </c>
      <c r="B46" s="6" t="s">
        <v>775</v>
      </c>
      <c r="C46" s="6" t="s">
        <v>211</v>
      </c>
      <c r="D46" s="2"/>
      <c r="E46" s="2"/>
      <c r="F46" s="6" t="str">
        <f>IF(F44&gt;=F45,"YES","NO")</f>
        <v>YES</v>
      </c>
      <c r="G46" s="2"/>
      <c r="H46" s="2"/>
      <c r="I46" s="2"/>
      <c r="J46" s="2"/>
      <c r="K46" s="2"/>
      <c r="L46" s="2"/>
      <c r="M46" s="2"/>
      <c r="N46" s="2"/>
      <c r="O46" s="2"/>
      <c r="P46" s="2"/>
      <c r="Q46" s="2"/>
      <c r="R46" s="2"/>
      <c r="S46" s="2"/>
      <c r="T46" s="2"/>
      <c r="U46" s="2"/>
      <c r="V46" s="2"/>
      <c r="W46" s="2"/>
    </row>
    <row r="47" spans="1:23" ht="15" customHeight="1" x14ac:dyDescent="0.3">
      <c r="A47" s="6" t="s">
        <v>778</v>
      </c>
      <c r="B47" s="6" t="s">
        <v>775</v>
      </c>
      <c r="C47" s="6" t="s">
        <v>211</v>
      </c>
      <c r="D47" s="2"/>
      <c r="E47" s="2"/>
      <c r="F47" s="63">
        <f>SUM($I$6:$I$14)</f>
        <v>58593.75</v>
      </c>
      <c r="G47" s="2"/>
      <c r="H47" s="2"/>
      <c r="I47" s="2"/>
      <c r="J47" s="2"/>
      <c r="K47" s="2"/>
      <c r="L47" s="2"/>
      <c r="M47" s="2"/>
      <c r="N47" s="2"/>
      <c r="O47" s="2"/>
      <c r="P47" s="2"/>
      <c r="Q47" s="2"/>
      <c r="R47" s="2"/>
      <c r="S47" s="2"/>
      <c r="T47" s="2"/>
      <c r="U47" s="2"/>
      <c r="V47" s="2"/>
      <c r="W47" s="2"/>
    </row>
    <row r="48" spans="1:23" ht="15" customHeight="1" x14ac:dyDescent="0.3">
      <c r="A48" s="6" t="s">
        <v>779</v>
      </c>
      <c r="B48" s="6" t="s">
        <v>775</v>
      </c>
      <c r="C48" s="6" t="s">
        <v>211</v>
      </c>
      <c r="D48" s="2"/>
      <c r="E48" s="2"/>
      <c r="F48" s="13">
        <f>INDEX(Assumptions!$D$36:$F$36,1,2)/INDEX(Assumptions!$D$32:$F$32,1,2)</f>
        <v>3906.25</v>
      </c>
      <c r="G48" s="2"/>
      <c r="H48" s="2"/>
      <c r="I48" s="2"/>
      <c r="J48" s="2"/>
      <c r="K48" s="2"/>
      <c r="L48" s="2"/>
      <c r="M48" s="2"/>
      <c r="N48" s="2"/>
      <c r="O48" s="2"/>
      <c r="P48" s="2"/>
      <c r="Q48" s="2"/>
      <c r="R48" s="2"/>
      <c r="S48" s="2"/>
      <c r="T48" s="2"/>
      <c r="U48" s="2"/>
      <c r="V48" s="2"/>
      <c r="W48" s="2"/>
    </row>
    <row r="49" spans="1:23" ht="15" customHeight="1" x14ac:dyDescent="0.3">
      <c r="A49" s="2"/>
      <c r="B49" s="2"/>
      <c r="C49" s="2"/>
      <c r="D49" s="2"/>
      <c r="E49" s="2"/>
      <c r="F49" s="2"/>
      <c r="G49" s="2"/>
      <c r="H49" s="2"/>
      <c r="I49" s="2"/>
      <c r="J49" s="2"/>
      <c r="K49" s="2"/>
      <c r="L49" s="2"/>
      <c r="M49" s="2"/>
      <c r="N49" s="2"/>
      <c r="O49" s="2"/>
      <c r="P49" s="2"/>
      <c r="Q49" s="2"/>
      <c r="R49" s="2"/>
      <c r="S49" s="2"/>
      <c r="T49" s="2"/>
      <c r="U49" s="2"/>
      <c r="V49" s="2"/>
      <c r="W49" s="2"/>
    </row>
    <row r="50" spans="1:23" ht="15" customHeight="1" x14ac:dyDescent="0.3">
      <c r="A50" s="6" t="s">
        <v>780</v>
      </c>
      <c r="B50" s="2"/>
      <c r="C50" s="2"/>
      <c r="D50" s="2"/>
      <c r="E50" s="2"/>
      <c r="F50" s="2"/>
      <c r="G50" s="2"/>
      <c r="H50" s="2"/>
      <c r="I50" s="2"/>
      <c r="J50" s="2"/>
      <c r="K50" s="2"/>
      <c r="L50" s="2"/>
      <c r="M50" s="2"/>
      <c r="N50" s="2"/>
      <c r="O50" s="2"/>
      <c r="P50" s="2"/>
      <c r="Q50" s="2"/>
      <c r="R50" s="2"/>
      <c r="S50" s="2"/>
      <c r="T50" s="2"/>
      <c r="U50" s="2"/>
      <c r="V50" s="2"/>
      <c r="W50" s="2"/>
    </row>
  </sheetData>
  <pageMargins left="0.7" right="0.7" top="0.75" bottom="0.75" header="0.511811023622047" footer="0.511811023622047"/>
  <pageSetup paperSize="9"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26"/>
  <sheetViews>
    <sheetView showGridLines="0" zoomScaleNormal="100" workbookViewId="0">
      <pane xSplit="3" ySplit="5" topLeftCell="D6" activePane="bottomRight" state="frozen"/>
      <selection pane="topRight" activeCell="D1" sqref="D1"/>
      <selection pane="bottomLeft" activeCell="A6" sqref="A6"/>
      <selection pane="bottomRight"/>
    </sheetView>
  </sheetViews>
  <sheetFormatPr defaultColWidth="8.7109375" defaultRowHeight="12.75" x14ac:dyDescent="0.2"/>
  <cols>
    <col min="1" max="1" width="52" customWidth="1"/>
    <col min="2" max="2" width="15" customWidth="1"/>
    <col min="3" max="3" width="9" customWidth="1"/>
    <col min="4" max="14" width="13" customWidth="1"/>
  </cols>
  <sheetData>
    <row r="1" spans="1:14" ht="15" customHeight="1" x14ac:dyDescent="0.3">
      <c r="A1" s="1" t="s">
        <v>781</v>
      </c>
      <c r="B1" s="2"/>
      <c r="C1" s="2"/>
      <c r="D1" s="2"/>
      <c r="E1" s="2"/>
      <c r="F1" s="2"/>
      <c r="G1" s="2"/>
      <c r="H1" s="2"/>
      <c r="I1" s="2"/>
      <c r="J1" s="2"/>
      <c r="K1" s="2"/>
      <c r="L1" s="2"/>
      <c r="M1" s="2"/>
      <c r="N1" s="2"/>
    </row>
    <row r="2" spans="1:14" ht="15" customHeight="1" x14ac:dyDescent="0.3">
      <c r="A2" s="6" t="s">
        <v>782</v>
      </c>
      <c r="B2" s="2"/>
      <c r="C2" s="2"/>
      <c r="D2" s="2"/>
      <c r="E2" s="2"/>
      <c r="F2" s="2"/>
      <c r="G2" s="2"/>
      <c r="H2" s="2"/>
      <c r="I2" s="2"/>
      <c r="J2" s="2"/>
      <c r="K2" s="2"/>
      <c r="L2" s="2"/>
      <c r="M2" s="2"/>
      <c r="N2" s="2"/>
    </row>
    <row r="3" spans="1:14" ht="15" customHeight="1" x14ac:dyDescent="0.3">
      <c r="A3" s="2"/>
      <c r="B3" s="2"/>
      <c r="C3" s="2"/>
      <c r="D3" s="2"/>
      <c r="E3" s="2"/>
      <c r="F3" s="2"/>
      <c r="G3" s="2"/>
      <c r="H3" s="2"/>
      <c r="I3" s="2"/>
      <c r="J3" s="2"/>
      <c r="K3" s="2"/>
      <c r="L3" s="2"/>
      <c r="M3" s="2"/>
      <c r="N3" s="2"/>
    </row>
    <row r="4" spans="1:14" ht="15" customHeight="1" x14ac:dyDescent="0.3">
      <c r="A4" s="21" t="s">
        <v>202</v>
      </c>
      <c r="B4" s="10"/>
      <c r="C4" s="10"/>
      <c r="D4" s="21" t="s">
        <v>203</v>
      </c>
      <c r="E4" s="21" t="s">
        <v>204</v>
      </c>
      <c r="F4" s="21" t="s">
        <v>205</v>
      </c>
      <c r="G4" s="21" t="s">
        <v>9</v>
      </c>
      <c r="H4" s="21" t="s">
        <v>206</v>
      </c>
      <c r="I4" s="21" t="s">
        <v>10</v>
      </c>
      <c r="J4" s="21" t="s">
        <v>207</v>
      </c>
      <c r="K4" s="21" t="s">
        <v>11</v>
      </c>
      <c r="L4" s="21" t="s">
        <v>208</v>
      </c>
      <c r="M4" s="21" t="s">
        <v>209</v>
      </c>
      <c r="N4" s="21" t="s">
        <v>12</v>
      </c>
    </row>
    <row r="5" spans="1:14" ht="15" customHeight="1" x14ac:dyDescent="0.3">
      <c r="A5" s="2"/>
      <c r="B5" s="2"/>
      <c r="C5" s="2"/>
      <c r="D5" s="2"/>
      <c r="E5" s="2"/>
      <c r="F5" s="2"/>
      <c r="G5" s="2"/>
      <c r="H5" s="2"/>
      <c r="I5" s="2"/>
      <c r="J5" s="2"/>
      <c r="K5" s="2"/>
      <c r="L5" s="2"/>
      <c r="M5" s="2"/>
      <c r="N5" s="2"/>
    </row>
    <row r="6" spans="1:14" ht="15" customHeight="1" x14ac:dyDescent="0.3">
      <c r="A6" s="21" t="s">
        <v>783</v>
      </c>
      <c r="B6" s="10"/>
      <c r="C6" s="10"/>
      <c r="D6" s="10"/>
      <c r="E6" s="10"/>
      <c r="F6" s="10"/>
      <c r="G6" s="10"/>
      <c r="H6" s="10"/>
      <c r="I6" s="10"/>
      <c r="J6" s="10"/>
      <c r="K6" s="10"/>
      <c r="L6" s="10"/>
      <c r="M6" s="10"/>
      <c r="N6" s="10"/>
    </row>
    <row r="7" spans="1:14" ht="15" customHeight="1" x14ac:dyDescent="0.3">
      <c r="A7" s="2"/>
      <c r="B7" s="2"/>
      <c r="C7" s="2"/>
      <c r="D7" s="2"/>
      <c r="E7" s="1" t="s">
        <v>101</v>
      </c>
      <c r="F7" s="1" t="s">
        <v>102</v>
      </c>
      <c r="G7" s="1" t="s">
        <v>103</v>
      </c>
      <c r="H7" s="2"/>
      <c r="I7" s="1" t="s">
        <v>784</v>
      </c>
      <c r="J7" s="1" t="s">
        <v>785</v>
      </c>
      <c r="K7" s="1" t="s">
        <v>786</v>
      </c>
      <c r="L7" s="2"/>
      <c r="M7" s="2"/>
      <c r="N7" s="2"/>
    </row>
    <row r="8" spans="1:14" ht="15" customHeight="1" x14ac:dyDescent="0.3">
      <c r="A8" s="6" t="s">
        <v>787</v>
      </c>
      <c r="B8" s="6" t="s">
        <v>788</v>
      </c>
      <c r="C8" s="6" t="s">
        <v>789</v>
      </c>
      <c r="D8" s="2"/>
      <c r="E8" s="19">
        <f>INDEX(Assumptions!$D$50:$F$50,1,1)</f>
        <v>0.35</v>
      </c>
      <c r="F8" s="19">
        <f>INDEX(Assumptions!$D$50:$F$50,1,2)</f>
        <v>0.35</v>
      </c>
      <c r="G8" s="19">
        <f>INDEX(Assumptions!$D$50:$F$50,1,3)</f>
        <v>0.35</v>
      </c>
      <c r="H8" s="2"/>
      <c r="I8" s="19">
        <f>INDEX(Assumptions!$D$51:$F$51,1,1)</f>
        <v>0.85</v>
      </c>
      <c r="J8" s="19">
        <f>INDEX(Assumptions!$D$51:$F$51,1,2)</f>
        <v>0.88</v>
      </c>
      <c r="K8" s="19">
        <f>INDEX(Assumptions!$D$51:$F$51,1,3)</f>
        <v>0.91</v>
      </c>
      <c r="L8" s="2"/>
      <c r="M8" s="2"/>
      <c r="N8" s="6" t="s">
        <v>790</v>
      </c>
    </row>
    <row r="9" spans="1:14" ht="15" customHeight="1" x14ac:dyDescent="0.3">
      <c r="A9" s="6" t="s">
        <v>791</v>
      </c>
      <c r="B9" s="6" t="s">
        <v>788</v>
      </c>
      <c r="C9" s="6" t="s">
        <v>789</v>
      </c>
      <c r="D9" s="2"/>
      <c r="E9" s="19">
        <f>INDEX(Assumptions!$D$52:$F$52,1,1)</f>
        <v>0.4</v>
      </c>
      <c r="F9" s="19">
        <f>INDEX(Assumptions!$D$52:$F$52,1,2)</f>
        <v>0.4</v>
      </c>
      <c r="G9" s="19">
        <f>INDEX(Assumptions!$D$52:$F$52,1,3)</f>
        <v>0.4</v>
      </c>
      <c r="H9" s="2"/>
      <c r="I9" s="19">
        <f>INDEX(Assumptions!$D$53:$F$53,1,1)</f>
        <v>0.9</v>
      </c>
      <c r="J9" s="19">
        <f>INDEX(Assumptions!$D$53:$F$53,1,2)</f>
        <v>0.92</v>
      </c>
      <c r="K9" s="19">
        <f>INDEX(Assumptions!$D$53:$F$53,1,3)</f>
        <v>0.94</v>
      </c>
      <c r="L9" s="2"/>
      <c r="M9" s="2"/>
      <c r="N9" s="6" t="s">
        <v>792</v>
      </c>
    </row>
    <row r="10" spans="1:14" ht="15" customHeight="1" x14ac:dyDescent="0.3">
      <c r="A10" s="6" t="s">
        <v>793</v>
      </c>
      <c r="B10" s="6" t="s">
        <v>788</v>
      </c>
      <c r="C10" s="6" t="s">
        <v>789</v>
      </c>
      <c r="D10" s="2"/>
      <c r="E10" s="19">
        <f>INDEX(Assumptions!$D$54:$F$54,1,1)</f>
        <v>0.25</v>
      </c>
      <c r="F10" s="19">
        <f>INDEX(Assumptions!$D$54:$F$54,1,2)</f>
        <v>0.25</v>
      </c>
      <c r="G10" s="19">
        <f>INDEX(Assumptions!$D$54:$F$54,1,3)</f>
        <v>0.25</v>
      </c>
      <c r="H10" s="2"/>
      <c r="I10" s="19">
        <f>INDEX(Assumptions!$D$55:$F$55,1,1)</f>
        <v>0.92</v>
      </c>
      <c r="J10" s="19">
        <f>INDEX(Assumptions!$D$55:$F$55,1,2)</f>
        <v>0.94</v>
      </c>
      <c r="K10" s="19">
        <f>INDEX(Assumptions!$D$55:$F$55,1,3)</f>
        <v>0.96</v>
      </c>
      <c r="L10" s="2"/>
      <c r="M10" s="2"/>
      <c r="N10" s="6" t="s">
        <v>794</v>
      </c>
    </row>
    <row r="11" spans="1:14" ht="15" customHeight="1" x14ac:dyDescent="0.3">
      <c r="A11" s="6" t="s">
        <v>795</v>
      </c>
      <c r="B11" s="6" t="s">
        <v>267</v>
      </c>
      <c r="C11" s="6" t="s">
        <v>211</v>
      </c>
      <c r="D11" s="2"/>
      <c r="E11" s="71">
        <f>SUM(E8:E10)</f>
        <v>1</v>
      </c>
      <c r="F11" s="71">
        <f>SUM(F8:F10)</f>
        <v>1</v>
      </c>
      <c r="G11" s="71">
        <f>SUM(G8:G10)</f>
        <v>1</v>
      </c>
      <c r="H11" s="2"/>
      <c r="I11" s="2"/>
      <c r="J11" s="2"/>
      <c r="K11" s="2"/>
      <c r="L11" s="2"/>
      <c r="M11" s="2"/>
      <c r="N11" s="2"/>
    </row>
    <row r="12" spans="1:14" ht="15" customHeight="1" x14ac:dyDescent="0.3">
      <c r="A12" s="1" t="s">
        <v>76</v>
      </c>
      <c r="B12" s="6" t="s">
        <v>267</v>
      </c>
      <c r="C12" s="6" t="s">
        <v>211</v>
      </c>
      <c r="D12" s="2"/>
      <c r="E12" s="81">
        <f>SUMPRODUCT(E8:E10,I8:I10)/E11</f>
        <v>0.88749999999999996</v>
      </c>
      <c r="F12" s="81">
        <f>SUMPRODUCT(F8:F10,J8:J10)/F11</f>
        <v>0.91100000000000003</v>
      </c>
      <c r="G12" s="81">
        <f>SUMPRODUCT(G8:G10,K8:K10)/G11</f>
        <v>0.9345</v>
      </c>
      <c r="H12" s="2"/>
      <c r="I12" s="2"/>
      <c r="J12" s="2"/>
      <c r="K12" s="2"/>
      <c r="L12" s="2"/>
      <c r="M12" s="2"/>
      <c r="N12" s="2"/>
    </row>
    <row r="13" spans="1:14" ht="15" customHeight="1" x14ac:dyDescent="0.3">
      <c r="A13" s="6" t="s">
        <v>77</v>
      </c>
      <c r="B13" s="6" t="s">
        <v>642</v>
      </c>
      <c r="C13" s="6" t="s">
        <v>211</v>
      </c>
      <c r="D13" s="2"/>
      <c r="E13" s="78">
        <f>IF(E12&gt;=1,99,1/(1-E12))</f>
        <v>8.8888888888888857</v>
      </c>
      <c r="F13" s="78">
        <f>IF(F12&gt;=1,99,1/(1-F12))</f>
        <v>11.23595505617978</v>
      </c>
      <c r="G13" s="78">
        <f>IF(G12&gt;=1,99,1/(1-G12))</f>
        <v>15.267175572519083</v>
      </c>
      <c r="H13" s="2"/>
      <c r="I13" s="2"/>
      <c r="J13" s="2"/>
      <c r="K13" s="2"/>
      <c r="L13" s="2"/>
      <c r="M13" s="2"/>
      <c r="N13" s="2"/>
    </row>
    <row r="14" spans="1:14" ht="15" customHeight="1" x14ac:dyDescent="0.3">
      <c r="A14" s="6" t="s">
        <v>796</v>
      </c>
      <c r="B14" s="6" t="s">
        <v>267</v>
      </c>
      <c r="C14" s="6" t="s">
        <v>222</v>
      </c>
      <c r="D14" s="2"/>
      <c r="E14" s="19">
        <f>INDEX(Assumptions!$D$56:$F$56,1,1)</f>
        <v>0.09</v>
      </c>
      <c r="F14" s="19">
        <f>INDEX(Assumptions!$D$56:$F$56,1,2)</f>
        <v>0.06</v>
      </c>
      <c r="G14" s="19">
        <f>INDEX(Assumptions!$D$56:$F$56,1,3)</f>
        <v>0.04</v>
      </c>
      <c r="H14" s="2"/>
      <c r="I14" s="2"/>
      <c r="J14" s="2"/>
      <c r="K14" s="2"/>
      <c r="L14" s="2"/>
      <c r="M14" s="2"/>
      <c r="N14" s="2"/>
    </row>
    <row r="15" spans="1:14" ht="15" customHeight="1" x14ac:dyDescent="0.3">
      <c r="A15" s="2"/>
      <c r="B15" s="2"/>
      <c r="C15" s="2"/>
      <c r="D15" s="2"/>
      <c r="E15" s="2"/>
      <c r="F15" s="2"/>
      <c r="G15" s="2"/>
      <c r="H15" s="2"/>
      <c r="I15" s="2"/>
      <c r="J15" s="2"/>
      <c r="K15" s="2"/>
      <c r="L15" s="2"/>
      <c r="M15" s="2"/>
      <c r="N15" s="2"/>
    </row>
    <row r="16" spans="1:14" ht="15" customHeight="1" x14ac:dyDescent="0.3">
      <c r="A16" s="21" t="s">
        <v>797</v>
      </c>
      <c r="B16" s="10"/>
      <c r="C16" s="10"/>
      <c r="D16" s="10"/>
      <c r="E16" s="10"/>
      <c r="F16" s="10"/>
      <c r="G16" s="10"/>
      <c r="H16" s="10"/>
      <c r="I16" s="10"/>
      <c r="J16" s="10"/>
      <c r="K16" s="10"/>
      <c r="L16" s="10"/>
      <c r="M16" s="10"/>
      <c r="N16" s="10"/>
    </row>
    <row r="17" spans="1:14" ht="15" customHeight="1" x14ac:dyDescent="0.3">
      <c r="A17" s="1" t="s">
        <v>798</v>
      </c>
      <c r="B17" s="6" t="s">
        <v>289</v>
      </c>
      <c r="C17" s="6" t="s">
        <v>214</v>
      </c>
      <c r="D17" s="39">
        <f>'Acquisition Schedule'!$F$6</f>
        <v>1000000</v>
      </c>
      <c r="E17" s="2"/>
      <c r="F17" s="2"/>
      <c r="G17" s="2"/>
      <c r="H17" s="2"/>
      <c r="I17" s="2"/>
      <c r="J17" s="2"/>
      <c r="K17" s="2"/>
      <c r="L17" s="2"/>
      <c r="M17" s="2"/>
      <c r="N17" s="2"/>
    </row>
    <row r="18" spans="1:14" ht="15" customHeight="1" x14ac:dyDescent="0.3">
      <c r="A18" s="6" t="s">
        <v>799</v>
      </c>
      <c r="B18" s="6" t="s">
        <v>289</v>
      </c>
      <c r="C18" s="6" t="s">
        <v>214</v>
      </c>
      <c r="D18" s="13">
        <f>'Acquisition Schedule'!$G$6</f>
        <v>5105335.5015829047</v>
      </c>
      <c r="E18" s="2"/>
      <c r="F18" s="2"/>
      <c r="G18" s="2"/>
      <c r="H18" s="2"/>
      <c r="I18" s="2"/>
      <c r="J18" s="2"/>
      <c r="K18" s="2"/>
      <c r="L18" s="2"/>
      <c r="M18" s="2"/>
      <c r="N18" s="2"/>
    </row>
    <row r="19" spans="1:14" ht="15" customHeight="1" x14ac:dyDescent="0.3">
      <c r="A19" s="6" t="s">
        <v>800</v>
      </c>
      <c r="B19" s="6" t="s">
        <v>289</v>
      </c>
      <c r="C19" s="6" t="s">
        <v>214</v>
      </c>
      <c r="D19" s="19">
        <f>'Acquisition Schedule'!$H$6</f>
        <v>0.19587351305118947</v>
      </c>
      <c r="E19" s="2"/>
      <c r="F19" s="2"/>
      <c r="G19" s="2"/>
      <c r="H19" s="2"/>
      <c r="I19" s="2"/>
      <c r="J19" s="2"/>
      <c r="K19" s="2"/>
      <c r="L19" s="2"/>
      <c r="M19" s="2"/>
      <c r="N19" s="2"/>
    </row>
    <row r="20" spans="1:14" ht="15" customHeight="1" x14ac:dyDescent="0.3">
      <c r="A20" s="6" t="s">
        <v>801</v>
      </c>
      <c r="B20" s="6" t="s">
        <v>289</v>
      </c>
      <c r="C20" s="6" t="s">
        <v>214</v>
      </c>
      <c r="D20" s="13">
        <f>'Acquisition Schedule'!$I$6</f>
        <v>7812.5</v>
      </c>
      <c r="E20" s="2"/>
      <c r="F20" s="2"/>
      <c r="G20" s="2"/>
      <c r="H20" s="2"/>
      <c r="I20" s="2"/>
      <c r="J20" s="2"/>
      <c r="K20" s="2"/>
      <c r="L20" s="2"/>
      <c r="M20" s="2"/>
      <c r="N20" s="2"/>
    </row>
    <row r="21" spans="1:14" ht="15" customHeight="1" x14ac:dyDescent="0.3">
      <c r="A21" s="6" t="s">
        <v>802</v>
      </c>
      <c r="B21" s="6" t="s">
        <v>289</v>
      </c>
      <c r="C21" s="6" t="s">
        <v>214</v>
      </c>
      <c r="D21" s="15">
        <f>'Acquisition Schedule'!$J$6</f>
        <v>31.25</v>
      </c>
      <c r="E21" s="2"/>
      <c r="F21" s="2"/>
      <c r="G21" s="2"/>
      <c r="H21" s="2"/>
      <c r="I21" s="2"/>
      <c r="J21" s="2"/>
      <c r="K21" s="2"/>
      <c r="L21" s="2"/>
      <c r="M21" s="2"/>
      <c r="N21" s="2"/>
    </row>
    <row r="22" spans="1:14" ht="15" customHeight="1" x14ac:dyDescent="0.3">
      <c r="A22" s="6" t="s">
        <v>803</v>
      </c>
      <c r="B22" s="6" t="s">
        <v>289</v>
      </c>
      <c r="C22" s="6" t="s">
        <v>214</v>
      </c>
      <c r="D22" s="15">
        <f>'Acquisition Schedule'!$K$6</f>
        <v>6</v>
      </c>
      <c r="E22" s="2"/>
      <c r="F22" s="2"/>
      <c r="G22" s="2"/>
      <c r="H22" s="2"/>
      <c r="I22" s="2"/>
      <c r="J22" s="2"/>
      <c r="K22" s="2"/>
      <c r="L22" s="2"/>
      <c r="M22" s="2"/>
      <c r="N22" s="2"/>
    </row>
    <row r="23" spans="1:14" ht="15" customHeight="1" x14ac:dyDescent="0.3">
      <c r="A23" s="6" t="s">
        <v>804</v>
      </c>
      <c r="B23" s="6" t="s">
        <v>289</v>
      </c>
      <c r="C23" s="6" t="s">
        <v>214</v>
      </c>
      <c r="D23" s="12">
        <f>'Acquisition Schedule'!$M$6</f>
        <v>6</v>
      </c>
      <c r="E23" s="2"/>
      <c r="F23" s="2"/>
      <c r="G23" s="2"/>
      <c r="H23" s="2"/>
      <c r="I23" s="2"/>
      <c r="J23" s="2"/>
      <c r="K23" s="2"/>
      <c r="L23" s="2"/>
      <c r="M23" s="2"/>
      <c r="N23" s="2"/>
    </row>
    <row r="24" spans="1:14" ht="15" customHeight="1" x14ac:dyDescent="0.3">
      <c r="A24" s="1" t="s">
        <v>805</v>
      </c>
      <c r="B24" s="6" t="s">
        <v>289</v>
      </c>
      <c r="C24" s="6" t="s">
        <v>214</v>
      </c>
      <c r="D24" s="39">
        <f>'Acquisition Schedule'!$N$6</f>
        <v>6000000</v>
      </c>
      <c r="E24" s="2"/>
      <c r="F24" s="2"/>
      <c r="G24" s="2"/>
      <c r="H24" s="2"/>
      <c r="I24" s="2"/>
      <c r="J24" s="2"/>
      <c r="K24" s="2"/>
      <c r="L24" s="2"/>
      <c r="M24" s="2"/>
      <c r="N24" s="2"/>
    </row>
    <row r="25" spans="1:14" ht="15" customHeight="1" x14ac:dyDescent="0.3">
      <c r="A25" s="6" t="s">
        <v>806</v>
      </c>
      <c r="B25" s="6" t="s">
        <v>265</v>
      </c>
      <c r="C25" s="6" t="s">
        <v>211</v>
      </c>
      <c r="D25" s="80">
        <f>D24/D18</f>
        <v>1.1752410783071368</v>
      </c>
      <c r="E25" s="2"/>
      <c r="F25" s="2"/>
      <c r="G25" s="2"/>
      <c r="H25" s="2"/>
      <c r="I25" s="2"/>
      <c r="J25" s="2"/>
      <c r="K25" s="2"/>
      <c r="L25" s="2"/>
      <c r="M25" s="2"/>
      <c r="N25" s="2"/>
    </row>
    <row r="26" spans="1:14" ht="15" customHeight="1" x14ac:dyDescent="0.3">
      <c r="A26" s="6" t="s">
        <v>807</v>
      </c>
      <c r="B26" s="6" t="s">
        <v>267</v>
      </c>
      <c r="C26" s="6" t="s">
        <v>214</v>
      </c>
      <c r="D26" s="71">
        <f>1/D22</f>
        <v>0.16666666666666666</v>
      </c>
      <c r="E26" s="2"/>
      <c r="F26" s="2"/>
      <c r="G26" s="2"/>
      <c r="H26" s="2"/>
      <c r="I26" s="2"/>
      <c r="J26" s="2"/>
      <c r="K26" s="2"/>
      <c r="L26" s="2"/>
      <c r="M26" s="2"/>
      <c r="N26" s="6" t="s">
        <v>808</v>
      </c>
    </row>
  </sheetData>
  <pageMargins left="0.7" right="0.7" top="0.75" bottom="0.75" header="0.511811023622047" footer="0.511811023622047"/>
  <pageSetup paperSize="9"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194"/>
  <sheetViews>
    <sheetView showGridLines="0" zoomScaleNormal="100" workbookViewId="0">
      <pane xSplit="3" ySplit="5" topLeftCell="D6" activePane="bottomRight" state="frozen"/>
      <selection pane="topRight" activeCell="D1" sqref="D1"/>
      <selection pane="bottomLeft" activeCell="A6" sqref="A6"/>
      <selection pane="bottomRight"/>
    </sheetView>
  </sheetViews>
  <sheetFormatPr defaultColWidth="8.7109375" defaultRowHeight="12.75" x14ac:dyDescent="0.2"/>
  <cols>
    <col min="1" max="1" width="56" customWidth="1"/>
    <col min="2" max="2" width="15" customWidth="1"/>
    <col min="3" max="3" width="9" customWidth="1"/>
    <col min="4" max="14" width="13" customWidth="1"/>
  </cols>
  <sheetData>
    <row r="1" spans="1:14" ht="15" customHeight="1" x14ac:dyDescent="0.3">
      <c r="A1" s="1" t="s">
        <v>809</v>
      </c>
      <c r="B1" s="2"/>
      <c r="C1" s="2"/>
      <c r="D1" s="2"/>
      <c r="E1" s="2"/>
      <c r="F1" s="2"/>
      <c r="G1" s="2"/>
      <c r="H1" s="2"/>
      <c r="I1" s="2"/>
      <c r="J1" s="2"/>
      <c r="K1" s="2"/>
      <c r="L1" s="2"/>
      <c r="M1" s="2"/>
      <c r="N1" s="2"/>
    </row>
    <row r="2" spans="1:14" ht="15" customHeight="1" x14ac:dyDescent="0.3">
      <c r="A2" s="6" t="s">
        <v>810</v>
      </c>
      <c r="B2" s="2"/>
      <c r="C2" s="2"/>
      <c r="D2" s="2"/>
      <c r="E2" s="2"/>
      <c r="F2" s="2"/>
      <c r="G2" s="2"/>
      <c r="H2" s="2"/>
      <c r="I2" s="2"/>
      <c r="J2" s="2"/>
      <c r="K2" s="2"/>
      <c r="L2" s="2"/>
      <c r="M2" s="2"/>
      <c r="N2" s="2"/>
    </row>
    <row r="3" spans="1:14" ht="15" customHeight="1" x14ac:dyDescent="0.3">
      <c r="A3" s="6" t="s">
        <v>811</v>
      </c>
      <c r="B3" s="2"/>
      <c r="C3" s="2"/>
      <c r="D3" s="2"/>
      <c r="E3" s="2"/>
      <c r="F3" s="2"/>
      <c r="G3" s="2"/>
      <c r="H3" s="2"/>
      <c r="I3" s="2"/>
      <c r="J3" s="2"/>
      <c r="K3" s="2"/>
      <c r="L3" s="2"/>
      <c r="M3" s="2"/>
      <c r="N3" s="2"/>
    </row>
    <row r="4" spans="1:14" ht="15" customHeight="1" x14ac:dyDescent="0.3">
      <c r="A4" s="2"/>
      <c r="B4" s="2"/>
      <c r="C4" s="2"/>
      <c r="D4" s="2"/>
      <c r="E4" s="2"/>
      <c r="F4" s="2"/>
      <c r="G4" s="2"/>
      <c r="H4" s="2"/>
      <c r="I4" s="2"/>
      <c r="J4" s="2"/>
      <c r="K4" s="2"/>
      <c r="L4" s="2"/>
      <c r="M4" s="2"/>
      <c r="N4" s="2"/>
    </row>
    <row r="5" spans="1:14" ht="15" customHeight="1" x14ac:dyDescent="0.3">
      <c r="A5" s="21" t="s">
        <v>202</v>
      </c>
      <c r="B5" s="10"/>
      <c r="C5" s="10"/>
      <c r="D5" s="21" t="s">
        <v>203</v>
      </c>
      <c r="E5" s="21" t="s">
        <v>204</v>
      </c>
      <c r="F5" s="21" t="s">
        <v>205</v>
      </c>
      <c r="G5" s="21" t="s">
        <v>9</v>
      </c>
      <c r="H5" s="21" t="s">
        <v>206</v>
      </c>
      <c r="I5" s="21" t="s">
        <v>10</v>
      </c>
      <c r="J5" s="21" t="s">
        <v>207</v>
      </c>
      <c r="K5" s="21" t="s">
        <v>11</v>
      </c>
      <c r="L5" s="21" t="s">
        <v>208</v>
      </c>
      <c r="M5" s="21" t="s">
        <v>209</v>
      </c>
      <c r="N5" s="21" t="s">
        <v>12</v>
      </c>
    </row>
    <row r="6" spans="1:14" ht="15" customHeight="1" x14ac:dyDescent="0.3">
      <c r="A6" s="2"/>
      <c r="B6" s="2"/>
      <c r="C6" s="2"/>
      <c r="D6" s="2"/>
      <c r="E6" s="2"/>
      <c r="F6" s="2"/>
      <c r="G6" s="2"/>
      <c r="H6" s="2"/>
      <c r="I6" s="2"/>
      <c r="J6" s="2"/>
      <c r="K6" s="2"/>
      <c r="L6" s="2"/>
      <c r="M6" s="2"/>
      <c r="N6" s="2"/>
    </row>
    <row r="7" spans="1:14" ht="15" customHeight="1" x14ac:dyDescent="0.3">
      <c r="A7" s="21" t="s">
        <v>812</v>
      </c>
      <c r="B7" s="10"/>
      <c r="C7" s="10"/>
      <c r="D7" s="10"/>
      <c r="E7" s="10"/>
      <c r="F7" s="10"/>
      <c r="G7" s="10"/>
      <c r="H7" s="10"/>
      <c r="I7" s="10"/>
      <c r="J7" s="10"/>
      <c r="K7" s="10"/>
      <c r="L7" s="10"/>
      <c r="M7" s="10"/>
      <c r="N7" s="10"/>
    </row>
    <row r="8" spans="1:14" ht="15" customHeight="1" x14ac:dyDescent="0.3">
      <c r="A8" s="6" t="s">
        <v>813</v>
      </c>
      <c r="B8" s="6" t="s">
        <v>267</v>
      </c>
      <c r="C8" s="6" t="s">
        <v>211</v>
      </c>
      <c r="D8" s="19">
        <f>'Anchor QoE'!E$12</f>
        <v>0.88749999999999996</v>
      </c>
      <c r="E8" s="2"/>
      <c r="F8" s="2"/>
      <c r="G8" s="2"/>
      <c r="H8" s="2"/>
      <c r="I8" s="2"/>
      <c r="J8" s="2"/>
      <c r="K8" s="2"/>
      <c r="L8" s="2"/>
      <c r="M8" s="2"/>
      <c r="N8" s="2"/>
    </row>
    <row r="9" spans="1:14" ht="15" customHeight="1" x14ac:dyDescent="0.3">
      <c r="A9" s="6" t="s">
        <v>814</v>
      </c>
      <c r="B9" s="6" t="s">
        <v>267</v>
      </c>
      <c r="C9" s="6" t="s">
        <v>211</v>
      </c>
      <c r="D9" s="71">
        <f>1-D8</f>
        <v>0.11250000000000004</v>
      </c>
      <c r="E9" s="2"/>
      <c r="F9" s="2"/>
      <c r="G9" s="2"/>
      <c r="H9" s="2"/>
      <c r="I9" s="2"/>
      <c r="J9" s="2"/>
      <c r="K9" s="2"/>
      <c r="L9" s="2"/>
      <c r="M9" s="2"/>
      <c r="N9" s="2"/>
    </row>
    <row r="10" spans="1:14" ht="15" customHeight="1" x14ac:dyDescent="0.3">
      <c r="A10" s="6" t="s">
        <v>815</v>
      </c>
      <c r="B10" s="6" t="s">
        <v>267</v>
      </c>
      <c r="C10" s="6" t="s">
        <v>211</v>
      </c>
      <c r="D10" s="19">
        <f>INDEX(Assumptions!$D$57:$F$57,1,1)</f>
        <v>0.08</v>
      </c>
      <c r="E10" s="2"/>
      <c r="F10" s="2"/>
      <c r="G10" s="2"/>
      <c r="H10" s="2"/>
      <c r="I10" s="2"/>
      <c r="J10" s="2"/>
      <c r="K10" s="2"/>
      <c r="L10" s="2"/>
      <c r="M10" s="2"/>
      <c r="N10" s="2"/>
    </row>
    <row r="11" spans="1:14" ht="15" customHeight="1" x14ac:dyDescent="0.3">
      <c r="A11" s="6" t="s">
        <v>616</v>
      </c>
      <c r="B11" s="6" t="s">
        <v>267</v>
      </c>
      <c r="C11" s="6" t="s">
        <v>222</v>
      </c>
      <c r="D11" s="19">
        <f>(INDEX(Assumptions!$D$58:$F$58,1,1)*(1-Assumptions!$D$8))</f>
        <v>0.02</v>
      </c>
      <c r="E11" s="2"/>
      <c r="F11" s="2"/>
      <c r="G11" s="2"/>
      <c r="H11" s="2"/>
      <c r="I11" s="2"/>
      <c r="J11" s="2"/>
      <c r="K11" s="2"/>
      <c r="L11" s="2"/>
      <c r="M11" s="2"/>
      <c r="N11" s="2"/>
    </row>
    <row r="12" spans="1:14" ht="15" customHeight="1" x14ac:dyDescent="0.3">
      <c r="A12" s="6" t="s">
        <v>816</v>
      </c>
      <c r="B12" s="6" t="s">
        <v>265</v>
      </c>
      <c r="C12" s="6" t="s">
        <v>211</v>
      </c>
      <c r="D12" s="65">
        <f>D8*(1+D10)</f>
        <v>0.95850000000000002</v>
      </c>
      <c r="E12" s="2"/>
      <c r="F12" s="2"/>
      <c r="G12" s="2"/>
      <c r="H12" s="2"/>
      <c r="I12" s="2"/>
      <c r="J12" s="2"/>
      <c r="K12" s="2"/>
      <c r="L12" s="2"/>
      <c r="M12" s="2"/>
      <c r="N12" s="2"/>
    </row>
    <row r="13" spans="1:14" ht="15" customHeight="1" x14ac:dyDescent="0.3">
      <c r="A13" s="1" t="s">
        <v>817</v>
      </c>
      <c r="B13" s="6" t="s">
        <v>265</v>
      </c>
      <c r="C13" s="6" t="s">
        <v>211</v>
      </c>
      <c r="D13" s="82">
        <f>D8*(1+D10+D11)</f>
        <v>0.97625000000000006</v>
      </c>
      <c r="E13" s="2"/>
      <c r="F13" s="2"/>
      <c r="G13" s="2"/>
      <c r="H13" s="2"/>
      <c r="I13" s="2"/>
      <c r="J13" s="2"/>
      <c r="K13" s="2"/>
      <c r="L13" s="2"/>
      <c r="M13" s="2"/>
      <c r="N13" s="2"/>
    </row>
    <row r="14" spans="1:14" ht="15" customHeight="1" x14ac:dyDescent="0.3">
      <c r="A14" s="6" t="s">
        <v>818</v>
      </c>
      <c r="B14" s="6" t="s">
        <v>819</v>
      </c>
      <c r="C14" s="6" t="s">
        <v>222</v>
      </c>
      <c r="D14" s="83">
        <f>D13-D12</f>
        <v>1.7750000000000044E-2</v>
      </c>
      <c r="E14" s="2"/>
      <c r="F14" s="2"/>
      <c r="G14" s="2"/>
      <c r="H14" s="2"/>
      <c r="I14" s="2"/>
      <c r="J14" s="2"/>
      <c r="K14" s="2"/>
      <c r="L14" s="2"/>
      <c r="M14" s="2"/>
      <c r="N14" s="2"/>
    </row>
    <row r="15" spans="1:14" ht="15" customHeight="1" x14ac:dyDescent="0.3">
      <c r="A15" s="6" t="s">
        <v>820</v>
      </c>
      <c r="B15" s="2"/>
      <c r="C15" s="2"/>
      <c r="D15" s="2"/>
      <c r="E15" s="2"/>
      <c r="F15" s="2"/>
      <c r="G15" s="2"/>
      <c r="H15" s="2"/>
      <c r="I15" s="2"/>
      <c r="J15" s="2"/>
      <c r="K15" s="2"/>
      <c r="L15" s="2"/>
      <c r="M15" s="2"/>
      <c r="N15" s="2"/>
    </row>
    <row r="16" spans="1:14" ht="15" customHeight="1" x14ac:dyDescent="0.3">
      <c r="A16" s="6" t="s">
        <v>821</v>
      </c>
      <c r="B16" s="6" t="s">
        <v>267</v>
      </c>
      <c r="C16" s="6" t="s">
        <v>211</v>
      </c>
      <c r="D16" s="19">
        <f>(1-INDEX(Assumptions!$D$56:$F$56,1,1))*INDEX(Assumptions!$D$20:$F$20,1,1)</f>
        <v>0.45500000000000002</v>
      </c>
      <c r="E16" s="2"/>
      <c r="F16" s="2"/>
      <c r="G16" s="2"/>
      <c r="H16" s="2"/>
      <c r="I16" s="2"/>
      <c r="J16" s="2"/>
      <c r="K16" s="2"/>
      <c r="L16" s="2"/>
      <c r="M16" s="2"/>
      <c r="N16" s="2"/>
    </row>
    <row r="17" spans="1:14" ht="15" customHeight="1" x14ac:dyDescent="0.3">
      <c r="A17" s="6" t="s">
        <v>822</v>
      </c>
      <c r="B17" s="2"/>
      <c r="C17" s="2"/>
      <c r="D17" s="2"/>
      <c r="E17" s="2"/>
      <c r="F17" s="2"/>
      <c r="G17" s="2"/>
      <c r="H17" s="2"/>
      <c r="I17" s="2"/>
      <c r="J17" s="2"/>
      <c r="K17" s="2"/>
      <c r="L17" s="2"/>
      <c r="M17" s="2"/>
      <c r="N17" s="2"/>
    </row>
    <row r="18" spans="1:14" ht="15" customHeight="1" x14ac:dyDescent="0.3">
      <c r="A18" s="6" t="s">
        <v>823</v>
      </c>
      <c r="B18" s="6" t="s">
        <v>218</v>
      </c>
      <c r="C18" s="6" t="s">
        <v>211</v>
      </c>
      <c r="D18" s="13">
        <f>'Acquisition Schedule'!F$20*$D$16/INDEX(Assumptions!$D$20:$F$20,1,1)</f>
        <v>910000</v>
      </c>
      <c r="E18" s="13">
        <f>'Acquisition Schedule'!F$20*(1-INDEX(Assumptions!$D$56:$F$56,1,1))*$D$8^0</f>
        <v>910000</v>
      </c>
      <c r="F18" s="13">
        <f>'Acquisition Schedule'!F$20*(1-INDEX(Assumptions!$D$56:$F$56,1,1))*$D$8^1</f>
        <v>807625</v>
      </c>
      <c r="G18" s="13">
        <f>'Acquisition Schedule'!F$20*(1-INDEX(Assumptions!$D$56:$F$56,1,1))*$D$8^2</f>
        <v>716767.1875</v>
      </c>
      <c r="H18" s="13">
        <f>'Acquisition Schedule'!F$20*(1-INDEX(Assumptions!$D$56:$F$56,1,1))*$D$8^3</f>
        <v>636130.87890624988</v>
      </c>
      <c r="I18" s="13">
        <f>'Acquisition Schedule'!F$20*(1-INDEX(Assumptions!$D$56:$F$56,1,1))*$D$8^4</f>
        <v>564566.15502929688</v>
      </c>
      <c r="J18" s="13">
        <f>'Acquisition Schedule'!F$20*(1-INDEX(Assumptions!$D$56:$F$56,1,1))*$D$8^5</f>
        <v>501052.46258850099</v>
      </c>
      <c r="K18" s="13">
        <f>'Acquisition Schedule'!F$20*(1-INDEX(Assumptions!$D$56:$F$56,1,1))*$D$8^6</f>
        <v>444684.06054729456</v>
      </c>
      <c r="L18" s="13">
        <f>'Acquisition Schedule'!F$20*(1-INDEX(Assumptions!$D$56:$F$56,1,1))*$D$8^7</f>
        <v>394657.10373572388</v>
      </c>
      <c r="M18" s="13">
        <f>'Acquisition Schedule'!F$20*(1-INDEX(Assumptions!$D$56:$F$56,1,1))*$D$8^8</f>
        <v>350258.17956545495</v>
      </c>
      <c r="N18" s="13">
        <f>'Acquisition Schedule'!F$20*(1-INDEX(Assumptions!$D$56:$F$56,1,1))*$D$8^9</f>
        <v>310854.13436434127</v>
      </c>
    </row>
    <row r="19" spans="1:14" ht="15" customHeight="1" x14ac:dyDescent="0.3">
      <c r="A19" s="6" t="s">
        <v>824</v>
      </c>
      <c r="B19" s="6" t="s">
        <v>218</v>
      </c>
      <c r="C19" s="6" t="s">
        <v>211</v>
      </c>
      <c r="D19" s="63">
        <f>0</f>
        <v>0</v>
      </c>
      <c r="E19" s="13">
        <f>'Acquisition Schedule'!G$20*$D$16</f>
        <v>341250</v>
      </c>
      <c r="F19" s="13">
        <f>'Acquisition Schedule'!G$20*(1-INDEX(Assumptions!$D$56:$F$56,1,1))*$D$8^0</f>
        <v>682500</v>
      </c>
      <c r="G19" s="13">
        <f>'Acquisition Schedule'!G$20*(1-INDEX(Assumptions!$D$56:$F$56,1,1))*$D$8^1</f>
        <v>605718.75</v>
      </c>
      <c r="H19" s="13">
        <f>'Acquisition Schedule'!G$20*(1-INDEX(Assumptions!$D$56:$F$56,1,1))*$D$8^2</f>
        <v>537575.390625</v>
      </c>
      <c r="I19" s="13">
        <f>'Acquisition Schedule'!G$20*(1-INDEX(Assumptions!$D$56:$F$56,1,1))*$D$8^3</f>
        <v>477098.15917968744</v>
      </c>
      <c r="J19" s="13">
        <f>'Acquisition Schedule'!G$20*(1-INDEX(Assumptions!$D$56:$F$56,1,1))*$D$8^4</f>
        <v>423424.61627197266</v>
      </c>
      <c r="K19" s="13">
        <f>'Acquisition Schedule'!G$20*(1-INDEX(Assumptions!$D$56:$F$56,1,1))*$D$8^5</f>
        <v>375789.3469413757</v>
      </c>
      <c r="L19" s="13">
        <f>'Acquisition Schedule'!G$20*(1-INDEX(Assumptions!$D$56:$F$56,1,1))*$D$8^6</f>
        <v>333513.04541047092</v>
      </c>
      <c r="M19" s="13">
        <f>'Acquisition Schedule'!G$20*(1-INDEX(Assumptions!$D$56:$F$56,1,1))*$D$8^7</f>
        <v>295992.82780179288</v>
      </c>
      <c r="N19" s="13">
        <f>'Acquisition Schedule'!G$20*(1-INDEX(Assumptions!$D$56:$F$56,1,1))*$D$8^8</f>
        <v>262693.63467409124</v>
      </c>
    </row>
    <row r="20" spans="1:14" ht="15" customHeight="1" x14ac:dyDescent="0.3">
      <c r="A20" s="6" t="s">
        <v>825</v>
      </c>
      <c r="B20" s="6" t="s">
        <v>218</v>
      </c>
      <c r="C20" s="6" t="s">
        <v>211</v>
      </c>
      <c r="D20" s="63">
        <f>0</f>
        <v>0</v>
      </c>
      <c r="E20" s="63">
        <f>0</f>
        <v>0</v>
      </c>
      <c r="F20" s="13">
        <f>'Acquisition Schedule'!H$20*$D$16</f>
        <v>341250</v>
      </c>
      <c r="G20" s="13">
        <f>'Acquisition Schedule'!H$20*(1-INDEX(Assumptions!$D$56:$F$56,1,1))*$D$8^0</f>
        <v>682500</v>
      </c>
      <c r="H20" s="13">
        <f>'Acquisition Schedule'!H$20*(1-INDEX(Assumptions!$D$56:$F$56,1,1))*$D$8^1</f>
        <v>605718.75</v>
      </c>
      <c r="I20" s="13">
        <f>'Acquisition Schedule'!H$20*(1-INDEX(Assumptions!$D$56:$F$56,1,1))*$D$8^2</f>
        <v>537575.390625</v>
      </c>
      <c r="J20" s="13">
        <f>'Acquisition Schedule'!H$20*(1-INDEX(Assumptions!$D$56:$F$56,1,1))*$D$8^3</f>
        <v>477098.15917968744</v>
      </c>
      <c r="K20" s="13">
        <f>'Acquisition Schedule'!H$20*(1-INDEX(Assumptions!$D$56:$F$56,1,1))*$D$8^4</f>
        <v>423424.61627197266</v>
      </c>
      <c r="L20" s="13">
        <f>'Acquisition Schedule'!H$20*(1-INDEX(Assumptions!$D$56:$F$56,1,1))*$D$8^5</f>
        <v>375789.3469413757</v>
      </c>
      <c r="M20" s="13">
        <f>'Acquisition Schedule'!H$20*(1-INDEX(Assumptions!$D$56:$F$56,1,1))*$D$8^6</f>
        <v>333513.04541047092</v>
      </c>
      <c r="N20" s="13">
        <f>'Acquisition Schedule'!H$20*(1-INDEX(Assumptions!$D$56:$F$56,1,1))*$D$8^7</f>
        <v>295992.82780179288</v>
      </c>
    </row>
    <row r="21" spans="1:14" ht="15" customHeight="1" x14ac:dyDescent="0.3">
      <c r="A21" s="6" t="s">
        <v>826</v>
      </c>
      <c r="B21" s="6" t="s">
        <v>218</v>
      </c>
      <c r="C21" s="6" t="s">
        <v>211</v>
      </c>
      <c r="D21" s="63">
        <f>0</f>
        <v>0</v>
      </c>
      <c r="E21" s="63">
        <f>0</f>
        <v>0</v>
      </c>
      <c r="F21" s="63">
        <f>0</f>
        <v>0</v>
      </c>
      <c r="G21" s="13">
        <f>'Acquisition Schedule'!I$20*$D$16</f>
        <v>910000</v>
      </c>
      <c r="H21" s="13">
        <f>'Acquisition Schedule'!I$20*(1-INDEX(Assumptions!$D$56:$F$56,1,1))*$D$8^0</f>
        <v>1820000</v>
      </c>
      <c r="I21" s="13">
        <f>'Acquisition Schedule'!I$20*(1-INDEX(Assumptions!$D$56:$F$56,1,1))*$D$8^1</f>
        <v>1615250</v>
      </c>
      <c r="J21" s="13">
        <f>'Acquisition Schedule'!I$20*(1-INDEX(Assumptions!$D$56:$F$56,1,1))*$D$8^2</f>
        <v>1433534.375</v>
      </c>
      <c r="K21" s="13">
        <f>'Acquisition Schedule'!I$20*(1-INDEX(Assumptions!$D$56:$F$56,1,1))*$D$8^3</f>
        <v>1272261.7578124998</v>
      </c>
      <c r="L21" s="13">
        <f>'Acquisition Schedule'!I$20*(1-INDEX(Assumptions!$D$56:$F$56,1,1))*$D$8^4</f>
        <v>1129132.3100585938</v>
      </c>
      <c r="M21" s="13">
        <f>'Acquisition Schedule'!I$20*(1-INDEX(Assumptions!$D$56:$F$56,1,1))*$D$8^5</f>
        <v>1002104.925177002</v>
      </c>
      <c r="N21" s="13">
        <f>'Acquisition Schedule'!I$20*(1-INDEX(Assumptions!$D$56:$F$56,1,1))*$D$8^6</f>
        <v>889368.12109458912</v>
      </c>
    </row>
    <row r="22" spans="1:14" ht="15" customHeight="1" x14ac:dyDescent="0.3">
      <c r="A22" s="6" t="s">
        <v>827</v>
      </c>
      <c r="B22" s="6" t="s">
        <v>218</v>
      </c>
      <c r="C22" s="6" t="s">
        <v>211</v>
      </c>
      <c r="D22" s="63">
        <f>0</f>
        <v>0</v>
      </c>
      <c r="E22" s="63">
        <f>0</f>
        <v>0</v>
      </c>
      <c r="F22" s="63">
        <f>0</f>
        <v>0</v>
      </c>
      <c r="G22" s="63">
        <f>0</f>
        <v>0</v>
      </c>
      <c r="H22" s="13">
        <f>'Acquisition Schedule'!J$20*$D$16</f>
        <v>341250</v>
      </c>
      <c r="I22" s="13">
        <f>'Acquisition Schedule'!J$20*(1-INDEX(Assumptions!$D$56:$F$56,1,1))*$D$8^0</f>
        <v>682500</v>
      </c>
      <c r="J22" s="13">
        <f>'Acquisition Schedule'!J$20*(1-INDEX(Assumptions!$D$56:$F$56,1,1))*$D$8^1</f>
        <v>605718.75</v>
      </c>
      <c r="K22" s="13">
        <f>'Acquisition Schedule'!J$20*(1-INDEX(Assumptions!$D$56:$F$56,1,1))*$D$8^2</f>
        <v>537575.390625</v>
      </c>
      <c r="L22" s="13">
        <f>'Acquisition Schedule'!J$20*(1-INDEX(Assumptions!$D$56:$F$56,1,1))*$D$8^3</f>
        <v>477098.15917968744</v>
      </c>
      <c r="M22" s="13">
        <f>'Acquisition Schedule'!J$20*(1-INDEX(Assumptions!$D$56:$F$56,1,1))*$D$8^4</f>
        <v>423424.61627197266</v>
      </c>
      <c r="N22" s="13">
        <f>'Acquisition Schedule'!J$20*(1-INDEX(Assumptions!$D$56:$F$56,1,1))*$D$8^5</f>
        <v>375789.3469413757</v>
      </c>
    </row>
    <row r="23" spans="1:14" ht="15" customHeight="1" x14ac:dyDescent="0.3">
      <c r="A23" s="6" t="s">
        <v>828</v>
      </c>
      <c r="B23" s="6" t="s">
        <v>218</v>
      </c>
      <c r="C23" s="6" t="s">
        <v>211</v>
      </c>
      <c r="D23" s="63">
        <f>0</f>
        <v>0</v>
      </c>
      <c r="E23" s="63">
        <f>0</f>
        <v>0</v>
      </c>
      <c r="F23" s="63">
        <f>0</f>
        <v>0</v>
      </c>
      <c r="G23" s="63">
        <f>0</f>
        <v>0</v>
      </c>
      <c r="H23" s="63">
        <f>0</f>
        <v>0</v>
      </c>
      <c r="I23" s="13">
        <f>'Acquisition Schedule'!K$20*$D$16</f>
        <v>341250</v>
      </c>
      <c r="J23" s="13">
        <f>'Acquisition Schedule'!K$20*(1-INDEX(Assumptions!$D$56:$F$56,1,1))*$D$8^0</f>
        <v>682500</v>
      </c>
      <c r="K23" s="13">
        <f>'Acquisition Schedule'!K$20*(1-INDEX(Assumptions!$D$56:$F$56,1,1))*$D$8^1</f>
        <v>605718.75</v>
      </c>
      <c r="L23" s="13">
        <f>'Acquisition Schedule'!K$20*(1-INDEX(Assumptions!$D$56:$F$56,1,1))*$D$8^2</f>
        <v>537575.390625</v>
      </c>
      <c r="M23" s="13">
        <f>'Acquisition Schedule'!K$20*(1-INDEX(Assumptions!$D$56:$F$56,1,1))*$D$8^3</f>
        <v>477098.15917968744</v>
      </c>
      <c r="N23" s="13">
        <f>'Acquisition Schedule'!K$20*(1-INDEX(Assumptions!$D$56:$F$56,1,1))*$D$8^4</f>
        <v>423424.61627197266</v>
      </c>
    </row>
    <row r="24" spans="1:14" ht="15" customHeight="1" x14ac:dyDescent="0.3">
      <c r="A24" s="6" t="s">
        <v>829</v>
      </c>
      <c r="B24" s="6" t="s">
        <v>218</v>
      </c>
      <c r="C24" s="6" t="s">
        <v>211</v>
      </c>
      <c r="D24" s="63">
        <f>0</f>
        <v>0</v>
      </c>
      <c r="E24" s="63">
        <f>0</f>
        <v>0</v>
      </c>
      <c r="F24" s="63">
        <f>0</f>
        <v>0</v>
      </c>
      <c r="G24" s="63">
        <f>0</f>
        <v>0</v>
      </c>
      <c r="H24" s="63">
        <f>0</f>
        <v>0</v>
      </c>
      <c r="I24" s="63">
        <f>0</f>
        <v>0</v>
      </c>
      <c r="J24" s="13">
        <f>'Acquisition Schedule'!L$20*$D$16</f>
        <v>341250</v>
      </c>
      <c r="K24" s="13">
        <f>'Acquisition Schedule'!L$20*(1-INDEX(Assumptions!$D$56:$F$56,1,1))*$D$8^0</f>
        <v>682500</v>
      </c>
      <c r="L24" s="13">
        <f>'Acquisition Schedule'!L$20*(1-INDEX(Assumptions!$D$56:$F$56,1,1))*$D$8^1</f>
        <v>605718.75</v>
      </c>
      <c r="M24" s="13">
        <f>'Acquisition Schedule'!L$20*(1-INDEX(Assumptions!$D$56:$F$56,1,1))*$D$8^2</f>
        <v>537575.390625</v>
      </c>
      <c r="N24" s="13">
        <f>'Acquisition Schedule'!L$20*(1-INDEX(Assumptions!$D$56:$F$56,1,1))*$D$8^3</f>
        <v>477098.15917968744</v>
      </c>
    </row>
    <row r="25" spans="1:14" ht="15" customHeight="1" x14ac:dyDescent="0.3">
      <c r="A25" s="6" t="s">
        <v>830</v>
      </c>
      <c r="B25" s="6" t="s">
        <v>218</v>
      </c>
      <c r="C25" s="6" t="s">
        <v>211</v>
      </c>
      <c r="D25" s="63">
        <f>0</f>
        <v>0</v>
      </c>
      <c r="E25" s="63">
        <f>0</f>
        <v>0</v>
      </c>
      <c r="F25" s="63">
        <f>0</f>
        <v>0</v>
      </c>
      <c r="G25" s="63">
        <f>0</f>
        <v>0</v>
      </c>
      <c r="H25" s="63">
        <f>0</f>
        <v>0</v>
      </c>
      <c r="I25" s="63">
        <f>0</f>
        <v>0</v>
      </c>
      <c r="J25" s="63">
        <f>0</f>
        <v>0</v>
      </c>
      <c r="K25" s="13">
        <f>'Acquisition Schedule'!M$20*$D$16</f>
        <v>341250</v>
      </c>
      <c r="L25" s="13">
        <f>'Acquisition Schedule'!M$20*(1-INDEX(Assumptions!$D$56:$F$56,1,1))*$D$8^0</f>
        <v>682500</v>
      </c>
      <c r="M25" s="13">
        <f>'Acquisition Schedule'!M$20*(1-INDEX(Assumptions!$D$56:$F$56,1,1))*$D$8^1</f>
        <v>605718.75</v>
      </c>
      <c r="N25" s="13">
        <f>'Acquisition Schedule'!M$20*(1-INDEX(Assumptions!$D$56:$F$56,1,1))*$D$8^2</f>
        <v>537575.390625</v>
      </c>
    </row>
    <row r="26" spans="1:14" ht="15" customHeight="1" x14ac:dyDescent="0.3">
      <c r="A26" s="6" t="s">
        <v>831</v>
      </c>
      <c r="B26" s="2"/>
      <c r="C26" s="2"/>
      <c r="D26" s="2"/>
      <c r="E26" s="2"/>
      <c r="F26" s="2"/>
      <c r="G26" s="2"/>
      <c r="H26" s="2"/>
      <c r="I26" s="2"/>
      <c r="J26" s="2"/>
      <c r="K26" s="2"/>
      <c r="L26" s="2"/>
      <c r="M26" s="2"/>
      <c r="N26" s="2"/>
    </row>
    <row r="27" spans="1:14" ht="15" customHeight="1" x14ac:dyDescent="0.3">
      <c r="A27" s="6" t="s">
        <v>832</v>
      </c>
      <c r="B27" s="6" t="s">
        <v>218</v>
      </c>
      <c r="C27" s="6" t="s">
        <v>222</v>
      </c>
      <c r="D27" s="63">
        <f>0</f>
        <v>0</v>
      </c>
      <c r="E27" s="13">
        <f>'Acquisition Schedule'!F$20*(1-INDEX(Assumptions!$D$56:$F$56,1,1))*($D$13^0-$D$8^0)</f>
        <v>0</v>
      </c>
      <c r="F27" s="13">
        <f>'Acquisition Schedule'!F$20*(1-INDEX(Assumptions!$D$56:$F$56,1,1))*($D$13^1-$D$8^1)</f>
        <v>80762.500000000102</v>
      </c>
      <c r="G27" s="13">
        <f>'Acquisition Schedule'!F$20*(1-INDEX(Assumptions!$D$56:$F$56,1,1))*($D$13^2-$D$8^2)</f>
        <v>150521.10937500012</v>
      </c>
      <c r="H27" s="13">
        <f>'Acquisition Schedule'!F$20*(1-INDEX(Assumptions!$D$56:$F$56,1,1))*($D$13^3-$D$8^3)</f>
        <v>210559.32091796899</v>
      </c>
      <c r="I27" s="13">
        <f>'Acquisition Schedule'!F$20*(1-INDEX(Assumptions!$D$56:$F$56,1,1))*($D$13^4-$D$8^4)</f>
        <v>262015.15254909691</v>
      </c>
      <c r="J27" s="13">
        <f>'Acquisition Schedule'!F$20*(1-INDEX(Assumptions!$D$56:$F$56,1,1))*($D$13^5-$D$8^5)</f>
        <v>305897.53893490601</v>
      </c>
      <c r="K27" s="13">
        <f>'Acquisition Schedule'!F$20*(1-INDEX(Assumptions!$D$56:$F$56,1,1))*($D$13^6-$D$8^6)</f>
        <v>343100.87843993149</v>
      </c>
      <c r="L27" s="13">
        <f>'Acquisition Schedule'!F$20*(1-INDEX(Assumptions!$D$56:$F$56,1,1))*($D$13^7-$D$8^7)</f>
        <v>374417.94295055559</v>
      </c>
      <c r="M27" s="13">
        <f>'Acquisition Schedule'!F$20*(1-INDEX(Assumptions!$D$56:$F$56,1,1))*($D$13^8-$D$8^8)</f>
        <v>400551.33476202539</v>
      </c>
      <c r="N27" s="13">
        <f>'Acquisition Schedule'!F$20*(1-INDEX(Assumptions!$D$56:$F$56,1,1))*($D$13^9-$D$8^9)</f>
        <v>422123.65399786149</v>
      </c>
    </row>
    <row r="28" spans="1:14" ht="15" customHeight="1" x14ac:dyDescent="0.3">
      <c r="A28" s="6" t="s">
        <v>833</v>
      </c>
      <c r="B28" s="6" t="s">
        <v>218</v>
      </c>
      <c r="C28" s="6" t="s">
        <v>222</v>
      </c>
      <c r="D28" s="63">
        <f>0</f>
        <v>0</v>
      </c>
      <c r="E28" s="63">
        <f>0</f>
        <v>0</v>
      </c>
      <c r="F28" s="13">
        <f>'Acquisition Schedule'!G$20*(1-INDEX(Assumptions!$D$56:$F$56,1,1))*($D$13^0-$D$8^0)</f>
        <v>0</v>
      </c>
      <c r="G28" s="13">
        <f>'Acquisition Schedule'!G$20*(1-INDEX(Assumptions!$D$56:$F$56,1,1))*($D$13^1-$D$8^1)</f>
        <v>60571.875000000073</v>
      </c>
      <c r="H28" s="13">
        <f>'Acquisition Schedule'!G$20*(1-INDEX(Assumptions!$D$56:$F$56,1,1))*($D$13^2-$D$8^2)</f>
        <v>112890.8320312501</v>
      </c>
      <c r="I28" s="13">
        <f>'Acquisition Schedule'!G$20*(1-INDEX(Assumptions!$D$56:$F$56,1,1))*($D$13^3-$D$8^3)</f>
        <v>157919.49068847674</v>
      </c>
      <c r="J28" s="13">
        <f>'Acquisition Schedule'!G$20*(1-INDEX(Assumptions!$D$56:$F$56,1,1))*($D$13^4-$D$8^4)</f>
        <v>196511.36441182267</v>
      </c>
      <c r="K28" s="13">
        <f>'Acquisition Schedule'!G$20*(1-INDEX(Assumptions!$D$56:$F$56,1,1))*($D$13^5-$D$8^5)</f>
        <v>229423.15420117951</v>
      </c>
      <c r="L28" s="13">
        <f>'Acquisition Schedule'!G$20*(1-INDEX(Assumptions!$D$56:$F$56,1,1))*($D$13^6-$D$8^6)</f>
        <v>257325.6588299486</v>
      </c>
      <c r="M28" s="13">
        <f>'Acquisition Schedule'!G$20*(1-INDEX(Assumptions!$D$56:$F$56,1,1))*($D$13^7-$D$8^7)</f>
        <v>280813.45721291669</v>
      </c>
      <c r="N28" s="13">
        <f>'Acquisition Schedule'!G$20*(1-INDEX(Assumptions!$D$56:$F$56,1,1))*($D$13^8-$D$8^8)</f>
        <v>300413.50107151904</v>
      </c>
    </row>
    <row r="29" spans="1:14" ht="15" customHeight="1" x14ac:dyDescent="0.3">
      <c r="A29" s="6" t="s">
        <v>834</v>
      </c>
      <c r="B29" s="6" t="s">
        <v>218</v>
      </c>
      <c r="C29" s="6" t="s">
        <v>222</v>
      </c>
      <c r="D29" s="63">
        <f>0</f>
        <v>0</v>
      </c>
      <c r="E29" s="63">
        <f>0</f>
        <v>0</v>
      </c>
      <c r="F29" s="63">
        <f>0</f>
        <v>0</v>
      </c>
      <c r="G29" s="13">
        <f>'Acquisition Schedule'!H$20*(1-INDEX(Assumptions!$D$56:$F$56,1,1))*($D$13^0-$D$8^0)</f>
        <v>0</v>
      </c>
      <c r="H29" s="13">
        <f>'Acquisition Schedule'!H$20*(1-INDEX(Assumptions!$D$56:$F$56,1,1))*($D$13^1-$D$8^1)</f>
        <v>60571.875000000073</v>
      </c>
      <c r="I29" s="13">
        <f>'Acquisition Schedule'!H$20*(1-INDEX(Assumptions!$D$56:$F$56,1,1))*($D$13^2-$D$8^2)</f>
        <v>112890.8320312501</v>
      </c>
      <c r="J29" s="13">
        <f>'Acquisition Schedule'!H$20*(1-INDEX(Assumptions!$D$56:$F$56,1,1))*($D$13^3-$D$8^3)</f>
        <v>157919.49068847674</v>
      </c>
      <c r="K29" s="13">
        <f>'Acquisition Schedule'!H$20*(1-INDEX(Assumptions!$D$56:$F$56,1,1))*($D$13^4-$D$8^4)</f>
        <v>196511.36441182267</v>
      </c>
      <c r="L29" s="13">
        <f>'Acquisition Schedule'!H$20*(1-INDEX(Assumptions!$D$56:$F$56,1,1))*($D$13^5-$D$8^5)</f>
        <v>229423.15420117951</v>
      </c>
      <c r="M29" s="13">
        <f>'Acquisition Schedule'!H$20*(1-INDEX(Assumptions!$D$56:$F$56,1,1))*($D$13^6-$D$8^6)</f>
        <v>257325.6588299486</v>
      </c>
      <c r="N29" s="13">
        <f>'Acquisition Schedule'!H$20*(1-INDEX(Assumptions!$D$56:$F$56,1,1))*($D$13^7-$D$8^7)</f>
        <v>280813.45721291669</v>
      </c>
    </row>
    <row r="30" spans="1:14" ht="15" customHeight="1" x14ac:dyDescent="0.3">
      <c r="A30" s="6" t="s">
        <v>835</v>
      </c>
      <c r="B30" s="6" t="s">
        <v>218</v>
      </c>
      <c r="C30" s="6" t="s">
        <v>222</v>
      </c>
      <c r="D30" s="63">
        <f>0</f>
        <v>0</v>
      </c>
      <c r="E30" s="63">
        <f>0</f>
        <v>0</v>
      </c>
      <c r="F30" s="63">
        <f>0</f>
        <v>0</v>
      </c>
      <c r="G30" s="63">
        <f>0</f>
        <v>0</v>
      </c>
      <c r="H30" s="13">
        <f>'Acquisition Schedule'!I$20*(1-INDEX(Assumptions!$D$56:$F$56,1,1))*($D$13^0-$D$8^0)</f>
        <v>0</v>
      </c>
      <c r="I30" s="13">
        <f>'Acquisition Schedule'!I$20*(1-INDEX(Assumptions!$D$56:$F$56,1,1))*($D$13^1-$D$8^1)</f>
        <v>161525.0000000002</v>
      </c>
      <c r="J30" s="13">
        <f>'Acquisition Schedule'!I$20*(1-INDEX(Assumptions!$D$56:$F$56,1,1))*($D$13^2-$D$8^2)</f>
        <v>301042.21875000023</v>
      </c>
      <c r="K30" s="13">
        <f>'Acquisition Schedule'!I$20*(1-INDEX(Assumptions!$D$56:$F$56,1,1))*($D$13^3-$D$8^3)</f>
        <v>421118.64183593797</v>
      </c>
      <c r="L30" s="13">
        <f>'Acquisition Schedule'!I$20*(1-INDEX(Assumptions!$D$56:$F$56,1,1))*($D$13^4-$D$8^4)</f>
        <v>524030.30509819381</v>
      </c>
      <c r="M30" s="13">
        <f>'Acquisition Schedule'!I$20*(1-INDEX(Assumptions!$D$56:$F$56,1,1))*($D$13^5-$D$8^5)</f>
        <v>611795.07786981203</v>
      </c>
      <c r="N30" s="13">
        <f>'Acquisition Schedule'!I$20*(1-INDEX(Assumptions!$D$56:$F$56,1,1))*($D$13^6-$D$8^6)</f>
        <v>686201.75687986298</v>
      </c>
    </row>
    <row r="31" spans="1:14" ht="15" customHeight="1" x14ac:dyDescent="0.3">
      <c r="A31" s="6" t="s">
        <v>836</v>
      </c>
      <c r="B31" s="6" t="s">
        <v>218</v>
      </c>
      <c r="C31" s="6" t="s">
        <v>222</v>
      </c>
      <c r="D31" s="63">
        <f>0</f>
        <v>0</v>
      </c>
      <c r="E31" s="63">
        <f>0</f>
        <v>0</v>
      </c>
      <c r="F31" s="63">
        <f>0</f>
        <v>0</v>
      </c>
      <c r="G31" s="63">
        <f>0</f>
        <v>0</v>
      </c>
      <c r="H31" s="63">
        <f>0</f>
        <v>0</v>
      </c>
      <c r="I31" s="13">
        <f>'Acquisition Schedule'!J$20*(1-INDEX(Assumptions!$D$56:$F$56,1,1))*($D$13^0-$D$8^0)</f>
        <v>0</v>
      </c>
      <c r="J31" s="13">
        <f>'Acquisition Schedule'!J$20*(1-INDEX(Assumptions!$D$56:$F$56,1,1))*($D$13^1-$D$8^1)</f>
        <v>60571.875000000073</v>
      </c>
      <c r="K31" s="13">
        <f>'Acquisition Schedule'!J$20*(1-INDEX(Assumptions!$D$56:$F$56,1,1))*($D$13^2-$D$8^2)</f>
        <v>112890.8320312501</v>
      </c>
      <c r="L31" s="13">
        <f>'Acquisition Schedule'!J$20*(1-INDEX(Assumptions!$D$56:$F$56,1,1))*($D$13^3-$D$8^3)</f>
        <v>157919.49068847674</v>
      </c>
      <c r="M31" s="13">
        <f>'Acquisition Schedule'!J$20*(1-INDEX(Assumptions!$D$56:$F$56,1,1))*($D$13^4-$D$8^4)</f>
        <v>196511.36441182267</v>
      </c>
      <c r="N31" s="13">
        <f>'Acquisition Schedule'!J$20*(1-INDEX(Assumptions!$D$56:$F$56,1,1))*($D$13^5-$D$8^5)</f>
        <v>229423.15420117951</v>
      </c>
    </row>
    <row r="32" spans="1:14" ht="15" customHeight="1" x14ac:dyDescent="0.3">
      <c r="A32" s="6" t="s">
        <v>837</v>
      </c>
      <c r="B32" s="6" t="s">
        <v>218</v>
      </c>
      <c r="C32" s="6" t="s">
        <v>222</v>
      </c>
      <c r="D32" s="63">
        <f>0</f>
        <v>0</v>
      </c>
      <c r="E32" s="63">
        <f>0</f>
        <v>0</v>
      </c>
      <c r="F32" s="63">
        <f>0</f>
        <v>0</v>
      </c>
      <c r="G32" s="63">
        <f>0</f>
        <v>0</v>
      </c>
      <c r="H32" s="63">
        <f>0</f>
        <v>0</v>
      </c>
      <c r="I32" s="63">
        <f>0</f>
        <v>0</v>
      </c>
      <c r="J32" s="13">
        <f>'Acquisition Schedule'!K$20*(1-INDEX(Assumptions!$D$56:$F$56,1,1))*($D$13^0-$D$8^0)</f>
        <v>0</v>
      </c>
      <c r="K32" s="13">
        <f>'Acquisition Schedule'!K$20*(1-INDEX(Assumptions!$D$56:$F$56,1,1))*($D$13^1-$D$8^1)</f>
        <v>60571.875000000073</v>
      </c>
      <c r="L32" s="13">
        <f>'Acquisition Schedule'!K$20*(1-INDEX(Assumptions!$D$56:$F$56,1,1))*($D$13^2-$D$8^2)</f>
        <v>112890.8320312501</v>
      </c>
      <c r="M32" s="13">
        <f>'Acquisition Schedule'!K$20*(1-INDEX(Assumptions!$D$56:$F$56,1,1))*($D$13^3-$D$8^3)</f>
        <v>157919.49068847674</v>
      </c>
      <c r="N32" s="13">
        <f>'Acquisition Schedule'!K$20*(1-INDEX(Assumptions!$D$56:$F$56,1,1))*($D$13^4-$D$8^4)</f>
        <v>196511.36441182267</v>
      </c>
    </row>
    <row r="33" spans="1:14" ht="15" customHeight="1" x14ac:dyDescent="0.3">
      <c r="A33" s="6" t="s">
        <v>838</v>
      </c>
      <c r="B33" s="6" t="s">
        <v>218</v>
      </c>
      <c r="C33" s="6" t="s">
        <v>222</v>
      </c>
      <c r="D33" s="63">
        <f>0</f>
        <v>0</v>
      </c>
      <c r="E33" s="63">
        <f>0</f>
        <v>0</v>
      </c>
      <c r="F33" s="63">
        <f>0</f>
        <v>0</v>
      </c>
      <c r="G33" s="63">
        <f>0</f>
        <v>0</v>
      </c>
      <c r="H33" s="63">
        <f>0</f>
        <v>0</v>
      </c>
      <c r="I33" s="63">
        <f>0</f>
        <v>0</v>
      </c>
      <c r="J33" s="63">
        <f>0</f>
        <v>0</v>
      </c>
      <c r="K33" s="13">
        <f>'Acquisition Schedule'!L$20*(1-INDEX(Assumptions!$D$56:$F$56,1,1))*($D$13^0-$D$8^0)</f>
        <v>0</v>
      </c>
      <c r="L33" s="13">
        <f>'Acquisition Schedule'!L$20*(1-INDEX(Assumptions!$D$56:$F$56,1,1))*($D$13^1-$D$8^1)</f>
        <v>60571.875000000073</v>
      </c>
      <c r="M33" s="13">
        <f>'Acquisition Schedule'!L$20*(1-INDEX(Assumptions!$D$56:$F$56,1,1))*($D$13^2-$D$8^2)</f>
        <v>112890.8320312501</v>
      </c>
      <c r="N33" s="13">
        <f>'Acquisition Schedule'!L$20*(1-INDEX(Assumptions!$D$56:$F$56,1,1))*($D$13^3-$D$8^3)</f>
        <v>157919.49068847674</v>
      </c>
    </row>
    <row r="34" spans="1:14" ht="15" customHeight="1" x14ac:dyDescent="0.3">
      <c r="A34" s="6" t="s">
        <v>839</v>
      </c>
      <c r="B34" s="6" t="s">
        <v>218</v>
      </c>
      <c r="C34" s="6" t="s">
        <v>222</v>
      </c>
      <c r="D34" s="63">
        <f>0</f>
        <v>0</v>
      </c>
      <c r="E34" s="63">
        <f>0</f>
        <v>0</v>
      </c>
      <c r="F34" s="63">
        <f>0</f>
        <v>0</v>
      </c>
      <c r="G34" s="63">
        <f>0</f>
        <v>0</v>
      </c>
      <c r="H34" s="63">
        <f>0</f>
        <v>0</v>
      </c>
      <c r="I34" s="63">
        <f>0</f>
        <v>0</v>
      </c>
      <c r="J34" s="63">
        <f>0</f>
        <v>0</v>
      </c>
      <c r="K34" s="63">
        <f>0</f>
        <v>0</v>
      </c>
      <c r="L34" s="13">
        <f>'Acquisition Schedule'!M$20*(1-INDEX(Assumptions!$D$56:$F$56,1,1))*($D$13^0-$D$8^0)</f>
        <v>0</v>
      </c>
      <c r="M34" s="13">
        <f>'Acquisition Schedule'!M$20*(1-INDEX(Assumptions!$D$56:$F$56,1,1))*($D$13^1-$D$8^1)</f>
        <v>60571.875000000073</v>
      </c>
      <c r="N34" s="13">
        <f>'Acquisition Schedule'!M$20*(1-INDEX(Assumptions!$D$56:$F$56,1,1))*($D$13^2-$D$8^2)</f>
        <v>112890.8320312501</v>
      </c>
    </row>
    <row r="35" spans="1:14" ht="15" customHeight="1" x14ac:dyDescent="0.3">
      <c r="A35" s="6" t="s">
        <v>840</v>
      </c>
      <c r="B35" s="2"/>
      <c r="C35" s="2"/>
      <c r="D35" s="2"/>
      <c r="E35" s="2"/>
      <c r="F35" s="2"/>
      <c r="G35" s="2"/>
      <c r="H35" s="2"/>
      <c r="I35" s="2"/>
      <c r="J35" s="2"/>
      <c r="K35" s="2"/>
      <c r="L35" s="2"/>
      <c r="M35" s="2"/>
      <c r="N35" s="2"/>
    </row>
    <row r="36" spans="1:14" ht="15" customHeight="1" x14ac:dyDescent="0.3">
      <c r="A36" s="1" t="s">
        <v>841</v>
      </c>
      <c r="B36" s="6" t="s">
        <v>218</v>
      </c>
      <c r="C36" s="6" t="s">
        <v>211</v>
      </c>
      <c r="D36" s="61">
        <f t="shared" ref="D36:N36" si="0">SUM(D18:D25)</f>
        <v>910000</v>
      </c>
      <c r="E36" s="61">
        <f t="shared" si="0"/>
        <v>1251250</v>
      </c>
      <c r="F36" s="61">
        <f t="shared" si="0"/>
        <v>1831375</v>
      </c>
      <c r="G36" s="61">
        <f t="shared" si="0"/>
        <v>2914985.9375</v>
      </c>
      <c r="H36" s="61">
        <f t="shared" si="0"/>
        <v>3940675.01953125</v>
      </c>
      <c r="I36" s="61">
        <f t="shared" si="0"/>
        <v>4218239.7048339844</v>
      </c>
      <c r="J36" s="61">
        <f t="shared" si="0"/>
        <v>4464578.3630401613</v>
      </c>
      <c r="K36" s="61">
        <f t="shared" si="0"/>
        <v>4683203.9221981429</v>
      </c>
      <c r="L36" s="61">
        <f t="shared" si="0"/>
        <v>4535984.1059508519</v>
      </c>
      <c r="M36" s="61">
        <f t="shared" si="0"/>
        <v>4025685.8940313808</v>
      </c>
      <c r="N36" s="61">
        <f t="shared" si="0"/>
        <v>3572796.2309528505</v>
      </c>
    </row>
    <row r="37" spans="1:14" ht="15" customHeight="1" x14ac:dyDescent="0.3">
      <c r="A37" s="6" t="s">
        <v>842</v>
      </c>
      <c r="B37" s="6" t="s">
        <v>210</v>
      </c>
      <c r="C37" s="6" t="s">
        <v>211</v>
      </c>
      <c r="D37" s="13">
        <f>D36/INDEX(Assumptions!$D$32:$F$32,1,1)</f>
        <v>7109.375</v>
      </c>
      <c r="E37" s="13">
        <f>E36/INDEX(Assumptions!$D$32:$F$32,1,1)</f>
        <v>9775.390625</v>
      </c>
      <c r="F37" s="13">
        <f>F36/INDEX(Assumptions!$D$32:$F$32,1,1)</f>
        <v>14307.6171875</v>
      </c>
      <c r="G37" s="13">
        <f>G36/INDEX(Assumptions!$D$32:$F$32,1,1)</f>
        <v>22773.32763671875</v>
      </c>
      <c r="H37" s="13">
        <f>H36/INDEX(Assumptions!$D$32:$F$32,1,1)</f>
        <v>30786.523590087891</v>
      </c>
      <c r="I37" s="13">
        <f>I36/INDEX(Assumptions!$D$32:$F$32,1,1)</f>
        <v>32954.997694015503</v>
      </c>
      <c r="J37" s="13">
        <f>J36/INDEX(Assumptions!$D$32:$F$32,1,1)</f>
        <v>34879.51846125126</v>
      </c>
      <c r="K37" s="13">
        <f>K36/INDEX(Assumptions!$D$32:$F$32,1,1)</f>
        <v>36587.530642172991</v>
      </c>
      <c r="L37" s="13">
        <f>L36/INDEX(Assumptions!$D$32:$F$32,1,1)</f>
        <v>35437.375827741031</v>
      </c>
      <c r="M37" s="13">
        <f>M36/INDEX(Assumptions!$D$32:$F$32,1,1)</f>
        <v>31450.671047120162</v>
      </c>
      <c r="N37" s="13">
        <f>N36/INDEX(Assumptions!$D$32:$F$32,1,1)</f>
        <v>27912.470554319145</v>
      </c>
    </row>
    <row r="38" spans="1:14" ht="15" customHeight="1" x14ac:dyDescent="0.3">
      <c r="A38" s="6" t="s">
        <v>843</v>
      </c>
      <c r="B38" s="6" t="s">
        <v>218</v>
      </c>
      <c r="C38" s="6" t="s">
        <v>222</v>
      </c>
      <c r="D38" s="63">
        <f t="shared" ref="D38:N38" si="1">SUM(D27:D34)</f>
        <v>0</v>
      </c>
      <c r="E38" s="63">
        <f t="shared" si="1"/>
        <v>0</v>
      </c>
      <c r="F38" s="63">
        <f t="shared" si="1"/>
        <v>80762.500000000102</v>
      </c>
      <c r="G38" s="63">
        <f t="shared" si="1"/>
        <v>211092.98437500017</v>
      </c>
      <c r="H38" s="63">
        <f t="shared" si="1"/>
        <v>384022.02794921916</v>
      </c>
      <c r="I38" s="63">
        <f t="shared" si="1"/>
        <v>694350.47526882403</v>
      </c>
      <c r="J38" s="63">
        <f t="shared" si="1"/>
        <v>1021942.4877852057</v>
      </c>
      <c r="K38" s="63">
        <f t="shared" si="1"/>
        <v>1363616.7459201217</v>
      </c>
      <c r="L38" s="63">
        <f t="shared" si="1"/>
        <v>1716579.2587996041</v>
      </c>
      <c r="M38" s="63">
        <f t="shared" si="1"/>
        <v>2078379.0908062521</v>
      </c>
      <c r="N38" s="63">
        <f t="shared" si="1"/>
        <v>2386297.2104948889</v>
      </c>
    </row>
    <row r="39" spans="1:14" ht="15" customHeight="1" x14ac:dyDescent="0.3">
      <c r="A39" s="6" t="s">
        <v>844</v>
      </c>
      <c r="B39" s="6" t="s">
        <v>210</v>
      </c>
      <c r="C39" s="6" t="s">
        <v>222</v>
      </c>
      <c r="D39" s="13">
        <f>D38/INDEX(Assumptions!$D$32:$F$32,1,1)</f>
        <v>0</v>
      </c>
      <c r="E39" s="13">
        <f>E38/INDEX(Assumptions!$D$32:$F$32,1,1)</f>
        <v>0</v>
      </c>
      <c r="F39" s="13">
        <f>F38/INDEX(Assumptions!$D$32:$F$32,1,1)</f>
        <v>630.9570312500008</v>
      </c>
      <c r="G39" s="13">
        <f>G38/INDEX(Assumptions!$D$32:$F$32,1,1)</f>
        <v>1649.1639404296889</v>
      </c>
      <c r="H39" s="13">
        <f>H38/INDEX(Assumptions!$D$32:$F$32,1,1)</f>
        <v>3000.1720933532747</v>
      </c>
      <c r="I39" s="13">
        <f>I38/INDEX(Assumptions!$D$32:$F$32,1,1)</f>
        <v>5424.6130880376877</v>
      </c>
      <c r="J39" s="13">
        <f>J38/INDEX(Assumptions!$D$32:$F$32,1,1)</f>
        <v>7983.9256858219196</v>
      </c>
      <c r="K39" s="13">
        <f>K38/INDEX(Assumptions!$D$32:$F$32,1,1)</f>
        <v>10653.255827500951</v>
      </c>
      <c r="L39" s="13">
        <f>L38/INDEX(Assumptions!$D$32:$F$32,1,1)</f>
        <v>13410.775459371907</v>
      </c>
      <c r="M39" s="13">
        <f>M38/INDEX(Assumptions!$D$32:$F$32,1,1)</f>
        <v>16237.336646923844</v>
      </c>
      <c r="N39" s="13">
        <f>N38/INDEX(Assumptions!$D$32:$F$32,1,1)</f>
        <v>18642.94695699132</v>
      </c>
    </row>
    <row r="40" spans="1:14" ht="15" customHeight="1" x14ac:dyDescent="0.3">
      <c r="A40" s="6" t="s">
        <v>845</v>
      </c>
      <c r="B40" s="6" t="s">
        <v>210</v>
      </c>
      <c r="C40" s="6" t="s">
        <v>211</v>
      </c>
      <c r="D40" s="63">
        <f t="shared" ref="D40:N40" si="2">D37+D39</f>
        <v>7109.375</v>
      </c>
      <c r="E40" s="63">
        <f t="shared" si="2"/>
        <v>9775.390625</v>
      </c>
      <c r="F40" s="63">
        <f t="shared" si="2"/>
        <v>14938.57421875</v>
      </c>
      <c r="G40" s="63">
        <f t="shared" si="2"/>
        <v>24422.491577148438</v>
      </c>
      <c r="H40" s="63">
        <f t="shared" si="2"/>
        <v>33786.695683441169</v>
      </c>
      <c r="I40" s="63">
        <f t="shared" si="2"/>
        <v>38379.610782053191</v>
      </c>
      <c r="J40" s="63">
        <f t="shared" si="2"/>
        <v>42863.444147073184</v>
      </c>
      <c r="K40" s="63">
        <f t="shared" si="2"/>
        <v>47240.786469673942</v>
      </c>
      <c r="L40" s="63">
        <f t="shared" si="2"/>
        <v>48848.151287112938</v>
      </c>
      <c r="M40" s="63">
        <f t="shared" si="2"/>
        <v>47688.007694044005</v>
      </c>
      <c r="N40" s="63">
        <f t="shared" si="2"/>
        <v>46555.417511310465</v>
      </c>
    </row>
    <row r="41" spans="1:14" ht="15" customHeight="1" x14ac:dyDescent="0.3">
      <c r="A41" s="6" t="s">
        <v>846</v>
      </c>
      <c r="B41" s="6" t="s">
        <v>210</v>
      </c>
      <c r="C41" s="6" t="s">
        <v>245</v>
      </c>
      <c r="D41" s="13">
        <f>MAX(0,INDEX(Assumptions!$D$16:$F$16,1,1)-D37)</f>
        <v>42890.625</v>
      </c>
      <c r="E41" s="13">
        <f>MAX(0,INDEX(Assumptions!$D$16:$F$16,1,1)-E37)</f>
        <v>40224.609375</v>
      </c>
      <c r="F41" s="13">
        <f>MAX(0,INDEX(Assumptions!$D$16:$F$16,1,1)-F37)</f>
        <v>35692.3828125</v>
      </c>
      <c r="G41" s="13">
        <f>MAX(0,INDEX(Assumptions!$D$16:$F$16,1,1)-G37)</f>
        <v>27226.67236328125</v>
      </c>
      <c r="H41" s="13">
        <f>MAX(0,INDEX(Assumptions!$D$16:$F$16,1,1)-H37)</f>
        <v>19213.476409912109</v>
      </c>
      <c r="I41" s="13">
        <f>MAX(0,INDEX(Assumptions!$D$16:$F$16,1,1)-I37)</f>
        <v>17045.002305984497</v>
      </c>
      <c r="J41" s="13">
        <f>MAX(0,INDEX(Assumptions!$D$16:$F$16,1,1)-J37)</f>
        <v>15120.48153874874</v>
      </c>
      <c r="K41" s="13">
        <f>MAX(0,INDEX(Assumptions!$D$16:$F$16,1,1)-K37)</f>
        <v>13412.469357827009</v>
      </c>
      <c r="L41" s="13">
        <f>MAX(0,INDEX(Assumptions!$D$16:$F$16,1,1)-L37)</f>
        <v>14562.624172258969</v>
      </c>
      <c r="M41" s="13">
        <f>MAX(0,INDEX(Assumptions!$D$16:$F$16,1,1)-M37)</f>
        <v>18549.328952879838</v>
      </c>
      <c r="N41" s="13">
        <f>MAX(0,INDEX(Assumptions!$D$16:$F$16,1,1)-N37)</f>
        <v>22087.529445680855</v>
      </c>
    </row>
    <row r="42" spans="1:14" ht="15" customHeight="1" x14ac:dyDescent="0.3">
      <c r="A42" s="6" t="s">
        <v>847</v>
      </c>
      <c r="B42" s="2"/>
      <c r="C42" s="2"/>
      <c r="D42" s="2"/>
      <c r="E42" s="2"/>
      <c r="F42" s="2"/>
      <c r="G42" s="2"/>
      <c r="H42" s="2"/>
      <c r="I42" s="2"/>
      <c r="J42" s="2"/>
      <c r="K42" s="2"/>
      <c r="L42" s="2"/>
      <c r="M42" s="2"/>
      <c r="N42" s="2"/>
    </row>
    <row r="43" spans="1:14" ht="15" customHeight="1" x14ac:dyDescent="0.3">
      <c r="A43" s="6" t="s">
        <v>848</v>
      </c>
      <c r="B43" s="6" t="s">
        <v>210</v>
      </c>
      <c r="C43" s="6" t="s">
        <v>222</v>
      </c>
      <c r="D43" s="63">
        <f t="shared" ref="D43:N43" si="3">MIN(D39,D41)</f>
        <v>0</v>
      </c>
      <c r="E43" s="63">
        <f t="shared" si="3"/>
        <v>0</v>
      </c>
      <c r="F43" s="63">
        <f t="shared" si="3"/>
        <v>630.9570312500008</v>
      </c>
      <c r="G43" s="63">
        <f t="shared" si="3"/>
        <v>1649.1639404296889</v>
      </c>
      <c r="H43" s="63">
        <f t="shared" si="3"/>
        <v>3000.1720933532747</v>
      </c>
      <c r="I43" s="63">
        <f t="shared" si="3"/>
        <v>5424.6130880376877</v>
      </c>
      <c r="J43" s="63">
        <f t="shared" si="3"/>
        <v>7983.9256858219196</v>
      </c>
      <c r="K43" s="63">
        <f t="shared" si="3"/>
        <v>10653.255827500951</v>
      </c>
      <c r="L43" s="63">
        <f t="shared" si="3"/>
        <v>13410.775459371907</v>
      </c>
      <c r="M43" s="63">
        <f t="shared" si="3"/>
        <v>16237.336646923844</v>
      </c>
      <c r="N43" s="63">
        <f t="shared" si="3"/>
        <v>18642.94695699132</v>
      </c>
    </row>
    <row r="44" spans="1:14" ht="15" customHeight="1" x14ac:dyDescent="0.3">
      <c r="A44" s="1" t="s">
        <v>849</v>
      </c>
      <c r="B44" s="6" t="s">
        <v>210</v>
      </c>
      <c r="C44" s="6" t="s">
        <v>245</v>
      </c>
      <c r="D44" s="66">
        <f t="shared" ref="D44:N44" si="4">D39-D43</f>
        <v>0</v>
      </c>
      <c r="E44" s="66">
        <f t="shared" si="4"/>
        <v>0</v>
      </c>
      <c r="F44" s="66">
        <f t="shared" si="4"/>
        <v>0</v>
      </c>
      <c r="G44" s="66">
        <f t="shared" si="4"/>
        <v>0</v>
      </c>
      <c r="H44" s="66">
        <f t="shared" si="4"/>
        <v>0</v>
      </c>
      <c r="I44" s="66">
        <f t="shared" si="4"/>
        <v>0</v>
      </c>
      <c r="J44" s="66">
        <f t="shared" si="4"/>
        <v>0</v>
      </c>
      <c r="K44" s="66">
        <f t="shared" si="4"/>
        <v>0</v>
      </c>
      <c r="L44" s="66">
        <f t="shared" si="4"/>
        <v>0</v>
      </c>
      <c r="M44" s="66">
        <f t="shared" si="4"/>
        <v>0</v>
      </c>
      <c r="N44" s="66">
        <f t="shared" si="4"/>
        <v>0</v>
      </c>
    </row>
    <row r="45" spans="1:14" ht="15" customHeight="1" x14ac:dyDescent="0.3">
      <c r="A45" s="6" t="s">
        <v>850</v>
      </c>
      <c r="B45" s="6" t="s">
        <v>265</v>
      </c>
      <c r="C45" s="6" t="s">
        <v>245</v>
      </c>
      <c r="D45" s="65">
        <f t="shared" ref="D45:N45" si="5">IF(D39&lt;=0,1,D43/D39)</f>
        <v>1</v>
      </c>
      <c r="E45" s="65">
        <f t="shared" si="5"/>
        <v>1</v>
      </c>
      <c r="F45" s="65">
        <f t="shared" si="5"/>
        <v>1</v>
      </c>
      <c r="G45" s="65">
        <f t="shared" si="5"/>
        <v>1</v>
      </c>
      <c r="H45" s="65">
        <f t="shared" si="5"/>
        <v>1</v>
      </c>
      <c r="I45" s="65">
        <f t="shared" si="5"/>
        <v>1</v>
      </c>
      <c r="J45" s="65">
        <f t="shared" si="5"/>
        <v>1</v>
      </c>
      <c r="K45" s="65">
        <f t="shared" si="5"/>
        <v>1</v>
      </c>
      <c r="L45" s="65">
        <f t="shared" si="5"/>
        <v>1</v>
      </c>
      <c r="M45" s="65">
        <f t="shared" si="5"/>
        <v>1</v>
      </c>
      <c r="N45" s="65">
        <f t="shared" si="5"/>
        <v>1</v>
      </c>
    </row>
    <row r="46" spans="1:14" ht="15" customHeight="1" x14ac:dyDescent="0.3">
      <c r="A46" s="1" t="s">
        <v>851</v>
      </c>
      <c r="B46" s="6" t="s">
        <v>218</v>
      </c>
      <c r="C46" s="6" t="s">
        <v>222</v>
      </c>
      <c r="D46" s="26">
        <f>D43*INDEX(Assumptions!$D$32:$F$32,1,1)</f>
        <v>0</v>
      </c>
      <c r="E46" s="26">
        <f>E43*INDEX(Assumptions!$D$32:$F$32,1,1)</f>
        <v>0</v>
      </c>
      <c r="F46" s="26">
        <f>F43*INDEX(Assumptions!$D$32:$F$32,1,1)</f>
        <v>80762.500000000102</v>
      </c>
      <c r="G46" s="26">
        <f>G43*INDEX(Assumptions!$D$32:$F$32,1,1)</f>
        <v>211092.98437500017</v>
      </c>
      <c r="H46" s="26">
        <f>H43*INDEX(Assumptions!$D$32:$F$32,1,1)</f>
        <v>384022.02794921916</v>
      </c>
      <c r="I46" s="26">
        <f>I43*INDEX(Assumptions!$D$32:$F$32,1,1)</f>
        <v>694350.47526882403</v>
      </c>
      <c r="J46" s="26">
        <f>J43*INDEX(Assumptions!$D$32:$F$32,1,1)</f>
        <v>1021942.4877852057</v>
      </c>
      <c r="K46" s="26">
        <f>K43*INDEX(Assumptions!$D$32:$F$32,1,1)</f>
        <v>1363616.7459201217</v>
      </c>
      <c r="L46" s="26">
        <f>L43*INDEX(Assumptions!$D$32:$F$32,1,1)</f>
        <v>1716579.2587996041</v>
      </c>
      <c r="M46" s="26">
        <f>M43*INDEX(Assumptions!$D$32:$F$32,1,1)</f>
        <v>2078379.0908062521</v>
      </c>
      <c r="N46" s="26">
        <f>N43*INDEX(Assumptions!$D$32:$F$32,1,1)</f>
        <v>2386297.2104948889</v>
      </c>
    </row>
    <row r="47" spans="1:14" ht="15" customHeight="1" x14ac:dyDescent="0.3">
      <c r="A47" s="6" t="s">
        <v>852</v>
      </c>
      <c r="B47" s="6" t="s">
        <v>218</v>
      </c>
      <c r="C47" s="6" t="s">
        <v>211</v>
      </c>
      <c r="D47" s="63">
        <f t="shared" ref="D47:N47" si="6">D36+D46</f>
        <v>910000</v>
      </c>
      <c r="E47" s="63">
        <f t="shared" si="6"/>
        <v>1251250</v>
      </c>
      <c r="F47" s="63">
        <f t="shared" si="6"/>
        <v>1912137.5</v>
      </c>
      <c r="G47" s="63">
        <f t="shared" si="6"/>
        <v>3126078.921875</v>
      </c>
      <c r="H47" s="63">
        <f t="shared" si="6"/>
        <v>4324697.0474804696</v>
      </c>
      <c r="I47" s="63">
        <f t="shared" si="6"/>
        <v>4912590.1801028084</v>
      </c>
      <c r="J47" s="63">
        <f t="shared" si="6"/>
        <v>5486520.8508253675</v>
      </c>
      <c r="K47" s="63">
        <f t="shared" si="6"/>
        <v>6046820.6681182645</v>
      </c>
      <c r="L47" s="63">
        <f t="shared" si="6"/>
        <v>6252563.3647504561</v>
      </c>
      <c r="M47" s="63">
        <f t="shared" si="6"/>
        <v>6104064.9848376326</v>
      </c>
      <c r="N47" s="63">
        <f t="shared" si="6"/>
        <v>5959093.4414477395</v>
      </c>
    </row>
    <row r="48" spans="1:14" ht="15" customHeight="1" x14ac:dyDescent="0.3">
      <c r="A48" s="6" t="s">
        <v>853</v>
      </c>
      <c r="B48" s="6" t="s">
        <v>267</v>
      </c>
      <c r="C48" s="6" t="s">
        <v>211</v>
      </c>
      <c r="D48" s="19">
        <f>IF(('Acquisition Schedule'!F$20)=0,0,D36/('Acquisition Schedule'!F$20))</f>
        <v>0.91</v>
      </c>
      <c r="E48" s="19">
        <f>IF(('Acquisition Schedule'!F$20+'Acquisition Schedule'!G$20)=0,0,E36/('Acquisition Schedule'!F$20+'Acquisition Schedule'!G$20))</f>
        <v>0.71499999999999997</v>
      </c>
      <c r="F48" s="19">
        <f>IF(('Acquisition Schedule'!F$20+'Acquisition Schedule'!G$20+'Acquisition Schedule'!H$20)=0,0,F36/('Acquisition Schedule'!F$20+'Acquisition Schedule'!G$20+'Acquisition Schedule'!H$20))</f>
        <v>0.73255000000000003</v>
      </c>
      <c r="G48" s="19">
        <f>IF(('Acquisition Schedule'!F$20+'Acquisition Schedule'!G$20+'Acquisition Schedule'!H$20+'Acquisition Schedule'!I$20)=0,0,G36/('Acquisition Schedule'!F$20+'Acquisition Schedule'!G$20+'Acquisition Schedule'!H$20+'Acquisition Schedule'!I$20))</f>
        <v>0.64777465277777779</v>
      </c>
      <c r="H48" s="19">
        <f>IF(('Acquisition Schedule'!F$20+'Acquisition Schedule'!G$20+'Acquisition Schedule'!H$20+'Acquisition Schedule'!I$20+'Acquisition Schedule'!J$20)=0,0,H36/('Acquisition Schedule'!F$20+'Acquisition Schedule'!G$20+'Acquisition Schedule'!H$20+'Acquisition Schedule'!I$20+'Acquisition Schedule'!J$20))</f>
        <v>0.750604765625</v>
      </c>
      <c r="I48" s="19">
        <f>IF(('Acquisition Schedule'!F$20+'Acquisition Schedule'!G$20+'Acquisition Schedule'!H$20+'Acquisition Schedule'!I$20+'Acquisition Schedule'!J$20+'Acquisition Schedule'!K$20)=0,0,I36/('Acquisition Schedule'!F$20+'Acquisition Schedule'!G$20+'Acquisition Schedule'!H$20+'Acquisition Schedule'!I$20+'Acquisition Schedule'!J$20+'Acquisition Schedule'!K$20))</f>
        <v>0.70303995080566406</v>
      </c>
      <c r="J48" s="19">
        <f>IF(('Acquisition Schedule'!F$20+'Acquisition Schedule'!G$20+'Acquisition Schedule'!H$20+'Acquisition Schedule'!I$20+'Acquisition Schedule'!J$20+'Acquisition Schedule'!K$20+'Acquisition Schedule'!L$20)=0,0,J36/('Acquisition Schedule'!F$20+'Acquisition Schedule'!G$20+'Acquisition Schedule'!H$20+'Acquisition Schedule'!I$20+'Acquisition Schedule'!J$20+'Acquisition Schedule'!K$20+'Acquisition Schedule'!L$20))</f>
        <v>0.66141901674669057</v>
      </c>
      <c r="K48" s="19">
        <f>IF(('Acquisition Schedule'!F$20+'Acquisition Schedule'!G$20+'Acquisition Schedule'!H$20+'Acquisition Schedule'!I$20+'Acquisition Schedule'!J$20+'Acquisition Schedule'!K$20+'Acquisition Schedule'!L$20+'Acquisition Schedule'!M$20)=0,0,K36/('Acquisition Schedule'!F$20+'Acquisition Schedule'!G$20+'Acquisition Schedule'!H$20+'Acquisition Schedule'!I$20+'Acquisition Schedule'!J$20+'Acquisition Schedule'!K$20+'Acquisition Schedule'!L$20+'Acquisition Schedule'!M$20))</f>
        <v>0.62442718962641908</v>
      </c>
      <c r="L48" s="19">
        <f>IF(('Acquisition Schedule'!F$20+'Acquisition Schedule'!G$20+'Acquisition Schedule'!H$20+'Acquisition Schedule'!I$20+'Acquisition Schedule'!J$20+'Acquisition Schedule'!K$20+'Acquisition Schedule'!L$20+'Acquisition Schedule'!M$20+'Acquisition Schedule'!N$20)=0,0,L36/('Acquisition Schedule'!F$20+'Acquisition Schedule'!G$20+'Acquisition Schedule'!H$20+'Acquisition Schedule'!I$20+'Acquisition Schedule'!J$20+'Acquisition Schedule'!K$20+'Acquisition Schedule'!L$20+'Acquisition Schedule'!M$20+'Acquisition Schedule'!N$20))</f>
        <v>0.60479788079344687</v>
      </c>
      <c r="M48" s="19">
        <f>IF(('Acquisition Schedule'!F$20+'Acquisition Schedule'!G$20+'Acquisition Schedule'!H$20+'Acquisition Schedule'!I$20+'Acquisition Schedule'!J$20+'Acquisition Schedule'!K$20+'Acquisition Schedule'!L$20+'Acquisition Schedule'!M$20+'Acquisition Schedule'!N$20+'Acquisition Schedule'!O$20)=0,0,M36/('Acquisition Schedule'!F$20+'Acquisition Schedule'!G$20+'Acquisition Schedule'!H$20+'Acquisition Schedule'!I$20+'Acquisition Schedule'!J$20+'Acquisition Schedule'!K$20+'Acquisition Schedule'!L$20+'Acquisition Schedule'!M$20+'Acquisition Schedule'!N$20+'Acquisition Schedule'!O$20))</f>
        <v>0.53675811920418415</v>
      </c>
      <c r="N48" s="19">
        <f>IF(('Acquisition Schedule'!F$20+'Acquisition Schedule'!G$20+'Acquisition Schedule'!H$20+'Acquisition Schedule'!I$20+'Acquisition Schedule'!J$20+'Acquisition Schedule'!K$20+'Acquisition Schedule'!L$20+'Acquisition Schedule'!M$20+'Acquisition Schedule'!N$20+'Acquisition Schedule'!O$20+'Acquisition Schedule'!P$20)=0,0,N36/('Acquisition Schedule'!F$20+'Acquisition Schedule'!G$20+'Acquisition Schedule'!H$20+'Acquisition Schedule'!I$20+'Acquisition Schedule'!J$20+'Acquisition Schedule'!K$20+'Acquisition Schedule'!L$20+'Acquisition Schedule'!M$20+'Acquisition Schedule'!N$20+'Acquisition Schedule'!O$20+'Acquisition Schedule'!P$20))</f>
        <v>0.4763728307937134</v>
      </c>
    </row>
    <row r="49" spans="1:14" ht="15" customHeight="1" x14ac:dyDescent="0.3">
      <c r="A49" s="1" t="s">
        <v>854</v>
      </c>
      <c r="B49" s="6" t="s">
        <v>210</v>
      </c>
      <c r="C49" s="6" t="s">
        <v>211</v>
      </c>
      <c r="D49" s="61">
        <f t="shared" ref="D49:N49" si="7">D37+D43</f>
        <v>7109.375</v>
      </c>
      <c r="E49" s="61">
        <f t="shared" si="7"/>
        <v>9775.390625</v>
      </c>
      <c r="F49" s="61">
        <f t="shared" si="7"/>
        <v>14938.57421875</v>
      </c>
      <c r="G49" s="61">
        <f t="shared" si="7"/>
        <v>24422.491577148438</v>
      </c>
      <c r="H49" s="61">
        <f t="shared" si="7"/>
        <v>33786.695683441169</v>
      </c>
      <c r="I49" s="61">
        <f t="shared" si="7"/>
        <v>38379.610782053191</v>
      </c>
      <c r="J49" s="61">
        <f t="shared" si="7"/>
        <v>42863.444147073184</v>
      </c>
      <c r="K49" s="61">
        <f t="shared" si="7"/>
        <v>47240.786469673942</v>
      </c>
      <c r="L49" s="61">
        <f t="shared" si="7"/>
        <v>48848.151287112938</v>
      </c>
      <c r="M49" s="61">
        <f t="shared" si="7"/>
        <v>47688.007694044005</v>
      </c>
      <c r="N49" s="61">
        <f t="shared" si="7"/>
        <v>46555.417511310465</v>
      </c>
    </row>
    <row r="50" spans="1:14" ht="15" customHeight="1" x14ac:dyDescent="0.3">
      <c r="A50" s="6" t="s">
        <v>855</v>
      </c>
      <c r="B50" s="6" t="s">
        <v>210</v>
      </c>
      <c r="C50" s="6" t="s">
        <v>211</v>
      </c>
      <c r="D50" s="63">
        <f>0</f>
        <v>0</v>
      </c>
      <c r="E50" s="63">
        <f t="shared" ref="E50:N50" si="8">D49</f>
        <v>7109.375</v>
      </c>
      <c r="F50" s="63">
        <f t="shared" si="8"/>
        <v>9775.390625</v>
      </c>
      <c r="G50" s="63">
        <f t="shared" si="8"/>
        <v>14938.57421875</v>
      </c>
      <c r="H50" s="63">
        <f t="shared" si="8"/>
        <v>24422.491577148438</v>
      </c>
      <c r="I50" s="63">
        <f t="shared" si="8"/>
        <v>33786.695683441169</v>
      </c>
      <c r="J50" s="63">
        <f t="shared" si="8"/>
        <v>38379.610782053191</v>
      </c>
      <c r="K50" s="63">
        <f t="shared" si="8"/>
        <v>42863.444147073184</v>
      </c>
      <c r="L50" s="63">
        <f t="shared" si="8"/>
        <v>47240.786469673942</v>
      </c>
      <c r="M50" s="63">
        <f t="shared" si="8"/>
        <v>48848.151287112938</v>
      </c>
      <c r="N50" s="63">
        <f t="shared" si="8"/>
        <v>47688.007694044005</v>
      </c>
    </row>
    <row r="51" spans="1:14" ht="15" customHeight="1" x14ac:dyDescent="0.3">
      <c r="A51" s="6" t="s">
        <v>856</v>
      </c>
      <c r="B51" s="6" t="s">
        <v>210</v>
      </c>
      <c r="C51" s="6" t="s">
        <v>211</v>
      </c>
      <c r="D51" s="13">
        <f>'Acquisition Schedule'!F$22*(1-INDEX(Assumptions!$D$56:$F$56,1,1))</f>
        <v>7109.375</v>
      </c>
      <c r="E51" s="13">
        <f>'Acquisition Schedule'!G$22*(1-INDEX(Assumptions!$D$56:$F$56,1,1))*INDEX(Assumptions!$D$20:$F$20,1,1)</f>
        <v>2666.015625</v>
      </c>
      <c r="F51" s="13">
        <f>'Acquisition Schedule'!H$22*(1-INDEX(Assumptions!$D$56:$F$56,1,1))*INDEX(Assumptions!$D$20:$F$20,1,1)</f>
        <v>2666.015625</v>
      </c>
      <c r="G51" s="13">
        <f>'Acquisition Schedule'!I$22*(1-INDEX(Assumptions!$D$56:$F$56,1,1))*INDEX(Assumptions!$D$20:$F$20,1,1)</f>
        <v>7109.375</v>
      </c>
      <c r="H51" s="13">
        <f>'Acquisition Schedule'!J$22*(1-INDEX(Assumptions!$D$56:$F$56,1,1))*INDEX(Assumptions!$D$20:$F$20,1,1)</f>
        <v>2666.015625</v>
      </c>
      <c r="I51" s="13">
        <f>'Acquisition Schedule'!K$22*(1-INDEX(Assumptions!$D$56:$F$56,1,1))*INDEX(Assumptions!$D$20:$F$20,1,1)</f>
        <v>2666.015625</v>
      </c>
      <c r="J51" s="13">
        <f>'Acquisition Schedule'!L$22*(1-INDEX(Assumptions!$D$56:$F$56,1,1))*INDEX(Assumptions!$D$20:$F$20,1,1)</f>
        <v>2666.015625</v>
      </c>
      <c r="K51" s="13">
        <f>'Acquisition Schedule'!M$22*(1-INDEX(Assumptions!$D$56:$F$56,1,1))*INDEX(Assumptions!$D$20:$F$20,1,1)</f>
        <v>2666.015625</v>
      </c>
      <c r="L51" s="13">
        <f>'Acquisition Schedule'!N$22*(1-INDEX(Assumptions!$D$56:$F$56,1,1))*INDEX(Assumptions!$D$20:$F$20,1,1)</f>
        <v>0</v>
      </c>
      <c r="M51" s="13">
        <f>'Acquisition Schedule'!O$22*(1-INDEX(Assumptions!$D$56:$F$56,1,1))*INDEX(Assumptions!$D$20:$F$20,1,1)</f>
        <v>0</v>
      </c>
      <c r="N51" s="13">
        <f>'Acquisition Schedule'!P$22*(1-INDEX(Assumptions!$D$56:$F$56,1,1))*INDEX(Assumptions!$D$20:$F$20,1,1)</f>
        <v>0</v>
      </c>
    </row>
    <row r="52" spans="1:14" ht="15" customHeight="1" x14ac:dyDescent="0.3">
      <c r="A52" s="6" t="s">
        <v>857</v>
      </c>
      <c r="B52" s="6" t="s">
        <v>210</v>
      </c>
      <c r="C52" s="6" t="s">
        <v>211</v>
      </c>
      <c r="D52" s="63">
        <f t="shared" ref="D52:N52" si="9">-D50*$D$9</f>
        <v>0</v>
      </c>
      <c r="E52" s="63">
        <f t="shared" si="9"/>
        <v>-799.80468750000034</v>
      </c>
      <c r="F52" s="63">
        <f t="shared" si="9"/>
        <v>-1099.7314453125005</v>
      </c>
      <c r="G52" s="63">
        <f t="shared" si="9"/>
        <v>-1680.5895996093757</v>
      </c>
      <c r="H52" s="63">
        <f t="shared" si="9"/>
        <v>-2747.5303024292002</v>
      </c>
      <c r="I52" s="63">
        <f t="shared" si="9"/>
        <v>-3801.0032643871327</v>
      </c>
      <c r="J52" s="63">
        <f t="shared" si="9"/>
        <v>-4317.7062129809856</v>
      </c>
      <c r="K52" s="63">
        <f t="shared" si="9"/>
        <v>-4822.1374665457352</v>
      </c>
      <c r="L52" s="63">
        <f t="shared" si="9"/>
        <v>-5314.5884778383206</v>
      </c>
      <c r="M52" s="63">
        <f t="shared" si="9"/>
        <v>-5495.4170198002075</v>
      </c>
      <c r="N52" s="63">
        <f t="shared" si="9"/>
        <v>-5364.9008655799526</v>
      </c>
    </row>
    <row r="53" spans="1:14" ht="15" customHeight="1" x14ac:dyDescent="0.3">
      <c r="A53" s="6" t="s">
        <v>858</v>
      </c>
      <c r="B53" s="6" t="s">
        <v>210</v>
      </c>
      <c r="C53" s="6" t="s">
        <v>211</v>
      </c>
      <c r="D53" s="63">
        <f t="shared" ref="D53:N53" si="10">D50*$D$8*$D$10</f>
        <v>0</v>
      </c>
      <c r="E53" s="63">
        <f t="shared" si="10"/>
        <v>504.765625</v>
      </c>
      <c r="F53" s="63">
        <f t="shared" si="10"/>
        <v>694.052734375</v>
      </c>
      <c r="G53" s="63">
        <f t="shared" si="10"/>
        <v>1060.6387695312501</v>
      </c>
      <c r="H53" s="63">
        <f t="shared" si="10"/>
        <v>1733.996901977539</v>
      </c>
      <c r="I53" s="63">
        <f t="shared" si="10"/>
        <v>2398.8553935243226</v>
      </c>
      <c r="J53" s="63">
        <f t="shared" si="10"/>
        <v>2724.9523655257763</v>
      </c>
      <c r="K53" s="63">
        <f t="shared" si="10"/>
        <v>3043.3045344421962</v>
      </c>
      <c r="L53" s="63">
        <f t="shared" si="10"/>
        <v>3354.09583934685</v>
      </c>
      <c r="M53" s="63">
        <f t="shared" si="10"/>
        <v>3468.2187413850183</v>
      </c>
      <c r="N53" s="63">
        <f t="shared" si="10"/>
        <v>3385.8485462771241</v>
      </c>
    </row>
    <row r="54" spans="1:14" ht="15" customHeight="1" x14ac:dyDescent="0.3">
      <c r="A54" s="6" t="s">
        <v>859</v>
      </c>
      <c r="B54" s="6" t="s">
        <v>210</v>
      </c>
      <c r="C54" s="6" t="s">
        <v>222</v>
      </c>
      <c r="D54" s="63">
        <f t="shared" ref="D54:N54" si="11">D50*$D$8*$D$11</f>
        <v>0</v>
      </c>
      <c r="E54" s="63">
        <f t="shared" si="11"/>
        <v>126.19140625</v>
      </c>
      <c r="F54" s="63">
        <f t="shared" si="11"/>
        <v>173.51318359375</v>
      </c>
      <c r="G54" s="63">
        <f t="shared" si="11"/>
        <v>265.15969238281252</v>
      </c>
      <c r="H54" s="63">
        <f t="shared" si="11"/>
        <v>433.49922549438475</v>
      </c>
      <c r="I54" s="63">
        <f t="shared" si="11"/>
        <v>599.71384838108065</v>
      </c>
      <c r="J54" s="63">
        <f t="shared" si="11"/>
        <v>681.23809138144406</v>
      </c>
      <c r="K54" s="63">
        <f t="shared" si="11"/>
        <v>760.82613361054905</v>
      </c>
      <c r="L54" s="63">
        <f t="shared" si="11"/>
        <v>838.52395983671249</v>
      </c>
      <c r="M54" s="63">
        <f t="shared" si="11"/>
        <v>867.05468534625459</v>
      </c>
      <c r="N54" s="63">
        <f t="shared" si="11"/>
        <v>846.46213656928103</v>
      </c>
    </row>
    <row r="55" spans="1:14" ht="15" customHeight="1" x14ac:dyDescent="0.3">
      <c r="A55" s="6" t="s">
        <v>860</v>
      </c>
      <c r="B55" s="6" t="s">
        <v>210</v>
      </c>
      <c r="C55" s="6" t="s">
        <v>211</v>
      </c>
      <c r="D55" s="63">
        <f t="shared" ref="D55:N55" si="12">D49-(D50+D51+D52+D53+D54)</f>
        <v>0</v>
      </c>
      <c r="E55" s="63">
        <f t="shared" si="12"/>
        <v>168.84765625</v>
      </c>
      <c r="F55" s="63">
        <f t="shared" si="12"/>
        <v>2729.33349609375</v>
      </c>
      <c r="G55" s="63">
        <f t="shared" si="12"/>
        <v>2729.33349609375</v>
      </c>
      <c r="H55" s="63">
        <f t="shared" si="12"/>
        <v>7278.2226562500073</v>
      </c>
      <c r="I55" s="63">
        <f t="shared" si="12"/>
        <v>2729.33349609375</v>
      </c>
      <c r="J55" s="63">
        <f t="shared" si="12"/>
        <v>2729.3334960937646</v>
      </c>
      <c r="K55" s="63">
        <f t="shared" si="12"/>
        <v>2729.3334960937427</v>
      </c>
      <c r="L55" s="63">
        <f t="shared" si="12"/>
        <v>2729.3334960937573</v>
      </c>
      <c r="M55" s="63">
        <f t="shared" si="12"/>
        <v>0</v>
      </c>
      <c r="N55" s="63">
        <f t="shared" si="12"/>
        <v>0</v>
      </c>
    </row>
    <row r="56" spans="1:14" ht="15" customHeight="1" x14ac:dyDescent="0.3">
      <c r="A56" s="6" t="s">
        <v>861</v>
      </c>
      <c r="B56" s="6" t="s">
        <v>210</v>
      </c>
      <c r="C56" s="6" t="s">
        <v>211</v>
      </c>
      <c r="D56" s="63">
        <f t="shared" ref="D56:N56" si="13">D49-D50</f>
        <v>7109.375</v>
      </c>
      <c r="E56" s="63">
        <f t="shared" si="13"/>
        <v>2666.015625</v>
      </c>
      <c r="F56" s="63">
        <f t="shared" si="13"/>
        <v>5163.18359375</v>
      </c>
      <c r="G56" s="63">
        <f t="shared" si="13"/>
        <v>9483.9173583984375</v>
      </c>
      <c r="H56" s="63">
        <f t="shared" si="13"/>
        <v>9364.204106292731</v>
      </c>
      <c r="I56" s="63">
        <f t="shared" si="13"/>
        <v>4592.9150986120221</v>
      </c>
      <c r="J56" s="63">
        <f t="shared" si="13"/>
        <v>4483.8333650199929</v>
      </c>
      <c r="K56" s="63">
        <f t="shared" si="13"/>
        <v>4377.3423226007581</v>
      </c>
      <c r="L56" s="63">
        <f t="shared" si="13"/>
        <v>1607.3648174389964</v>
      </c>
      <c r="M56" s="63">
        <f t="shared" si="13"/>
        <v>-1160.1435930689331</v>
      </c>
      <c r="N56" s="63">
        <f t="shared" si="13"/>
        <v>-1132.5901827335401</v>
      </c>
    </row>
    <row r="57" spans="1:14" ht="15" customHeight="1" x14ac:dyDescent="0.3">
      <c r="A57" s="6" t="s">
        <v>862</v>
      </c>
      <c r="B57" s="2"/>
      <c r="C57" s="2"/>
      <c r="D57" s="2"/>
      <c r="E57" s="2"/>
      <c r="F57" s="2"/>
      <c r="G57" s="2"/>
      <c r="H57" s="2"/>
      <c r="I57" s="2"/>
      <c r="J57" s="2"/>
      <c r="K57" s="2"/>
      <c r="L57" s="2"/>
      <c r="M57" s="2"/>
      <c r="N57" s="2"/>
    </row>
    <row r="58" spans="1:14" ht="15" customHeight="1" x14ac:dyDescent="0.3">
      <c r="A58" s="6" t="s">
        <v>863</v>
      </c>
      <c r="B58" s="6" t="s">
        <v>558</v>
      </c>
      <c r="C58" s="6" t="s">
        <v>211</v>
      </c>
      <c r="D58" s="15">
        <f>D49/INDEX(Assumptions!$D$17:$F$17,1,1)</f>
        <v>28.4375</v>
      </c>
      <c r="E58" s="15">
        <f>E49/INDEX(Assumptions!$D$17:$F$17,1,1)</f>
        <v>39.1015625</v>
      </c>
      <c r="F58" s="15">
        <f>F49/INDEX(Assumptions!$D$17:$F$17,1,1)</f>
        <v>59.754296875000001</v>
      </c>
      <c r="G58" s="15">
        <f>G49/INDEX(Assumptions!$D$17:$F$17,1,1)</f>
        <v>97.689966308593753</v>
      </c>
      <c r="H58" s="15">
        <f>H49/INDEX(Assumptions!$D$17:$F$17,1,1)</f>
        <v>135.14678273376467</v>
      </c>
      <c r="I58" s="15">
        <f>I49/INDEX(Assumptions!$D$17:$F$17,1,1)</f>
        <v>153.51844312821277</v>
      </c>
      <c r="J58" s="15">
        <f>J49/INDEX(Assumptions!$D$17:$F$17,1,1)</f>
        <v>171.45377658829273</v>
      </c>
      <c r="K58" s="15">
        <f>K49/INDEX(Assumptions!$D$17:$F$17,1,1)</f>
        <v>188.96314587869577</v>
      </c>
      <c r="L58" s="15">
        <f>L49/INDEX(Assumptions!$D$17:$F$17,1,1)</f>
        <v>195.39260514845176</v>
      </c>
      <c r="M58" s="15">
        <f>M49/INDEX(Assumptions!$D$17:$F$17,1,1)</f>
        <v>190.75203077617601</v>
      </c>
      <c r="N58" s="15">
        <f>N49/INDEX(Assumptions!$D$17:$F$17,1,1)</f>
        <v>186.22167004524186</v>
      </c>
    </row>
    <row r="59" spans="1:14" ht="15" customHeight="1" x14ac:dyDescent="0.3">
      <c r="A59" s="6" t="s">
        <v>864</v>
      </c>
      <c r="B59" s="2"/>
      <c r="C59" s="2"/>
      <c r="D59" s="2"/>
      <c r="E59" s="2"/>
      <c r="F59" s="2"/>
      <c r="G59" s="2"/>
      <c r="H59" s="2"/>
      <c r="I59" s="2"/>
      <c r="J59" s="2"/>
      <c r="K59" s="2"/>
      <c r="L59" s="2"/>
      <c r="M59" s="2"/>
      <c r="N59" s="2"/>
    </row>
    <row r="60" spans="1:14" ht="15" customHeight="1" x14ac:dyDescent="0.3">
      <c r="A60" s="6" t="s">
        <v>865</v>
      </c>
      <c r="B60" s="6" t="s">
        <v>210</v>
      </c>
      <c r="C60" s="6" t="s">
        <v>211</v>
      </c>
      <c r="D60" s="13">
        <f>IF(('Acquisition Schedule'!F$24)=0,0,('Acquisition Schedule'!F$22)/('Acquisition Schedule'!F$24))</f>
        <v>1302.0833333333333</v>
      </c>
      <c r="E60" s="13">
        <f>IF(('Acquisition Schedule'!F$24+'Acquisition Schedule'!G$24)=0,0,('Acquisition Schedule'!F$22+'Acquisition Schedule'!G$22)/('Acquisition Schedule'!F$24+'Acquisition Schedule'!G$24))</f>
        <v>1454.4547872340424</v>
      </c>
      <c r="F60" s="13">
        <f>IF(('Acquisition Schedule'!F$24+'Acquisition Schedule'!G$24+'Acquisition Schedule'!H$24)=0,0,('Acquisition Schedule'!F$22+'Acquisition Schedule'!G$22+'Acquisition Schedule'!H$22)/('Acquisition Schedule'!F$24+'Acquisition Schedule'!G$24+'Acquisition Schedule'!H$24))</f>
        <v>1525.87890625</v>
      </c>
      <c r="G60" s="13">
        <f>IF(('Acquisition Schedule'!F$24+'Acquisition Schedule'!G$24+'Acquisition Schedule'!H$24+'Acquisition Schedule'!I$24)=0,0,('Acquisition Schedule'!F$22+'Acquisition Schedule'!G$22+'Acquisition Schedule'!H$22+'Acquisition Schedule'!I$22)/('Acquisition Schedule'!F$24+'Acquisition Schedule'!G$24+'Acquisition Schedule'!H$24+'Acquisition Schedule'!I$24))</f>
        <v>1793.6862244897957</v>
      </c>
      <c r="H60" s="13">
        <f>IF(('Acquisition Schedule'!F$24+'Acquisition Schedule'!G$24+'Acquisition Schedule'!H$24+'Acquisition Schedule'!I$24+'Acquisition Schedule'!J$24)=0,0,('Acquisition Schedule'!F$22+'Acquisition Schedule'!G$22+'Acquisition Schedule'!H$22+'Acquisition Schedule'!I$22+'Acquisition Schedule'!J$22)/('Acquisition Schedule'!F$24+'Acquisition Schedule'!G$24+'Acquisition Schedule'!H$24+'Acquisition Schedule'!I$24+'Acquisition Schedule'!J$24))</f>
        <v>1783.2880434782608</v>
      </c>
      <c r="I60" s="13">
        <f>IF(('Acquisition Schedule'!F$24+'Acquisition Schedule'!G$24+'Acquisition Schedule'!H$24+'Acquisition Schedule'!I$24+'Acquisition Schedule'!J$24+'Acquisition Schedule'!K$24)=0,0,('Acquisition Schedule'!F$22+'Acquisition Schedule'!G$22+'Acquisition Schedule'!H$22+'Acquisition Schedule'!I$22+'Acquisition Schedule'!J$22+'Acquisition Schedule'!K$22)/('Acquisition Schedule'!F$24+'Acquisition Schedule'!G$24+'Acquisition Schedule'!H$24+'Acquisition Schedule'!I$24+'Acquisition Schedule'!J$24+'Acquisition Schedule'!K$24))</f>
        <v>1775.568181818182</v>
      </c>
      <c r="J60" s="13">
        <f>IF(('Acquisition Schedule'!F$24+'Acquisition Schedule'!G$24+'Acquisition Schedule'!H$24+'Acquisition Schedule'!I$24+'Acquisition Schedule'!J$24+'Acquisition Schedule'!K$24+'Acquisition Schedule'!L$24)=0,0,('Acquisition Schedule'!F$22+'Acquisition Schedule'!G$22+'Acquisition Schedule'!H$22+'Acquisition Schedule'!I$22+'Acquisition Schedule'!J$22+'Acquisition Schedule'!K$22+'Acquisition Schedule'!L$22)/('Acquisition Schedule'!F$24+'Acquisition Schedule'!G$24+'Acquisition Schedule'!H$24+'Acquisition Schedule'!I$24+'Acquisition Schedule'!J$24+'Acquisition Schedule'!K$24+'Acquisition Schedule'!L$24))</f>
        <v>1769.6098993288592</v>
      </c>
      <c r="K60" s="13">
        <f>IF(('Acquisition Schedule'!F$24+'Acquisition Schedule'!G$24+'Acquisition Schedule'!H$24+'Acquisition Schedule'!I$24+'Acquisition Schedule'!J$24+'Acquisition Schedule'!K$24+'Acquisition Schedule'!L$24+'Acquisition Schedule'!M$24)=0,0,('Acquisition Schedule'!F$22+'Acquisition Schedule'!G$22+'Acquisition Schedule'!H$22+'Acquisition Schedule'!I$22+'Acquisition Schedule'!J$22+'Acquisition Schedule'!K$22+'Acquisition Schedule'!L$22+'Acquisition Schedule'!M$22)/('Acquisition Schedule'!F$24+'Acquisition Schedule'!G$24+'Acquisition Schedule'!H$24+'Acquisition Schedule'!I$24+'Acquisition Schedule'!J$24+'Acquisition Schedule'!K$24+'Acquisition Schedule'!L$24+'Acquisition Schedule'!M$24))</f>
        <v>1764.8719879518076</v>
      </c>
      <c r="L60" s="13">
        <f>IF(('Acquisition Schedule'!F$24+'Acquisition Schedule'!G$24+'Acquisition Schedule'!H$24+'Acquisition Schedule'!I$24+'Acquisition Schedule'!J$24+'Acquisition Schedule'!K$24+'Acquisition Schedule'!L$24+'Acquisition Schedule'!M$24+'Acquisition Schedule'!N$24)=0,0,('Acquisition Schedule'!F$22+'Acquisition Schedule'!G$22+'Acquisition Schedule'!H$22+'Acquisition Schedule'!I$22+'Acquisition Schedule'!J$22+'Acquisition Schedule'!K$22+'Acquisition Schedule'!L$22+'Acquisition Schedule'!M$22+'Acquisition Schedule'!N$22)/('Acquisition Schedule'!F$24+'Acquisition Schedule'!G$24+'Acquisition Schedule'!H$24+'Acquisition Schedule'!I$24+'Acquisition Schedule'!J$24+'Acquisition Schedule'!K$24+'Acquisition Schedule'!L$24+'Acquisition Schedule'!M$24+'Acquisition Schedule'!N$24))</f>
        <v>1764.8719879518076</v>
      </c>
      <c r="M60" s="13">
        <f>IF(('Acquisition Schedule'!F$24+'Acquisition Schedule'!G$24+'Acquisition Schedule'!H$24+'Acquisition Schedule'!I$24+'Acquisition Schedule'!J$24+'Acquisition Schedule'!K$24+'Acquisition Schedule'!L$24+'Acquisition Schedule'!M$24+'Acquisition Schedule'!N$24+'Acquisition Schedule'!O$24)=0,0,('Acquisition Schedule'!F$22+'Acquisition Schedule'!G$22+'Acquisition Schedule'!H$22+'Acquisition Schedule'!I$22+'Acquisition Schedule'!J$22+'Acquisition Schedule'!K$22+'Acquisition Schedule'!L$22+'Acquisition Schedule'!M$22+'Acquisition Schedule'!N$22+'Acquisition Schedule'!O$22)/('Acquisition Schedule'!F$24+'Acquisition Schedule'!G$24+'Acquisition Schedule'!H$24+'Acquisition Schedule'!I$24+'Acquisition Schedule'!J$24+'Acquisition Schedule'!K$24+'Acquisition Schedule'!L$24+'Acquisition Schedule'!M$24+'Acquisition Schedule'!N$24+'Acquisition Schedule'!O$24))</f>
        <v>1764.8719879518076</v>
      </c>
      <c r="N60" s="13">
        <f>IF(('Acquisition Schedule'!F$24+'Acquisition Schedule'!G$24+'Acquisition Schedule'!H$24+'Acquisition Schedule'!I$24+'Acquisition Schedule'!J$24+'Acquisition Schedule'!K$24+'Acquisition Schedule'!L$24+'Acquisition Schedule'!M$24+'Acquisition Schedule'!N$24+'Acquisition Schedule'!O$24+'Acquisition Schedule'!P$24)=0,0,('Acquisition Schedule'!F$22+'Acquisition Schedule'!G$22+'Acquisition Schedule'!H$22+'Acquisition Schedule'!I$22+'Acquisition Schedule'!J$22+'Acquisition Schedule'!K$22+'Acquisition Schedule'!L$22+'Acquisition Schedule'!M$22+'Acquisition Schedule'!N$22+'Acquisition Schedule'!O$22+'Acquisition Schedule'!P$22)/('Acquisition Schedule'!F$24+'Acquisition Schedule'!G$24+'Acquisition Schedule'!H$24+'Acquisition Schedule'!I$24+'Acquisition Schedule'!J$24+'Acquisition Schedule'!K$24+'Acquisition Schedule'!L$24+'Acquisition Schedule'!M$24+'Acquisition Schedule'!N$24+'Acquisition Schedule'!O$24+'Acquisition Schedule'!P$24))</f>
        <v>1764.8719879518076</v>
      </c>
    </row>
    <row r="61" spans="1:14" ht="15" customHeight="1" x14ac:dyDescent="0.3">
      <c r="A61" s="6" t="s">
        <v>866</v>
      </c>
      <c r="B61" s="6" t="s">
        <v>213</v>
      </c>
      <c r="C61" s="6" t="s">
        <v>211</v>
      </c>
      <c r="D61" s="78">
        <f t="shared" ref="D61:N61" si="14">IF(D60=0,0,D49/D60)</f>
        <v>5.46</v>
      </c>
      <c r="E61" s="78">
        <f t="shared" si="14"/>
        <v>6.7210000000000001</v>
      </c>
      <c r="F61" s="78">
        <f t="shared" si="14"/>
        <v>9.7901439999999997</v>
      </c>
      <c r="G61" s="78">
        <f t="shared" si="14"/>
        <v>13.61581041527778</v>
      </c>
      <c r="H61" s="78">
        <f t="shared" si="14"/>
        <v>18.946291827057298</v>
      </c>
      <c r="I61" s="78">
        <f t="shared" si="14"/>
        <v>21.615396792452355</v>
      </c>
      <c r="J61" s="78">
        <f t="shared" si="14"/>
        <v>24.221973534014214</v>
      </c>
      <c r="K61" s="78">
        <f t="shared" si="14"/>
        <v>26.767259490870178</v>
      </c>
      <c r="L61" s="78">
        <f t="shared" si="14"/>
        <v>27.678013827962012</v>
      </c>
      <c r="M61" s="78">
        <f t="shared" si="14"/>
        <v>27.020660999547914</v>
      </c>
      <c r="N61" s="78">
        <f t="shared" si="14"/>
        <v>26.378920300808655</v>
      </c>
    </row>
    <row r="62" spans="1:14" ht="15" customHeight="1" x14ac:dyDescent="0.3">
      <c r="A62" s="6" t="s">
        <v>867</v>
      </c>
      <c r="B62" s="2"/>
      <c r="C62" s="2"/>
      <c r="D62" s="2"/>
      <c r="E62" s="2"/>
      <c r="F62" s="2"/>
      <c r="G62" s="2"/>
      <c r="H62" s="2"/>
      <c r="I62" s="2"/>
      <c r="J62" s="2"/>
      <c r="K62" s="2"/>
      <c r="L62" s="2"/>
      <c r="M62" s="2"/>
      <c r="N62" s="2"/>
    </row>
    <row r="63" spans="1:14" ht="15" customHeight="1" x14ac:dyDescent="0.3">
      <c r="A63" s="6" t="s">
        <v>868</v>
      </c>
      <c r="B63" s="6" t="s">
        <v>216</v>
      </c>
      <c r="C63" s="6" t="s">
        <v>217</v>
      </c>
      <c r="D63" s="54">
        <f>IF(('Acquisition Schedule'!F$24)=0,0,D61*('Acquisition Schedule'!F$25)/('Acquisition Schedule'!F$24))</f>
        <v>1.365</v>
      </c>
      <c r="E63" s="54">
        <f>IF(('Acquisition Schedule'!F$24+'Acquisition Schedule'!G$24)=0,0,E61*('Acquisition Schedule'!F$25+'Acquisition Schedule'!G$25)/('Acquisition Schedule'!F$24+'Acquisition Schedule'!G$24))</f>
        <v>1.68025</v>
      </c>
      <c r="F63" s="54">
        <f>IF(('Acquisition Schedule'!F$24+'Acquisition Schedule'!G$24+'Acquisition Schedule'!H$24)=0,0,F61*('Acquisition Schedule'!F$25+'Acquisition Schedule'!G$25+'Acquisition Schedule'!H$25)/('Acquisition Schedule'!F$24+'Acquisition Schedule'!G$24+'Acquisition Schedule'!H$24))</f>
        <v>2.4475359999999999</v>
      </c>
      <c r="G63" s="54">
        <f>IF(('Acquisition Schedule'!F$24+'Acquisition Schedule'!G$24+'Acquisition Schedule'!H$24+'Acquisition Schedule'!I$24)=0,0,G61*('Acquisition Schedule'!F$25+'Acquisition Schedule'!G$25+'Acquisition Schedule'!H$25+'Acquisition Schedule'!I$25)/('Acquisition Schedule'!F$24+'Acquisition Schedule'!G$24+'Acquisition Schedule'!H$24+'Acquisition Schedule'!I$24))</f>
        <v>3.4039526038194445</v>
      </c>
      <c r="H63" s="54">
        <f>IF(('Acquisition Schedule'!F$24+'Acquisition Schedule'!G$24+'Acquisition Schedule'!H$24+'Acquisition Schedule'!I$24+'Acquisition Schedule'!J$24)=0,0,H61*('Acquisition Schedule'!F$25+'Acquisition Schedule'!G$25+'Acquisition Schedule'!H$25+'Acquisition Schedule'!I$25+'Acquisition Schedule'!J$25)/('Acquisition Schedule'!F$24+'Acquisition Schedule'!G$24+'Acquisition Schedule'!H$24+'Acquisition Schedule'!I$24+'Acquisition Schedule'!J$24))</f>
        <v>4.7365729567643244</v>
      </c>
      <c r="I63" s="54">
        <f>IF(('Acquisition Schedule'!F$24+'Acquisition Schedule'!G$24+'Acquisition Schedule'!H$24+'Acquisition Schedule'!I$24+'Acquisition Schedule'!J$24+'Acquisition Schedule'!K$24)=0,0,I61*('Acquisition Schedule'!F$25+'Acquisition Schedule'!G$25+'Acquisition Schedule'!H$25+'Acquisition Schedule'!I$25+'Acquisition Schedule'!J$25+'Acquisition Schedule'!K$25)/('Acquisition Schedule'!F$24+'Acquisition Schedule'!G$24+'Acquisition Schedule'!H$24+'Acquisition Schedule'!I$24+'Acquisition Schedule'!J$24+'Acquisition Schedule'!K$24))</f>
        <v>5.4038491981130887</v>
      </c>
      <c r="J63" s="54">
        <f>IF(('Acquisition Schedule'!F$24+'Acquisition Schedule'!G$24+'Acquisition Schedule'!H$24+'Acquisition Schedule'!I$24+'Acquisition Schedule'!J$24+'Acquisition Schedule'!K$24+'Acquisition Schedule'!L$24)=0,0,J61*('Acquisition Schedule'!F$25+'Acquisition Schedule'!G$25+'Acquisition Schedule'!H$25+'Acquisition Schedule'!I$25+'Acquisition Schedule'!J$25+'Acquisition Schedule'!K$25+'Acquisition Schedule'!L$25)/('Acquisition Schedule'!F$24+'Acquisition Schedule'!G$24+'Acquisition Schedule'!H$24+'Acquisition Schedule'!I$24+'Acquisition Schedule'!J$24+'Acquisition Schedule'!K$24+'Acquisition Schedule'!L$24))</f>
        <v>6.0554933835035536</v>
      </c>
      <c r="K63" s="54">
        <f>IF(('Acquisition Schedule'!F$24+'Acquisition Schedule'!G$24+'Acquisition Schedule'!H$24+'Acquisition Schedule'!I$24+'Acquisition Schedule'!J$24+'Acquisition Schedule'!K$24+'Acquisition Schedule'!L$24+'Acquisition Schedule'!M$24)=0,0,K61*('Acquisition Schedule'!F$25+'Acquisition Schedule'!G$25+'Acquisition Schedule'!H$25+'Acquisition Schedule'!I$25+'Acquisition Schedule'!J$25+'Acquisition Schedule'!K$25+'Acquisition Schedule'!L$25+'Acquisition Schedule'!M$25)/('Acquisition Schedule'!F$24+'Acquisition Schedule'!G$24+'Acquisition Schedule'!H$24+'Acquisition Schedule'!I$24+'Acquisition Schedule'!J$24+'Acquisition Schedule'!K$24+'Acquisition Schedule'!L$24+'Acquisition Schedule'!M$24))</f>
        <v>6.6918148727175444</v>
      </c>
      <c r="L63" s="54">
        <f>IF(('Acquisition Schedule'!F$24+'Acquisition Schedule'!G$24+'Acquisition Schedule'!H$24+'Acquisition Schedule'!I$24+'Acquisition Schedule'!J$24+'Acquisition Schedule'!K$24+'Acquisition Schedule'!L$24+'Acquisition Schedule'!M$24+'Acquisition Schedule'!N$24)=0,0,L61*('Acquisition Schedule'!F$25+'Acquisition Schedule'!G$25+'Acquisition Schedule'!H$25+'Acquisition Schedule'!I$25+'Acquisition Schedule'!J$25+'Acquisition Schedule'!K$25+'Acquisition Schedule'!L$25+'Acquisition Schedule'!M$25+'Acquisition Schedule'!N$25)/('Acquisition Schedule'!F$24+'Acquisition Schedule'!G$24+'Acquisition Schedule'!H$24+'Acquisition Schedule'!I$24+'Acquisition Schedule'!J$24+'Acquisition Schedule'!K$24+'Acquisition Schedule'!L$24+'Acquisition Schedule'!M$24+'Acquisition Schedule'!N$24))</f>
        <v>6.919503456990503</v>
      </c>
      <c r="M63" s="54">
        <f>IF(('Acquisition Schedule'!F$24+'Acquisition Schedule'!G$24+'Acquisition Schedule'!H$24+'Acquisition Schedule'!I$24+'Acquisition Schedule'!J$24+'Acquisition Schedule'!K$24+'Acquisition Schedule'!L$24+'Acquisition Schedule'!M$24+'Acquisition Schedule'!N$24+'Acquisition Schedule'!O$24)=0,0,M61*('Acquisition Schedule'!F$25+'Acquisition Schedule'!G$25+'Acquisition Schedule'!H$25+'Acquisition Schedule'!I$25+'Acquisition Schedule'!J$25+'Acquisition Schedule'!K$25+'Acquisition Schedule'!L$25+'Acquisition Schedule'!M$25+'Acquisition Schedule'!N$25+'Acquisition Schedule'!O$25)/('Acquisition Schedule'!F$24+'Acquisition Schedule'!G$24+'Acquisition Schedule'!H$24+'Acquisition Schedule'!I$24+'Acquisition Schedule'!J$24+'Acquisition Schedule'!K$24+'Acquisition Schedule'!L$24+'Acquisition Schedule'!M$24+'Acquisition Schedule'!N$24+'Acquisition Schedule'!O$24))</f>
        <v>6.7551652498869785</v>
      </c>
      <c r="N63" s="54">
        <f>IF(('Acquisition Schedule'!F$24+'Acquisition Schedule'!G$24+'Acquisition Schedule'!H$24+'Acquisition Schedule'!I$24+'Acquisition Schedule'!J$24+'Acquisition Schedule'!K$24+'Acquisition Schedule'!L$24+'Acquisition Schedule'!M$24+'Acquisition Schedule'!N$24+'Acquisition Schedule'!O$24+'Acquisition Schedule'!P$24)=0,0,N61*('Acquisition Schedule'!F$25+'Acquisition Schedule'!G$25+'Acquisition Schedule'!H$25+'Acquisition Schedule'!I$25+'Acquisition Schedule'!J$25+'Acquisition Schedule'!K$25+'Acquisition Schedule'!L$25+'Acquisition Schedule'!M$25+'Acquisition Schedule'!N$25+'Acquisition Schedule'!O$25+'Acquisition Schedule'!P$25)/('Acquisition Schedule'!F$24+'Acquisition Schedule'!G$24+'Acquisition Schedule'!H$24+'Acquisition Schedule'!I$24+'Acquisition Schedule'!J$24+'Acquisition Schedule'!K$24+'Acquisition Schedule'!L$24+'Acquisition Schedule'!M$24+'Acquisition Schedule'!N$24+'Acquisition Schedule'!O$24+'Acquisition Schedule'!P$24))</f>
        <v>6.5947300752021638</v>
      </c>
    </row>
    <row r="64" spans="1:14" ht="15" customHeight="1" x14ac:dyDescent="0.3">
      <c r="A64" s="6" t="s">
        <v>215</v>
      </c>
      <c r="B64" s="6" t="s">
        <v>216</v>
      </c>
      <c r="C64" s="6" t="s">
        <v>217</v>
      </c>
      <c r="D64" s="54">
        <f>MAX(0,D63*INDEX(Assumptions!$D$47:$F$47,1,1)-INDEX(Assumptions!$D$45:$F$45,1,1))</f>
        <v>0.77449999999999997</v>
      </c>
      <c r="E64" s="54">
        <f>MAX(0,E63*INDEX(Assumptions!$D$47:$F$47,1,1)-INDEX(Assumptions!$D$45:$F$45,1,1))</f>
        <v>1.1843250000000003</v>
      </c>
      <c r="F64" s="54">
        <f>MAX(0,F63*INDEX(Assumptions!$D$47:$F$47,1,1)-INDEX(Assumptions!$D$45:$F$45,1,1))</f>
        <v>2.1817967999999999</v>
      </c>
      <c r="G64" s="54">
        <f>MAX(0,G63*INDEX(Assumptions!$D$47:$F$47,1,1)-INDEX(Assumptions!$D$45:$F$45,1,1))</f>
        <v>3.4251383849652779</v>
      </c>
      <c r="H64" s="54">
        <f>MAX(0,H63*INDEX(Assumptions!$D$47:$F$47,1,1)-INDEX(Assumptions!$D$45:$F$45,1,1))</f>
        <v>5.1575448437936222</v>
      </c>
      <c r="I64" s="54">
        <f>MAX(0,I63*INDEX(Assumptions!$D$47:$F$47,1,1)-INDEX(Assumptions!$D$45:$F$45,1,1))</f>
        <v>6.0250039575470158</v>
      </c>
      <c r="J64" s="54">
        <f>MAX(0,J63*INDEX(Assumptions!$D$47:$F$47,1,1)-INDEX(Assumptions!$D$45:$F$45,1,1))</f>
        <v>6.8721413985546196</v>
      </c>
      <c r="K64" s="54">
        <f>MAX(0,K63*INDEX(Assumptions!$D$47:$F$47,1,1)-INDEX(Assumptions!$D$45:$F$45,1,1))</f>
        <v>7.699359334532808</v>
      </c>
      <c r="L64" s="54">
        <f>MAX(0,L63*INDEX(Assumptions!$D$47:$F$47,1,1)-INDEX(Assumptions!$D$45:$F$45,1,1))</f>
        <v>7.9953544940876533</v>
      </c>
      <c r="M64" s="54">
        <f>MAX(0,M63*INDEX(Assumptions!$D$47:$F$47,1,1)-INDEX(Assumptions!$D$45:$F$45,1,1))</f>
        <v>7.7817148248530721</v>
      </c>
      <c r="N64" s="54">
        <f>MAX(0,N63*INDEX(Assumptions!$D$47:$F$47,1,1)-INDEX(Assumptions!$D$45:$F$45,1,1))</f>
        <v>7.5731490977628138</v>
      </c>
    </row>
    <row r="65" spans="1:14" ht="15" customHeight="1" x14ac:dyDescent="0.3">
      <c r="A65" s="6" t="s">
        <v>869</v>
      </c>
      <c r="B65" s="6" t="s">
        <v>218</v>
      </c>
      <c r="C65" s="6" t="s">
        <v>211</v>
      </c>
      <c r="D65" s="13">
        <f>D49*(INDEX(Assumptions!$D$27:$F$27,1,1)+INDEX(Assumptions!$D$28:$F$28,1,1)+INDEX(Assumptions!$D$29:$F$29,1,1)+INDEX(Assumptions!$D$79:$F$79,1,1))</f>
        <v>4645855.3064404428</v>
      </c>
      <c r="E65" s="13">
        <f>E49*(INDEX(Assumptions!$D$27:$F$27,1,1)+INDEX(Assumptions!$D$28:$F$28,1,1)+INDEX(Assumptions!$D$29:$F$29,1,1)+INDEX(Assumptions!$D$79:$F$79,1,1))</f>
        <v>6388051.0463556089</v>
      </c>
      <c r="F65" s="13">
        <f>F49*(INDEX(Assumptions!$D$27:$F$27,1,1)+INDEX(Assumptions!$D$28:$F$28,1,1)+INDEX(Assumptions!$D$29:$F$29,1,1)+INDEX(Assumptions!$D$79:$F$79,1,1))</f>
        <v>9762103.4626579806</v>
      </c>
      <c r="G65" s="13">
        <f>G49*(INDEX(Assumptions!$D$27:$F$27,1,1)+INDEX(Assumptions!$D$28:$F$28,1,1)+INDEX(Assumptions!$D$29:$F$29,1,1)+INDEX(Assumptions!$D$79:$F$79,1,1))</f>
        <v>15959681.700598449</v>
      </c>
      <c r="H65" s="13">
        <f>H49*(INDEX(Assumptions!$D$27:$F$27,1,1)+INDEX(Assumptions!$D$28:$F$28,1,1)+INDEX(Assumptions!$D$29:$F$29,1,1)+INDEX(Assumptions!$D$79:$F$79,1,1))</f>
        <v>22079029.370092809</v>
      </c>
      <c r="I65" s="13">
        <f>I49*(INDEX(Assumptions!$D$27:$F$27,1,1)+INDEX(Assumptions!$D$28:$F$28,1,1)+INDEX(Assumptions!$D$29:$F$29,1,1)+INDEX(Assumptions!$D$79:$F$79,1,1))</f>
        <v>25080421.051206421</v>
      </c>
      <c r="J65" s="13">
        <f>J49*(INDEX(Assumptions!$D$27:$F$27,1,1)+INDEX(Assumptions!$D$28:$F$28,1,1)+INDEX(Assumptions!$D$29:$F$29,1,1)+INDEX(Assumptions!$D$79:$F$79,1,1))</f>
        <v>28010529.679893591</v>
      </c>
      <c r="K65" s="13">
        <f>K49*(INDEX(Assumptions!$D$27:$F$27,1,1)+INDEX(Assumptions!$D$28:$F$28,1,1)+INDEX(Assumptions!$D$29:$F$29,1,1)+INDEX(Assumptions!$D$79:$F$79,1,1))</f>
        <v>30871048.228649434</v>
      </c>
      <c r="L65" s="13">
        <f>L49*(INDEX(Assumptions!$D$27:$F$27,1,1)+INDEX(Assumptions!$D$28:$F$28,1,1)+INDEX(Assumptions!$D$29:$F$29,1,1)+INDEX(Assumptions!$D$79:$F$79,1,1))</f>
        <v>31921433.721957162</v>
      </c>
      <c r="M65" s="13">
        <f>M49*(INDEX(Assumptions!$D$27:$F$27,1,1)+INDEX(Assumptions!$D$28:$F$28,1,1)+INDEX(Assumptions!$D$29:$F$29,1,1)+INDEX(Assumptions!$D$79:$F$79,1,1))</f>
        <v>31163299.671060678</v>
      </c>
      <c r="N65" s="13">
        <f>N49*(INDEX(Assumptions!$D$27:$F$27,1,1)+INDEX(Assumptions!$D$28:$F$28,1,1)+INDEX(Assumptions!$D$29:$F$29,1,1)+INDEX(Assumptions!$D$79:$F$79,1,1))</f>
        <v>30423171.303872991</v>
      </c>
    </row>
    <row r="66" spans="1:14" ht="15" customHeight="1" x14ac:dyDescent="0.3">
      <c r="A66" s="6" t="s">
        <v>870</v>
      </c>
      <c r="B66" s="6" t="s">
        <v>218</v>
      </c>
      <c r="C66" s="6" t="s">
        <v>211</v>
      </c>
      <c r="D66" s="13">
        <f>D49*INDEX(Assumptions!$D$29:$F$29,1,1)</f>
        <v>387002.07756232691</v>
      </c>
      <c r="E66" s="13">
        <f>E49*INDEX(Assumptions!$D$29:$F$29,1,1)</f>
        <v>532127.85664819949</v>
      </c>
      <c r="F66" s="13">
        <f>F49*INDEX(Assumptions!$D$29:$F$29,1,1)</f>
        <v>813188.11547783937</v>
      </c>
      <c r="G66" s="13">
        <f>G49*INDEX(Assumptions!$D$29:$F$29,1,1)</f>
        <v>1329449.4916367296</v>
      </c>
      <c r="H66" s="13">
        <f>H49*INDEX(Assumptions!$D$29:$F$29,1,1)</f>
        <v>1839194.2222006624</v>
      </c>
      <c r="I66" s="13">
        <f>I49*INDEX(Assumptions!$D$29:$F$29,1,1)</f>
        <v>2089211.6548484312</v>
      </c>
      <c r="J66" s="13">
        <f>J49*INDEX(Assumptions!$D$29:$F$29,1,1)</f>
        <v>2333291.1734708161</v>
      </c>
      <c r="K66" s="13">
        <f>K49*INDEX(Assumptions!$D$29:$F$29,1,1)</f>
        <v>2571573.8035259186</v>
      </c>
      <c r="L66" s="13">
        <f>L49*INDEX(Assumptions!$D$29:$F$29,1,1)</f>
        <v>2659071.4420313402</v>
      </c>
      <c r="M66" s="13">
        <f>M49*INDEX(Assumptions!$D$29:$F$29,1,1)</f>
        <v>2595918.4952830961</v>
      </c>
      <c r="N66" s="13">
        <f>N49*INDEX(Assumptions!$D$29:$F$29,1,1)</f>
        <v>2534265.4310201225</v>
      </c>
    </row>
    <row r="67" spans="1:14" ht="15" customHeight="1" x14ac:dyDescent="0.3">
      <c r="A67" s="6" t="s">
        <v>871</v>
      </c>
      <c r="B67" s="6" t="s">
        <v>267</v>
      </c>
      <c r="C67" s="6" t="s">
        <v>211</v>
      </c>
      <c r="D67" s="71">
        <f t="shared" ref="D67:N67" si="15">IF(D65=0,0,D36/D65)</f>
        <v>0.1958735130511895</v>
      </c>
      <c r="E67" s="71">
        <f t="shared" si="15"/>
        <v>0.1958735130511895</v>
      </c>
      <c r="F67" s="71">
        <f t="shared" si="15"/>
        <v>0.18760044973968773</v>
      </c>
      <c r="G67" s="71">
        <f t="shared" si="15"/>
        <v>0.18264687179761832</v>
      </c>
      <c r="H67" s="71">
        <f t="shared" si="15"/>
        <v>0.17848044646695832</v>
      </c>
      <c r="I67" s="71">
        <f t="shared" si="15"/>
        <v>0.16818855218664991</v>
      </c>
      <c r="J67" s="71">
        <f t="shared" si="15"/>
        <v>0.15938928731665178</v>
      </c>
      <c r="K67" s="71">
        <f t="shared" si="15"/>
        <v>0.15170213487768655</v>
      </c>
      <c r="L67" s="71">
        <f t="shared" si="15"/>
        <v>0.1420983827186551</v>
      </c>
      <c r="M67" s="71">
        <f t="shared" si="15"/>
        <v>0.1291803479260501</v>
      </c>
      <c r="N67" s="71">
        <f t="shared" si="15"/>
        <v>0.11743667993277279</v>
      </c>
    </row>
    <row r="68" spans="1:14" ht="15" customHeight="1" x14ac:dyDescent="0.3">
      <c r="A68" s="6" t="s">
        <v>872</v>
      </c>
      <c r="B68" s="6" t="s">
        <v>218</v>
      </c>
      <c r="C68" s="6" t="s">
        <v>211</v>
      </c>
      <c r="D68" s="63">
        <f>0</f>
        <v>0</v>
      </c>
      <c r="E68" s="13">
        <f>E36+E46+'Acquisition Schedule'!G$20*(1-INDEX(Assumptions!$D$56:$F$56,1,1))*(1-INDEX(Assumptions!$D$20:$F$20,1,1))</f>
        <v>1592500</v>
      </c>
      <c r="F68" s="13">
        <f>F36+F46+'Acquisition Schedule'!H$20*(1-INDEX(Assumptions!$D$56:$F$56,1,1))*(1-INDEX(Assumptions!$D$20:$F$20,1,1))</f>
        <v>2253387.5</v>
      </c>
      <c r="G68" s="13">
        <f>G36+G46+'Acquisition Schedule'!I$20*(1-INDEX(Assumptions!$D$56:$F$56,1,1))*(1-INDEX(Assumptions!$D$20:$F$20,1,1))</f>
        <v>4036078.921875</v>
      </c>
      <c r="H68" s="13">
        <f>H36+H46+'Acquisition Schedule'!J$20*(1-INDEX(Assumptions!$D$56:$F$56,1,1))*(1-INDEX(Assumptions!$D$20:$F$20,1,1))</f>
        <v>4665947.0474804696</v>
      </c>
      <c r="I68" s="13">
        <f>I36+I46+'Acquisition Schedule'!K$20*(1-INDEX(Assumptions!$D$56:$F$56,1,1))*(1-INDEX(Assumptions!$D$20:$F$20,1,1))</f>
        <v>5253840.1801028084</v>
      </c>
      <c r="J68" s="13">
        <f>J36+J46+'Acquisition Schedule'!L$20*(1-INDEX(Assumptions!$D$56:$F$56,1,1))*(1-INDEX(Assumptions!$D$20:$F$20,1,1))</f>
        <v>5827770.8508253675</v>
      </c>
      <c r="K68" s="13">
        <f>K36+K46+'Acquisition Schedule'!M$20*(1-INDEX(Assumptions!$D$56:$F$56,1,1))*(1-INDEX(Assumptions!$D$20:$F$20,1,1))</f>
        <v>6388070.6681182645</v>
      </c>
      <c r="L68" s="13">
        <f>L36+L46+'Acquisition Schedule'!N$20*(1-INDEX(Assumptions!$D$56:$F$56,1,1))*(1-INDEX(Assumptions!$D$20:$F$20,1,1))</f>
        <v>6252563.3647504561</v>
      </c>
      <c r="M68" s="13">
        <f>M36+M46+'Acquisition Schedule'!O$20*(1-INDEX(Assumptions!$D$56:$F$56,1,1))*(1-INDEX(Assumptions!$D$20:$F$20,1,1))</f>
        <v>6104064.9848376326</v>
      </c>
      <c r="N68" s="13">
        <f>N36+N46+'Acquisition Schedule'!P$20*(1-INDEX(Assumptions!$D$56:$F$56,1,1))*(1-INDEX(Assumptions!$D$20:$F$20,1,1))</f>
        <v>5959093.4414477395</v>
      </c>
    </row>
    <row r="69" spans="1:14" ht="15" customHeight="1" x14ac:dyDescent="0.3">
      <c r="A69" s="2"/>
      <c r="B69" s="2"/>
      <c r="C69" s="2"/>
      <c r="D69" s="2"/>
      <c r="E69" s="2"/>
      <c r="F69" s="2"/>
      <c r="G69" s="2"/>
      <c r="H69" s="2"/>
      <c r="I69" s="2"/>
      <c r="J69" s="2"/>
      <c r="K69" s="2"/>
      <c r="L69" s="2"/>
      <c r="M69" s="2"/>
      <c r="N69" s="2"/>
    </row>
    <row r="70" spans="1:14" ht="15" customHeight="1" x14ac:dyDescent="0.3">
      <c r="A70" s="21" t="s">
        <v>873</v>
      </c>
      <c r="B70" s="10"/>
      <c r="C70" s="10"/>
      <c r="D70" s="10"/>
      <c r="E70" s="10"/>
      <c r="F70" s="10"/>
      <c r="G70" s="10"/>
      <c r="H70" s="10"/>
      <c r="I70" s="10"/>
      <c r="J70" s="10"/>
      <c r="K70" s="10"/>
      <c r="L70" s="10"/>
      <c r="M70" s="10"/>
      <c r="N70" s="10"/>
    </row>
    <row r="71" spans="1:14" ht="15" customHeight="1" x14ac:dyDescent="0.3">
      <c r="A71" s="6" t="s">
        <v>813</v>
      </c>
      <c r="B71" s="6" t="s">
        <v>267</v>
      </c>
      <c r="C71" s="6" t="s">
        <v>211</v>
      </c>
      <c r="D71" s="19">
        <f>'Anchor QoE'!F$12</f>
        <v>0.91100000000000003</v>
      </c>
      <c r="E71" s="2"/>
      <c r="F71" s="2"/>
      <c r="G71" s="2"/>
      <c r="H71" s="2"/>
      <c r="I71" s="2"/>
      <c r="J71" s="2"/>
      <c r="K71" s="2"/>
      <c r="L71" s="2"/>
      <c r="M71" s="2"/>
      <c r="N71" s="2"/>
    </row>
    <row r="72" spans="1:14" ht="15" customHeight="1" x14ac:dyDescent="0.3">
      <c r="A72" s="6" t="s">
        <v>814</v>
      </c>
      <c r="B72" s="6" t="s">
        <v>267</v>
      </c>
      <c r="C72" s="6" t="s">
        <v>211</v>
      </c>
      <c r="D72" s="71">
        <f>1-D71</f>
        <v>8.8999999999999968E-2</v>
      </c>
      <c r="E72" s="2"/>
      <c r="F72" s="2"/>
      <c r="G72" s="2"/>
      <c r="H72" s="2"/>
      <c r="I72" s="2"/>
      <c r="J72" s="2"/>
      <c r="K72" s="2"/>
      <c r="L72" s="2"/>
      <c r="M72" s="2"/>
      <c r="N72" s="2"/>
    </row>
    <row r="73" spans="1:14" ht="15" customHeight="1" x14ac:dyDescent="0.3">
      <c r="A73" s="6" t="s">
        <v>815</v>
      </c>
      <c r="B73" s="6" t="s">
        <v>267</v>
      </c>
      <c r="C73" s="6" t="s">
        <v>211</v>
      </c>
      <c r="D73" s="19">
        <f>INDEX(Assumptions!$D$57:$F$57,1,2)</f>
        <v>0.1</v>
      </c>
      <c r="E73" s="2"/>
      <c r="F73" s="2"/>
      <c r="G73" s="2"/>
      <c r="H73" s="2"/>
      <c r="I73" s="2"/>
      <c r="J73" s="2"/>
      <c r="K73" s="2"/>
      <c r="L73" s="2"/>
      <c r="M73" s="2"/>
      <c r="N73" s="2"/>
    </row>
    <row r="74" spans="1:14" ht="15" customHeight="1" x14ac:dyDescent="0.3">
      <c r="A74" s="6" t="s">
        <v>616</v>
      </c>
      <c r="B74" s="6" t="s">
        <v>267</v>
      </c>
      <c r="C74" s="6" t="s">
        <v>222</v>
      </c>
      <c r="D74" s="19">
        <f>(INDEX(Assumptions!$D$58:$F$58,1,2)*(1-Assumptions!$D$8))</f>
        <v>0.04</v>
      </c>
      <c r="E74" s="2"/>
      <c r="F74" s="2"/>
      <c r="G74" s="2"/>
      <c r="H74" s="2"/>
      <c r="I74" s="2"/>
      <c r="J74" s="2"/>
      <c r="K74" s="2"/>
      <c r="L74" s="2"/>
      <c r="M74" s="2"/>
      <c r="N74" s="2"/>
    </row>
    <row r="75" spans="1:14" ht="15" customHeight="1" x14ac:dyDescent="0.3">
      <c r="A75" s="6" t="s">
        <v>816</v>
      </c>
      <c r="B75" s="6" t="s">
        <v>265</v>
      </c>
      <c r="C75" s="6" t="s">
        <v>211</v>
      </c>
      <c r="D75" s="65">
        <f>D71*(1+D73)</f>
        <v>1.0021000000000002</v>
      </c>
      <c r="E75" s="2"/>
      <c r="F75" s="2"/>
      <c r="G75" s="2"/>
      <c r="H75" s="2"/>
      <c r="I75" s="2"/>
      <c r="J75" s="2"/>
      <c r="K75" s="2"/>
      <c r="L75" s="2"/>
      <c r="M75" s="2"/>
      <c r="N75" s="2"/>
    </row>
    <row r="76" spans="1:14" ht="15" customHeight="1" x14ac:dyDescent="0.3">
      <c r="A76" s="1" t="s">
        <v>817</v>
      </c>
      <c r="B76" s="6" t="s">
        <v>265</v>
      </c>
      <c r="C76" s="6" t="s">
        <v>211</v>
      </c>
      <c r="D76" s="82">
        <f>D71*(1+D73+D74)</f>
        <v>1.0385400000000002</v>
      </c>
      <c r="E76" s="2"/>
      <c r="F76" s="2"/>
      <c r="G76" s="2"/>
      <c r="H76" s="2"/>
      <c r="I76" s="2"/>
      <c r="J76" s="2"/>
      <c r="K76" s="2"/>
      <c r="L76" s="2"/>
      <c r="M76" s="2"/>
      <c r="N76" s="2"/>
    </row>
    <row r="77" spans="1:14" ht="15" customHeight="1" x14ac:dyDescent="0.3">
      <c r="A77" s="6" t="s">
        <v>818</v>
      </c>
      <c r="B77" s="6" t="s">
        <v>819</v>
      </c>
      <c r="C77" s="6" t="s">
        <v>222</v>
      </c>
      <c r="D77" s="83">
        <f>D76-D75</f>
        <v>3.6440000000000028E-2</v>
      </c>
      <c r="E77" s="2"/>
      <c r="F77" s="2"/>
      <c r="G77" s="2"/>
      <c r="H77" s="2"/>
      <c r="I77" s="2"/>
      <c r="J77" s="2"/>
      <c r="K77" s="2"/>
      <c r="L77" s="2"/>
      <c r="M77" s="2"/>
      <c r="N77" s="2"/>
    </row>
    <row r="78" spans="1:14" ht="15" customHeight="1" x14ac:dyDescent="0.3">
      <c r="A78" s="6" t="s">
        <v>820</v>
      </c>
      <c r="B78" s="2"/>
      <c r="C78" s="2"/>
      <c r="D78" s="2"/>
      <c r="E78" s="2"/>
      <c r="F78" s="2"/>
      <c r="G78" s="2"/>
      <c r="H78" s="2"/>
      <c r="I78" s="2"/>
      <c r="J78" s="2"/>
      <c r="K78" s="2"/>
      <c r="L78" s="2"/>
      <c r="M78" s="2"/>
      <c r="N78" s="2"/>
    </row>
    <row r="79" spans="1:14" ht="15" customHeight="1" x14ac:dyDescent="0.3">
      <c r="A79" s="6" t="s">
        <v>821</v>
      </c>
      <c r="B79" s="6" t="s">
        <v>267</v>
      </c>
      <c r="C79" s="6" t="s">
        <v>211</v>
      </c>
      <c r="D79" s="19">
        <f>(1-INDEX(Assumptions!$D$56:$F$56,1,2))*INDEX(Assumptions!$D$20:$F$20,1,2)</f>
        <v>0.47</v>
      </c>
      <c r="E79" s="2"/>
      <c r="F79" s="2"/>
      <c r="G79" s="2"/>
      <c r="H79" s="2"/>
      <c r="I79" s="2"/>
      <c r="J79" s="2"/>
      <c r="K79" s="2"/>
      <c r="L79" s="2"/>
      <c r="M79" s="2"/>
      <c r="N79" s="2"/>
    </row>
    <row r="80" spans="1:14" ht="15" customHeight="1" x14ac:dyDescent="0.3">
      <c r="A80" s="6" t="s">
        <v>822</v>
      </c>
      <c r="B80" s="2"/>
      <c r="C80" s="2"/>
      <c r="D80" s="2"/>
      <c r="E80" s="2"/>
      <c r="F80" s="2"/>
      <c r="G80" s="2"/>
      <c r="H80" s="2"/>
      <c r="I80" s="2"/>
      <c r="J80" s="2"/>
      <c r="K80" s="2"/>
      <c r="L80" s="2"/>
      <c r="M80" s="2"/>
      <c r="N80" s="2"/>
    </row>
    <row r="81" spans="1:14" ht="15" customHeight="1" x14ac:dyDescent="0.3">
      <c r="A81" s="6" t="s">
        <v>823</v>
      </c>
      <c r="B81" s="6" t="s">
        <v>218</v>
      </c>
      <c r="C81" s="6" t="s">
        <v>211</v>
      </c>
      <c r="D81" s="13">
        <f>'Acquisition Schedule'!F$20*$D$79/INDEX(Assumptions!$D$20:$F$20,1,2)</f>
        <v>940000</v>
      </c>
      <c r="E81" s="13">
        <f>'Acquisition Schedule'!F$20*(1-INDEX(Assumptions!$D$56:$F$56,1,2))*$D$71^0</f>
        <v>940000</v>
      </c>
      <c r="F81" s="13">
        <f>'Acquisition Schedule'!F$20*(1-INDEX(Assumptions!$D$56:$F$56,1,2))*$D$71^1</f>
        <v>856340</v>
      </c>
      <c r="G81" s="13">
        <f>'Acquisition Schedule'!F$20*(1-INDEX(Assumptions!$D$56:$F$56,1,2))*$D$71^2</f>
        <v>780125.74</v>
      </c>
      <c r="H81" s="13">
        <f>'Acquisition Schedule'!F$20*(1-INDEX(Assumptions!$D$56:$F$56,1,2))*$D$71^3</f>
        <v>710694.54914000002</v>
      </c>
      <c r="I81" s="13">
        <f>'Acquisition Schedule'!F$20*(1-INDEX(Assumptions!$D$56:$F$56,1,2))*$D$71^4</f>
        <v>647442.73426654004</v>
      </c>
      <c r="J81" s="13">
        <f>'Acquisition Schedule'!F$20*(1-INDEX(Assumptions!$D$56:$F$56,1,2))*$D$71^5</f>
        <v>589820.330916818</v>
      </c>
      <c r="K81" s="13">
        <f>'Acquisition Schedule'!F$20*(1-INDEX(Assumptions!$D$56:$F$56,1,2))*$D$71^6</f>
        <v>537326.32146522123</v>
      </c>
      <c r="L81" s="13">
        <f>'Acquisition Schedule'!F$20*(1-INDEX(Assumptions!$D$56:$F$56,1,2))*$D$71^7</f>
        <v>489504.27885481651</v>
      </c>
      <c r="M81" s="13">
        <f>'Acquisition Schedule'!F$20*(1-INDEX(Assumptions!$D$56:$F$56,1,2))*$D$71^8</f>
        <v>445938.39803673793</v>
      </c>
      <c r="N81" s="13">
        <f>'Acquisition Schedule'!F$20*(1-INDEX(Assumptions!$D$56:$F$56,1,2))*$D$71^9</f>
        <v>406249.88061146828</v>
      </c>
    </row>
    <row r="82" spans="1:14" ht="15" customHeight="1" x14ac:dyDescent="0.3">
      <c r="A82" s="6" t="s">
        <v>824</v>
      </c>
      <c r="B82" s="6" t="s">
        <v>218</v>
      </c>
      <c r="C82" s="6" t="s">
        <v>211</v>
      </c>
      <c r="D82" s="63">
        <f>0</f>
        <v>0</v>
      </c>
      <c r="E82" s="13">
        <f>'Acquisition Schedule'!G$20*$D$79</f>
        <v>352500</v>
      </c>
      <c r="F82" s="13">
        <f>'Acquisition Schedule'!G$20*(1-INDEX(Assumptions!$D$56:$F$56,1,2))*$D$71^0</f>
        <v>705000</v>
      </c>
      <c r="G82" s="13">
        <f>'Acquisition Schedule'!G$20*(1-INDEX(Assumptions!$D$56:$F$56,1,2))*$D$71^1</f>
        <v>642255</v>
      </c>
      <c r="H82" s="13">
        <f>'Acquisition Schedule'!G$20*(1-INDEX(Assumptions!$D$56:$F$56,1,2))*$D$71^2</f>
        <v>585094.30500000005</v>
      </c>
      <c r="I82" s="13">
        <f>'Acquisition Schedule'!G$20*(1-INDEX(Assumptions!$D$56:$F$56,1,2))*$D$71^3</f>
        <v>533020.91185500007</v>
      </c>
      <c r="J82" s="13">
        <f>'Acquisition Schedule'!G$20*(1-INDEX(Assumptions!$D$56:$F$56,1,2))*$D$71^4</f>
        <v>485582.05069990508</v>
      </c>
      <c r="K82" s="13">
        <f>'Acquisition Schedule'!G$20*(1-INDEX(Assumptions!$D$56:$F$56,1,2))*$D$71^5</f>
        <v>442365.24818761356</v>
      </c>
      <c r="L82" s="13">
        <f>'Acquisition Schedule'!G$20*(1-INDEX(Assumptions!$D$56:$F$56,1,2))*$D$71^6</f>
        <v>402994.74109891587</v>
      </c>
      <c r="M82" s="13">
        <f>'Acquisition Schedule'!G$20*(1-INDEX(Assumptions!$D$56:$F$56,1,2))*$D$71^7</f>
        <v>367128.2091411124</v>
      </c>
      <c r="N82" s="13">
        <f>'Acquisition Schedule'!G$20*(1-INDEX(Assumptions!$D$56:$F$56,1,2))*$D$71^8</f>
        <v>334453.79852755344</v>
      </c>
    </row>
    <row r="83" spans="1:14" ht="15" customHeight="1" x14ac:dyDescent="0.3">
      <c r="A83" s="6" t="s">
        <v>825</v>
      </c>
      <c r="B83" s="6" t="s">
        <v>218</v>
      </c>
      <c r="C83" s="6" t="s">
        <v>211</v>
      </c>
      <c r="D83" s="63">
        <f>0</f>
        <v>0</v>
      </c>
      <c r="E83" s="63">
        <f>0</f>
        <v>0</v>
      </c>
      <c r="F83" s="13">
        <f>'Acquisition Schedule'!H$20*$D$79</f>
        <v>352500</v>
      </c>
      <c r="G83" s="13">
        <f>'Acquisition Schedule'!H$20*(1-INDEX(Assumptions!$D$56:$F$56,1,2))*$D$71^0</f>
        <v>705000</v>
      </c>
      <c r="H83" s="13">
        <f>'Acquisition Schedule'!H$20*(1-INDEX(Assumptions!$D$56:$F$56,1,2))*$D$71^1</f>
        <v>642255</v>
      </c>
      <c r="I83" s="13">
        <f>'Acquisition Schedule'!H$20*(1-INDEX(Assumptions!$D$56:$F$56,1,2))*$D$71^2</f>
        <v>585094.30500000005</v>
      </c>
      <c r="J83" s="13">
        <f>'Acquisition Schedule'!H$20*(1-INDEX(Assumptions!$D$56:$F$56,1,2))*$D$71^3</f>
        <v>533020.91185500007</v>
      </c>
      <c r="K83" s="13">
        <f>'Acquisition Schedule'!H$20*(1-INDEX(Assumptions!$D$56:$F$56,1,2))*$D$71^4</f>
        <v>485582.05069990508</v>
      </c>
      <c r="L83" s="13">
        <f>'Acquisition Schedule'!H$20*(1-INDEX(Assumptions!$D$56:$F$56,1,2))*$D$71^5</f>
        <v>442365.24818761356</v>
      </c>
      <c r="M83" s="13">
        <f>'Acquisition Schedule'!H$20*(1-INDEX(Assumptions!$D$56:$F$56,1,2))*$D$71^6</f>
        <v>402994.74109891587</v>
      </c>
      <c r="N83" s="13">
        <f>'Acquisition Schedule'!H$20*(1-INDEX(Assumptions!$D$56:$F$56,1,2))*$D$71^7</f>
        <v>367128.2091411124</v>
      </c>
    </row>
    <row r="84" spans="1:14" ht="15" customHeight="1" x14ac:dyDescent="0.3">
      <c r="A84" s="6" t="s">
        <v>826</v>
      </c>
      <c r="B84" s="6" t="s">
        <v>218</v>
      </c>
      <c r="C84" s="6" t="s">
        <v>211</v>
      </c>
      <c r="D84" s="63">
        <f>0</f>
        <v>0</v>
      </c>
      <c r="E84" s="63">
        <f>0</f>
        <v>0</v>
      </c>
      <c r="F84" s="63">
        <f>0</f>
        <v>0</v>
      </c>
      <c r="G84" s="13">
        <f>'Acquisition Schedule'!I$20*$D$79</f>
        <v>940000</v>
      </c>
      <c r="H84" s="13">
        <f>'Acquisition Schedule'!I$20*(1-INDEX(Assumptions!$D$56:$F$56,1,2))*$D$71^0</f>
        <v>1880000</v>
      </c>
      <c r="I84" s="13">
        <f>'Acquisition Schedule'!I$20*(1-INDEX(Assumptions!$D$56:$F$56,1,2))*$D$71^1</f>
        <v>1712680</v>
      </c>
      <c r="J84" s="13">
        <f>'Acquisition Schedule'!I$20*(1-INDEX(Assumptions!$D$56:$F$56,1,2))*$D$71^2</f>
        <v>1560251.48</v>
      </c>
      <c r="K84" s="13">
        <f>'Acquisition Schedule'!I$20*(1-INDEX(Assumptions!$D$56:$F$56,1,2))*$D$71^3</f>
        <v>1421389.09828</v>
      </c>
      <c r="L84" s="13">
        <f>'Acquisition Schedule'!I$20*(1-INDEX(Assumptions!$D$56:$F$56,1,2))*$D$71^4</f>
        <v>1294885.4685330801</v>
      </c>
      <c r="M84" s="13">
        <f>'Acquisition Schedule'!I$20*(1-INDEX(Assumptions!$D$56:$F$56,1,2))*$D$71^5</f>
        <v>1179640.661833636</v>
      </c>
      <c r="N84" s="13">
        <f>'Acquisition Schedule'!I$20*(1-INDEX(Assumptions!$D$56:$F$56,1,2))*$D$71^6</f>
        <v>1074652.6429304425</v>
      </c>
    </row>
    <row r="85" spans="1:14" ht="15" customHeight="1" x14ac:dyDescent="0.3">
      <c r="A85" s="6" t="s">
        <v>827</v>
      </c>
      <c r="B85" s="6" t="s">
        <v>218</v>
      </c>
      <c r="C85" s="6" t="s">
        <v>211</v>
      </c>
      <c r="D85" s="63">
        <f>0</f>
        <v>0</v>
      </c>
      <c r="E85" s="63">
        <f>0</f>
        <v>0</v>
      </c>
      <c r="F85" s="63">
        <f>0</f>
        <v>0</v>
      </c>
      <c r="G85" s="63">
        <f>0</f>
        <v>0</v>
      </c>
      <c r="H85" s="13">
        <f>'Acquisition Schedule'!J$20*$D$79</f>
        <v>352500</v>
      </c>
      <c r="I85" s="13">
        <f>'Acquisition Schedule'!J$20*(1-INDEX(Assumptions!$D$56:$F$56,1,2))*$D$71^0</f>
        <v>705000</v>
      </c>
      <c r="J85" s="13">
        <f>'Acquisition Schedule'!J$20*(1-INDEX(Assumptions!$D$56:$F$56,1,2))*$D$71^1</f>
        <v>642255</v>
      </c>
      <c r="K85" s="13">
        <f>'Acquisition Schedule'!J$20*(1-INDEX(Assumptions!$D$56:$F$56,1,2))*$D$71^2</f>
        <v>585094.30500000005</v>
      </c>
      <c r="L85" s="13">
        <f>'Acquisition Schedule'!J$20*(1-INDEX(Assumptions!$D$56:$F$56,1,2))*$D$71^3</f>
        <v>533020.91185500007</v>
      </c>
      <c r="M85" s="13">
        <f>'Acquisition Schedule'!J$20*(1-INDEX(Assumptions!$D$56:$F$56,1,2))*$D$71^4</f>
        <v>485582.05069990508</v>
      </c>
      <c r="N85" s="13">
        <f>'Acquisition Schedule'!J$20*(1-INDEX(Assumptions!$D$56:$F$56,1,2))*$D$71^5</f>
        <v>442365.24818761356</v>
      </c>
    </row>
    <row r="86" spans="1:14" ht="15" customHeight="1" x14ac:dyDescent="0.3">
      <c r="A86" s="6" t="s">
        <v>828</v>
      </c>
      <c r="B86" s="6" t="s">
        <v>218</v>
      </c>
      <c r="C86" s="6" t="s">
        <v>211</v>
      </c>
      <c r="D86" s="63">
        <f>0</f>
        <v>0</v>
      </c>
      <c r="E86" s="63">
        <f>0</f>
        <v>0</v>
      </c>
      <c r="F86" s="63">
        <f>0</f>
        <v>0</v>
      </c>
      <c r="G86" s="63">
        <f>0</f>
        <v>0</v>
      </c>
      <c r="H86" s="63">
        <f>0</f>
        <v>0</v>
      </c>
      <c r="I86" s="13">
        <f>'Acquisition Schedule'!K$20*$D$79</f>
        <v>352500</v>
      </c>
      <c r="J86" s="13">
        <f>'Acquisition Schedule'!K$20*(1-INDEX(Assumptions!$D$56:$F$56,1,2))*$D$71^0</f>
        <v>705000</v>
      </c>
      <c r="K86" s="13">
        <f>'Acquisition Schedule'!K$20*(1-INDEX(Assumptions!$D$56:$F$56,1,2))*$D$71^1</f>
        <v>642255</v>
      </c>
      <c r="L86" s="13">
        <f>'Acquisition Schedule'!K$20*(1-INDEX(Assumptions!$D$56:$F$56,1,2))*$D$71^2</f>
        <v>585094.30500000005</v>
      </c>
      <c r="M86" s="13">
        <f>'Acquisition Schedule'!K$20*(1-INDEX(Assumptions!$D$56:$F$56,1,2))*$D$71^3</f>
        <v>533020.91185500007</v>
      </c>
      <c r="N86" s="13">
        <f>'Acquisition Schedule'!K$20*(1-INDEX(Assumptions!$D$56:$F$56,1,2))*$D$71^4</f>
        <v>485582.05069990508</v>
      </c>
    </row>
    <row r="87" spans="1:14" ht="15" customHeight="1" x14ac:dyDescent="0.3">
      <c r="A87" s="6" t="s">
        <v>829</v>
      </c>
      <c r="B87" s="6" t="s">
        <v>218</v>
      </c>
      <c r="C87" s="6" t="s">
        <v>211</v>
      </c>
      <c r="D87" s="63">
        <f>0</f>
        <v>0</v>
      </c>
      <c r="E87" s="63">
        <f>0</f>
        <v>0</v>
      </c>
      <c r="F87" s="63">
        <f>0</f>
        <v>0</v>
      </c>
      <c r="G87" s="63">
        <f>0</f>
        <v>0</v>
      </c>
      <c r="H87" s="63">
        <f>0</f>
        <v>0</v>
      </c>
      <c r="I87" s="63">
        <f>0</f>
        <v>0</v>
      </c>
      <c r="J87" s="13">
        <f>'Acquisition Schedule'!L$20*$D$79</f>
        <v>352500</v>
      </c>
      <c r="K87" s="13">
        <f>'Acquisition Schedule'!L$20*(1-INDEX(Assumptions!$D$56:$F$56,1,2))*$D$71^0</f>
        <v>705000</v>
      </c>
      <c r="L87" s="13">
        <f>'Acquisition Schedule'!L$20*(1-INDEX(Assumptions!$D$56:$F$56,1,2))*$D$71^1</f>
        <v>642255</v>
      </c>
      <c r="M87" s="13">
        <f>'Acquisition Schedule'!L$20*(1-INDEX(Assumptions!$D$56:$F$56,1,2))*$D$71^2</f>
        <v>585094.30500000005</v>
      </c>
      <c r="N87" s="13">
        <f>'Acquisition Schedule'!L$20*(1-INDEX(Assumptions!$D$56:$F$56,1,2))*$D$71^3</f>
        <v>533020.91185500007</v>
      </c>
    </row>
    <row r="88" spans="1:14" ht="15" customHeight="1" x14ac:dyDescent="0.3">
      <c r="A88" s="6" t="s">
        <v>830</v>
      </c>
      <c r="B88" s="6" t="s">
        <v>218</v>
      </c>
      <c r="C88" s="6" t="s">
        <v>211</v>
      </c>
      <c r="D88" s="63">
        <f>0</f>
        <v>0</v>
      </c>
      <c r="E88" s="63">
        <f>0</f>
        <v>0</v>
      </c>
      <c r="F88" s="63">
        <f>0</f>
        <v>0</v>
      </c>
      <c r="G88" s="63">
        <f>0</f>
        <v>0</v>
      </c>
      <c r="H88" s="63">
        <f>0</f>
        <v>0</v>
      </c>
      <c r="I88" s="63">
        <f>0</f>
        <v>0</v>
      </c>
      <c r="J88" s="63">
        <f>0</f>
        <v>0</v>
      </c>
      <c r="K88" s="13">
        <f>'Acquisition Schedule'!M$20*$D$79</f>
        <v>352500</v>
      </c>
      <c r="L88" s="13">
        <f>'Acquisition Schedule'!M$20*(1-INDEX(Assumptions!$D$56:$F$56,1,2))*$D$71^0</f>
        <v>705000</v>
      </c>
      <c r="M88" s="13">
        <f>'Acquisition Schedule'!M$20*(1-INDEX(Assumptions!$D$56:$F$56,1,2))*$D$71^1</f>
        <v>642255</v>
      </c>
      <c r="N88" s="13">
        <f>'Acquisition Schedule'!M$20*(1-INDEX(Assumptions!$D$56:$F$56,1,2))*$D$71^2</f>
        <v>585094.30500000005</v>
      </c>
    </row>
    <row r="89" spans="1:14" ht="15" customHeight="1" x14ac:dyDescent="0.3">
      <c r="A89" s="6" t="s">
        <v>831</v>
      </c>
      <c r="B89" s="2"/>
      <c r="C89" s="2"/>
      <c r="D89" s="2"/>
      <c r="E89" s="2"/>
      <c r="F89" s="2"/>
      <c r="G89" s="2"/>
      <c r="H89" s="2"/>
      <c r="I89" s="2"/>
      <c r="J89" s="2"/>
      <c r="K89" s="2"/>
      <c r="L89" s="2"/>
      <c r="M89" s="2"/>
      <c r="N89" s="2"/>
    </row>
    <row r="90" spans="1:14" ht="15" customHeight="1" x14ac:dyDescent="0.3">
      <c r="A90" s="6" t="s">
        <v>832</v>
      </c>
      <c r="B90" s="6" t="s">
        <v>218</v>
      </c>
      <c r="C90" s="6" t="s">
        <v>222</v>
      </c>
      <c r="D90" s="63">
        <f>0</f>
        <v>0</v>
      </c>
      <c r="E90" s="13">
        <f>'Acquisition Schedule'!F$20*(1-INDEX(Assumptions!$D$56:$F$56,1,2))*($D$76^0-$D$71^0)</f>
        <v>0</v>
      </c>
      <c r="F90" s="13">
        <f>'Acquisition Schedule'!F$20*(1-INDEX(Assumptions!$D$56:$F$56,1,2))*($D$76^1-$D$71^1)</f>
        <v>119887.60000000019</v>
      </c>
      <c r="G90" s="13">
        <f>'Acquisition Schedule'!F$20*(1-INDEX(Assumptions!$D$56:$F$56,1,2))*($D$76^2-$D$71^2)</f>
        <v>233725.6717040005</v>
      </c>
      <c r="H90" s="13">
        <f>'Acquisition Schedule'!F$20*(1-INDEX(Assumptions!$D$56:$F$56,1,2))*($D$76^3-$D$71^3)</f>
        <v>342230.69597107294</v>
      </c>
      <c r="I90" s="13">
        <f>'Acquisition Schedule'!F$20*(1-INDEX(Assumptions!$D$56:$F$56,1,2))*($D$76^4-$D$71^4)</f>
        <v>446062.24979111389</v>
      </c>
      <c r="J90" s="13">
        <f>'Acquisition Schedule'!F$20*(1-INDEX(Assumptions!$D$56:$F$56,1,2))*($D$76^5-$D$71^5)</f>
        <v>545828.3352264181</v>
      </c>
      <c r="K90" s="13">
        <f>'Acquisition Schedule'!F$20*(1-INDEX(Assumptions!$D$56:$F$56,1,2))*($D$76^6-$D$71^6)</f>
        <v>642090.24427117582</v>
      </c>
      <c r="L90" s="13">
        <f>'Acquisition Schedule'!F$20*(1-INDEX(Assumptions!$D$56:$F$56,1,2))*($D$76^7-$D$71^7)</f>
        <v>735367.00132506143</v>
      </c>
      <c r="M90" s="13">
        <f>'Acquisition Schedule'!F$20*(1-INDEX(Assumptions!$D$56:$F$56,1,2))*($D$76^8-$D$71^8)</f>
        <v>826139.42128127278</v>
      </c>
      <c r="N90" s="13">
        <f>'Acquisition Schedule'!F$20*(1-INDEX(Assumptions!$D$56:$F$56,1,2))*($D$76^9-$D$71^9)</f>
        <v>914853.81786305876</v>
      </c>
    </row>
    <row r="91" spans="1:14" ht="15" customHeight="1" x14ac:dyDescent="0.3">
      <c r="A91" s="6" t="s">
        <v>833</v>
      </c>
      <c r="B91" s="6" t="s">
        <v>218</v>
      </c>
      <c r="C91" s="6" t="s">
        <v>222</v>
      </c>
      <c r="D91" s="63">
        <f>0</f>
        <v>0</v>
      </c>
      <c r="E91" s="63">
        <f>0</f>
        <v>0</v>
      </c>
      <c r="F91" s="13">
        <f>'Acquisition Schedule'!G$20*(1-INDEX(Assumptions!$D$56:$F$56,1,2))*($D$76^0-$D$71^0)</f>
        <v>0</v>
      </c>
      <c r="G91" s="13">
        <f>'Acquisition Schedule'!G$20*(1-INDEX(Assumptions!$D$56:$F$56,1,2))*($D$76^1-$D$71^1)</f>
        <v>89915.700000000143</v>
      </c>
      <c r="H91" s="13">
        <f>'Acquisition Schedule'!G$20*(1-INDEX(Assumptions!$D$56:$F$56,1,2))*($D$76^2-$D$71^2)</f>
        <v>175294.25377800039</v>
      </c>
      <c r="I91" s="13">
        <f>'Acquisition Schedule'!G$20*(1-INDEX(Assumptions!$D$56:$F$56,1,2))*($D$76^3-$D$71^3)</f>
        <v>256673.02197830472</v>
      </c>
      <c r="J91" s="13">
        <f>'Acquisition Schedule'!G$20*(1-INDEX(Assumptions!$D$56:$F$56,1,2))*($D$76^4-$D$71^4)</f>
        <v>334546.68734333542</v>
      </c>
      <c r="K91" s="13">
        <f>'Acquisition Schedule'!G$20*(1-INDEX(Assumptions!$D$56:$F$56,1,2))*($D$76^5-$D$71^5)</f>
        <v>409371.25141981355</v>
      </c>
      <c r="L91" s="13">
        <f>'Acquisition Schedule'!G$20*(1-INDEX(Assumptions!$D$56:$F$56,1,2))*($D$76^6-$D$71^6)</f>
        <v>481567.68320338184</v>
      </c>
      <c r="M91" s="13">
        <f>'Acquisition Schedule'!G$20*(1-INDEX(Assumptions!$D$56:$F$56,1,2))*($D$76^7-$D$71^7)</f>
        <v>551525.25099379604</v>
      </c>
      <c r="N91" s="13">
        <f>'Acquisition Schedule'!G$20*(1-INDEX(Assumptions!$D$56:$F$56,1,2))*($D$76^8-$D$71^8)</f>
        <v>619604.56596095453</v>
      </c>
    </row>
    <row r="92" spans="1:14" ht="15" customHeight="1" x14ac:dyDescent="0.3">
      <c r="A92" s="6" t="s">
        <v>834</v>
      </c>
      <c r="B92" s="6" t="s">
        <v>218</v>
      </c>
      <c r="C92" s="6" t="s">
        <v>222</v>
      </c>
      <c r="D92" s="63">
        <f>0</f>
        <v>0</v>
      </c>
      <c r="E92" s="63">
        <f>0</f>
        <v>0</v>
      </c>
      <c r="F92" s="63">
        <f>0</f>
        <v>0</v>
      </c>
      <c r="G92" s="13">
        <f>'Acquisition Schedule'!H$20*(1-INDEX(Assumptions!$D$56:$F$56,1,2))*($D$76^0-$D$71^0)</f>
        <v>0</v>
      </c>
      <c r="H92" s="13">
        <f>'Acquisition Schedule'!H$20*(1-INDEX(Assumptions!$D$56:$F$56,1,2))*($D$76^1-$D$71^1)</f>
        <v>89915.700000000143</v>
      </c>
      <c r="I92" s="13">
        <f>'Acquisition Schedule'!H$20*(1-INDEX(Assumptions!$D$56:$F$56,1,2))*($D$76^2-$D$71^2)</f>
        <v>175294.25377800039</v>
      </c>
      <c r="J92" s="13">
        <f>'Acquisition Schedule'!H$20*(1-INDEX(Assumptions!$D$56:$F$56,1,2))*($D$76^3-$D$71^3)</f>
        <v>256673.02197830472</v>
      </c>
      <c r="K92" s="13">
        <f>'Acquisition Schedule'!H$20*(1-INDEX(Assumptions!$D$56:$F$56,1,2))*($D$76^4-$D$71^4)</f>
        <v>334546.68734333542</v>
      </c>
      <c r="L92" s="13">
        <f>'Acquisition Schedule'!H$20*(1-INDEX(Assumptions!$D$56:$F$56,1,2))*($D$76^5-$D$71^5)</f>
        <v>409371.25141981355</v>
      </c>
      <c r="M92" s="13">
        <f>'Acquisition Schedule'!H$20*(1-INDEX(Assumptions!$D$56:$F$56,1,2))*($D$76^6-$D$71^6)</f>
        <v>481567.68320338184</v>
      </c>
      <c r="N92" s="13">
        <f>'Acquisition Schedule'!H$20*(1-INDEX(Assumptions!$D$56:$F$56,1,2))*($D$76^7-$D$71^7)</f>
        <v>551525.25099379604</v>
      </c>
    </row>
    <row r="93" spans="1:14" ht="15" customHeight="1" x14ac:dyDescent="0.3">
      <c r="A93" s="6" t="s">
        <v>835</v>
      </c>
      <c r="B93" s="6" t="s">
        <v>218</v>
      </c>
      <c r="C93" s="6" t="s">
        <v>222</v>
      </c>
      <c r="D93" s="63">
        <f>0</f>
        <v>0</v>
      </c>
      <c r="E93" s="63">
        <f>0</f>
        <v>0</v>
      </c>
      <c r="F93" s="63">
        <f>0</f>
        <v>0</v>
      </c>
      <c r="G93" s="63">
        <f>0</f>
        <v>0</v>
      </c>
      <c r="H93" s="13">
        <f>'Acquisition Schedule'!I$20*(1-INDEX(Assumptions!$D$56:$F$56,1,2))*($D$76^0-$D$71^0)</f>
        <v>0</v>
      </c>
      <c r="I93" s="13">
        <f>'Acquisition Schedule'!I$20*(1-INDEX(Assumptions!$D$56:$F$56,1,2))*($D$76^1-$D$71^1)</f>
        <v>239775.20000000039</v>
      </c>
      <c r="J93" s="13">
        <f>'Acquisition Schedule'!I$20*(1-INDEX(Assumptions!$D$56:$F$56,1,2))*($D$76^2-$D$71^2)</f>
        <v>467451.343408001</v>
      </c>
      <c r="K93" s="13">
        <f>'Acquisition Schedule'!I$20*(1-INDEX(Assumptions!$D$56:$F$56,1,2))*($D$76^3-$D$71^3)</f>
        <v>684461.39194214588</v>
      </c>
      <c r="L93" s="13">
        <f>'Acquisition Schedule'!I$20*(1-INDEX(Assumptions!$D$56:$F$56,1,2))*($D$76^4-$D$71^4)</f>
        <v>892124.49958222779</v>
      </c>
      <c r="M93" s="13">
        <f>'Acquisition Schedule'!I$20*(1-INDEX(Assumptions!$D$56:$F$56,1,2))*($D$76^5-$D$71^5)</f>
        <v>1091656.6704528362</v>
      </c>
      <c r="N93" s="13">
        <f>'Acquisition Schedule'!I$20*(1-INDEX(Assumptions!$D$56:$F$56,1,2))*($D$76^6-$D$71^6)</f>
        <v>1284180.4885423516</v>
      </c>
    </row>
    <row r="94" spans="1:14" ht="15" customHeight="1" x14ac:dyDescent="0.3">
      <c r="A94" s="6" t="s">
        <v>836</v>
      </c>
      <c r="B94" s="6" t="s">
        <v>218</v>
      </c>
      <c r="C94" s="6" t="s">
        <v>222</v>
      </c>
      <c r="D94" s="63">
        <f>0</f>
        <v>0</v>
      </c>
      <c r="E94" s="63">
        <f>0</f>
        <v>0</v>
      </c>
      <c r="F94" s="63">
        <f>0</f>
        <v>0</v>
      </c>
      <c r="G94" s="63">
        <f>0</f>
        <v>0</v>
      </c>
      <c r="H94" s="63">
        <f>0</f>
        <v>0</v>
      </c>
      <c r="I94" s="13">
        <f>'Acquisition Schedule'!J$20*(1-INDEX(Assumptions!$D$56:$F$56,1,2))*($D$76^0-$D$71^0)</f>
        <v>0</v>
      </c>
      <c r="J94" s="13">
        <f>'Acquisition Schedule'!J$20*(1-INDEX(Assumptions!$D$56:$F$56,1,2))*($D$76^1-$D$71^1)</f>
        <v>89915.700000000143</v>
      </c>
      <c r="K94" s="13">
        <f>'Acquisition Schedule'!J$20*(1-INDEX(Assumptions!$D$56:$F$56,1,2))*($D$76^2-$D$71^2)</f>
        <v>175294.25377800039</v>
      </c>
      <c r="L94" s="13">
        <f>'Acquisition Schedule'!J$20*(1-INDEX(Assumptions!$D$56:$F$56,1,2))*($D$76^3-$D$71^3)</f>
        <v>256673.02197830472</v>
      </c>
      <c r="M94" s="13">
        <f>'Acquisition Schedule'!J$20*(1-INDEX(Assumptions!$D$56:$F$56,1,2))*($D$76^4-$D$71^4)</f>
        <v>334546.68734333542</v>
      </c>
      <c r="N94" s="13">
        <f>'Acquisition Schedule'!J$20*(1-INDEX(Assumptions!$D$56:$F$56,1,2))*($D$76^5-$D$71^5)</f>
        <v>409371.25141981355</v>
      </c>
    </row>
    <row r="95" spans="1:14" ht="15" customHeight="1" x14ac:dyDescent="0.3">
      <c r="A95" s="6" t="s">
        <v>837</v>
      </c>
      <c r="B95" s="6" t="s">
        <v>218</v>
      </c>
      <c r="C95" s="6" t="s">
        <v>222</v>
      </c>
      <c r="D95" s="63">
        <f>0</f>
        <v>0</v>
      </c>
      <c r="E95" s="63">
        <f>0</f>
        <v>0</v>
      </c>
      <c r="F95" s="63">
        <f>0</f>
        <v>0</v>
      </c>
      <c r="G95" s="63">
        <f>0</f>
        <v>0</v>
      </c>
      <c r="H95" s="63">
        <f>0</f>
        <v>0</v>
      </c>
      <c r="I95" s="63">
        <f>0</f>
        <v>0</v>
      </c>
      <c r="J95" s="13">
        <f>'Acquisition Schedule'!K$20*(1-INDEX(Assumptions!$D$56:$F$56,1,2))*($D$76^0-$D$71^0)</f>
        <v>0</v>
      </c>
      <c r="K95" s="13">
        <f>'Acquisition Schedule'!K$20*(1-INDEX(Assumptions!$D$56:$F$56,1,2))*($D$76^1-$D$71^1)</f>
        <v>89915.700000000143</v>
      </c>
      <c r="L95" s="13">
        <f>'Acquisition Schedule'!K$20*(1-INDEX(Assumptions!$D$56:$F$56,1,2))*($D$76^2-$D$71^2)</f>
        <v>175294.25377800039</v>
      </c>
      <c r="M95" s="13">
        <f>'Acquisition Schedule'!K$20*(1-INDEX(Assumptions!$D$56:$F$56,1,2))*($D$76^3-$D$71^3)</f>
        <v>256673.02197830472</v>
      </c>
      <c r="N95" s="13">
        <f>'Acquisition Schedule'!K$20*(1-INDEX(Assumptions!$D$56:$F$56,1,2))*($D$76^4-$D$71^4)</f>
        <v>334546.68734333542</v>
      </c>
    </row>
    <row r="96" spans="1:14" ht="15" customHeight="1" x14ac:dyDescent="0.3">
      <c r="A96" s="6" t="s">
        <v>838</v>
      </c>
      <c r="B96" s="6" t="s">
        <v>218</v>
      </c>
      <c r="C96" s="6" t="s">
        <v>222</v>
      </c>
      <c r="D96" s="63">
        <f>0</f>
        <v>0</v>
      </c>
      <c r="E96" s="63">
        <f>0</f>
        <v>0</v>
      </c>
      <c r="F96" s="63">
        <f>0</f>
        <v>0</v>
      </c>
      <c r="G96" s="63">
        <f>0</f>
        <v>0</v>
      </c>
      <c r="H96" s="63">
        <f>0</f>
        <v>0</v>
      </c>
      <c r="I96" s="63">
        <f>0</f>
        <v>0</v>
      </c>
      <c r="J96" s="63">
        <f>0</f>
        <v>0</v>
      </c>
      <c r="K96" s="13">
        <f>'Acquisition Schedule'!L$20*(1-INDEX(Assumptions!$D$56:$F$56,1,2))*($D$76^0-$D$71^0)</f>
        <v>0</v>
      </c>
      <c r="L96" s="13">
        <f>'Acquisition Schedule'!L$20*(1-INDEX(Assumptions!$D$56:$F$56,1,2))*($D$76^1-$D$71^1)</f>
        <v>89915.700000000143</v>
      </c>
      <c r="M96" s="13">
        <f>'Acquisition Schedule'!L$20*(1-INDEX(Assumptions!$D$56:$F$56,1,2))*($D$76^2-$D$71^2)</f>
        <v>175294.25377800039</v>
      </c>
      <c r="N96" s="13">
        <f>'Acquisition Schedule'!L$20*(1-INDEX(Assumptions!$D$56:$F$56,1,2))*($D$76^3-$D$71^3)</f>
        <v>256673.02197830472</v>
      </c>
    </row>
    <row r="97" spans="1:14" ht="15" customHeight="1" x14ac:dyDescent="0.3">
      <c r="A97" s="6" t="s">
        <v>839</v>
      </c>
      <c r="B97" s="6" t="s">
        <v>218</v>
      </c>
      <c r="C97" s="6" t="s">
        <v>222</v>
      </c>
      <c r="D97" s="63">
        <f>0</f>
        <v>0</v>
      </c>
      <c r="E97" s="63">
        <f>0</f>
        <v>0</v>
      </c>
      <c r="F97" s="63">
        <f>0</f>
        <v>0</v>
      </c>
      <c r="G97" s="63">
        <f>0</f>
        <v>0</v>
      </c>
      <c r="H97" s="63">
        <f>0</f>
        <v>0</v>
      </c>
      <c r="I97" s="63">
        <f>0</f>
        <v>0</v>
      </c>
      <c r="J97" s="63">
        <f>0</f>
        <v>0</v>
      </c>
      <c r="K97" s="63">
        <f>0</f>
        <v>0</v>
      </c>
      <c r="L97" s="13">
        <f>'Acquisition Schedule'!M$20*(1-INDEX(Assumptions!$D$56:$F$56,1,2))*($D$76^0-$D$71^0)</f>
        <v>0</v>
      </c>
      <c r="M97" s="13">
        <f>'Acquisition Schedule'!M$20*(1-INDEX(Assumptions!$D$56:$F$56,1,2))*($D$76^1-$D$71^1)</f>
        <v>89915.700000000143</v>
      </c>
      <c r="N97" s="13">
        <f>'Acquisition Schedule'!M$20*(1-INDEX(Assumptions!$D$56:$F$56,1,2))*($D$76^2-$D$71^2)</f>
        <v>175294.25377800039</v>
      </c>
    </row>
    <row r="98" spans="1:14" ht="15" customHeight="1" x14ac:dyDescent="0.3">
      <c r="A98" s="6" t="s">
        <v>840</v>
      </c>
      <c r="B98" s="2"/>
      <c r="C98" s="2"/>
      <c r="D98" s="2"/>
      <c r="E98" s="2"/>
      <c r="F98" s="2"/>
      <c r="G98" s="2"/>
      <c r="H98" s="2"/>
      <c r="I98" s="2"/>
      <c r="J98" s="2"/>
      <c r="K98" s="2"/>
      <c r="L98" s="2"/>
      <c r="M98" s="2"/>
      <c r="N98" s="2"/>
    </row>
    <row r="99" spans="1:14" ht="15" customHeight="1" x14ac:dyDescent="0.3">
      <c r="A99" s="1" t="s">
        <v>841</v>
      </c>
      <c r="B99" s="6" t="s">
        <v>218</v>
      </c>
      <c r="C99" s="6" t="s">
        <v>211</v>
      </c>
      <c r="D99" s="61">
        <f t="shared" ref="D99:N99" si="16">SUM(D81:D88)</f>
        <v>940000</v>
      </c>
      <c r="E99" s="61">
        <f t="shared" si="16"/>
        <v>1292500</v>
      </c>
      <c r="F99" s="61">
        <f t="shared" si="16"/>
        <v>1913840</v>
      </c>
      <c r="G99" s="61">
        <f t="shared" si="16"/>
        <v>3067380.74</v>
      </c>
      <c r="H99" s="61">
        <f t="shared" si="16"/>
        <v>4170543.85414</v>
      </c>
      <c r="I99" s="61">
        <f t="shared" si="16"/>
        <v>4535737.9511215407</v>
      </c>
      <c r="J99" s="61">
        <f t="shared" si="16"/>
        <v>4868429.7734717233</v>
      </c>
      <c r="K99" s="61">
        <f t="shared" si="16"/>
        <v>5171512.0236327406</v>
      </c>
      <c r="L99" s="61">
        <f t="shared" si="16"/>
        <v>5095119.9535294268</v>
      </c>
      <c r="M99" s="61">
        <f t="shared" si="16"/>
        <v>4641654.2776653077</v>
      </c>
      <c r="N99" s="61">
        <f t="shared" si="16"/>
        <v>4228547.0469530951</v>
      </c>
    </row>
    <row r="100" spans="1:14" ht="15" customHeight="1" x14ac:dyDescent="0.3">
      <c r="A100" s="6" t="s">
        <v>842</v>
      </c>
      <c r="B100" s="6" t="s">
        <v>210</v>
      </c>
      <c r="C100" s="6" t="s">
        <v>211</v>
      </c>
      <c r="D100" s="13">
        <f>D99/INDEX(Assumptions!$D$32:$F$32,1,2)</f>
        <v>7343.75</v>
      </c>
      <c r="E100" s="13">
        <f>E99/INDEX(Assumptions!$D$32:$F$32,1,2)</f>
        <v>10097.65625</v>
      </c>
      <c r="F100" s="13">
        <f>F99/INDEX(Assumptions!$D$32:$F$32,1,2)</f>
        <v>14951.875</v>
      </c>
      <c r="G100" s="13">
        <f>G99/INDEX(Assumptions!$D$32:$F$32,1,2)</f>
        <v>23963.912031250002</v>
      </c>
      <c r="H100" s="13">
        <f>H99/INDEX(Assumptions!$D$32:$F$32,1,2)</f>
        <v>32582.37386046875</v>
      </c>
      <c r="I100" s="13">
        <f>I99/INDEX(Assumptions!$D$32:$F$32,1,2)</f>
        <v>35435.452743137037</v>
      </c>
      <c r="J100" s="13">
        <f>J99/INDEX(Assumptions!$D$32:$F$32,1,2)</f>
        <v>38034.607605247838</v>
      </c>
      <c r="K100" s="13">
        <f>K99/INDEX(Assumptions!$D$32:$F$32,1,2)</f>
        <v>40402.437684630786</v>
      </c>
      <c r="L100" s="13">
        <f>L99/INDEX(Assumptions!$D$32:$F$32,1,2)</f>
        <v>39805.624636948647</v>
      </c>
      <c r="M100" s="13">
        <f>M99/INDEX(Assumptions!$D$32:$F$32,1,2)</f>
        <v>36262.924044260217</v>
      </c>
      <c r="N100" s="13">
        <f>N99/INDEX(Assumptions!$D$32:$F$32,1,2)</f>
        <v>33035.523804321056</v>
      </c>
    </row>
    <row r="101" spans="1:14" ht="15" customHeight="1" x14ac:dyDescent="0.3">
      <c r="A101" s="6" t="s">
        <v>843</v>
      </c>
      <c r="B101" s="6" t="s">
        <v>218</v>
      </c>
      <c r="C101" s="6" t="s">
        <v>222</v>
      </c>
      <c r="D101" s="63">
        <f t="shared" ref="D101:N101" si="17">SUM(D90:D97)</f>
        <v>0</v>
      </c>
      <c r="E101" s="63">
        <f t="shared" si="17"/>
        <v>0</v>
      </c>
      <c r="F101" s="63">
        <f t="shared" si="17"/>
        <v>119887.60000000019</v>
      </c>
      <c r="G101" s="63">
        <f t="shared" si="17"/>
        <v>323641.37170400063</v>
      </c>
      <c r="H101" s="63">
        <f t="shared" si="17"/>
        <v>607440.64974907355</v>
      </c>
      <c r="I101" s="63">
        <f t="shared" si="17"/>
        <v>1117804.7255474194</v>
      </c>
      <c r="J101" s="63">
        <f t="shared" si="17"/>
        <v>1694415.0879560593</v>
      </c>
      <c r="K101" s="63">
        <f t="shared" si="17"/>
        <v>2335679.5287544713</v>
      </c>
      <c r="L101" s="63">
        <f t="shared" si="17"/>
        <v>3040313.4112867899</v>
      </c>
      <c r="M101" s="63">
        <f t="shared" si="17"/>
        <v>3807318.6890309271</v>
      </c>
      <c r="N101" s="63">
        <f t="shared" si="17"/>
        <v>4546049.337879614</v>
      </c>
    </row>
    <row r="102" spans="1:14" ht="15" customHeight="1" x14ac:dyDescent="0.3">
      <c r="A102" s="6" t="s">
        <v>844</v>
      </c>
      <c r="B102" s="6" t="s">
        <v>210</v>
      </c>
      <c r="C102" s="6" t="s">
        <v>222</v>
      </c>
      <c r="D102" s="13">
        <f>D101/INDEX(Assumptions!$D$32:$F$32,1,2)</f>
        <v>0</v>
      </c>
      <c r="E102" s="13">
        <f>E101/INDEX(Assumptions!$D$32:$F$32,1,2)</f>
        <v>0</v>
      </c>
      <c r="F102" s="13">
        <f>F101/INDEX(Assumptions!$D$32:$F$32,1,2)</f>
        <v>936.62187500000152</v>
      </c>
      <c r="G102" s="13">
        <f>G101/INDEX(Assumptions!$D$32:$F$32,1,2)</f>
        <v>2528.4482164375049</v>
      </c>
      <c r="H102" s="13">
        <f>H101/INDEX(Assumptions!$D$32:$F$32,1,2)</f>
        <v>4745.6300761646371</v>
      </c>
      <c r="I102" s="13">
        <f>I101/INDEX(Assumptions!$D$32:$F$32,1,2)</f>
        <v>8732.849418339214</v>
      </c>
      <c r="J102" s="13">
        <f>J101/INDEX(Assumptions!$D$32:$F$32,1,2)</f>
        <v>13237.617874656713</v>
      </c>
      <c r="K102" s="13">
        <f>K101/INDEX(Assumptions!$D$32:$F$32,1,2)</f>
        <v>18247.496318394307</v>
      </c>
      <c r="L102" s="13">
        <f>L101/INDEX(Assumptions!$D$32:$F$32,1,2)</f>
        <v>23752.448525678046</v>
      </c>
      <c r="M102" s="13">
        <f>M101/INDEX(Assumptions!$D$32:$F$32,1,2)</f>
        <v>29744.677258054118</v>
      </c>
      <c r="N102" s="13">
        <f>N101/INDEX(Assumptions!$D$32:$F$32,1,2)</f>
        <v>35516.010452184484</v>
      </c>
    </row>
    <row r="103" spans="1:14" ht="15" customHeight="1" x14ac:dyDescent="0.3">
      <c r="A103" s="6" t="s">
        <v>845</v>
      </c>
      <c r="B103" s="6" t="s">
        <v>210</v>
      </c>
      <c r="C103" s="6" t="s">
        <v>211</v>
      </c>
      <c r="D103" s="63">
        <f t="shared" ref="D103:N103" si="18">D100+D102</f>
        <v>7343.75</v>
      </c>
      <c r="E103" s="63">
        <f t="shared" si="18"/>
        <v>10097.65625</v>
      </c>
      <c r="F103" s="63">
        <f t="shared" si="18"/>
        <v>15888.496875000001</v>
      </c>
      <c r="G103" s="63">
        <f t="shared" si="18"/>
        <v>26492.360247687506</v>
      </c>
      <c r="H103" s="63">
        <f t="shared" si="18"/>
        <v>37328.003936633388</v>
      </c>
      <c r="I103" s="63">
        <f t="shared" si="18"/>
        <v>44168.302161476255</v>
      </c>
      <c r="J103" s="63">
        <f t="shared" si="18"/>
        <v>51272.225479904548</v>
      </c>
      <c r="K103" s="63">
        <f t="shared" si="18"/>
        <v>58649.93400302509</v>
      </c>
      <c r="L103" s="63">
        <f t="shared" si="18"/>
        <v>63558.073162626693</v>
      </c>
      <c r="M103" s="63">
        <f t="shared" si="18"/>
        <v>66007.601302314331</v>
      </c>
      <c r="N103" s="63">
        <f t="shared" si="18"/>
        <v>68551.534256505547</v>
      </c>
    </row>
    <row r="104" spans="1:14" ht="15" customHeight="1" x14ac:dyDescent="0.3">
      <c r="A104" s="6" t="s">
        <v>846</v>
      </c>
      <c r="B104" s="6" t="s">
        <v>210</v>
      </c>
      <c r="C104" s="6" t="s">
        <v>245</v>
      </c>
      <c r="D104" s="13">
        <f>MAX(0,INDEX(Assumptions!$D$16:$F$16,1,2)-D100)</f>
        <v>42656.25</v>
      </c>
      <c r="E104" s="13">
        <f>MAX(0,INDEX(Assumptions!$D$16:$F$16,1,2)-E100)</f>
        <v>39902.34375</v>
      </c>
      <c r="F104" s="13">
        <f>MAX(0,INDEX(Assumptions!$D$16:$F$16,1,2)-F100)</f>
        <v>35048.125</v>
      </c>
      <c r="G104" s="13">
        <f>MAX(0,INDEX(Assumptions!$D$16:$F$16,1,2)-G100)</f>
        <v>26036.087968749998</v>
      </c>
      <c r="H104" s="13">
        <f>MAX(0,INDEX(Assumptions!$D$16:$F$16,1,2)-H100)</f>
        <v>17417.62613953125</v>
      </c>
      <c r="I104" s="13">
        <f>MAX(0,INDEX(Assumptions!$D$16:$F$16,1,2)-I100)</f>
        <v>14564.547256862963</v>
      </c>
      <c r="J104" s="13">
        <f>MAX(0,INDEX(Assumptions!$D$16:$F$16,1,2)-J100)</f>
        <v>11965.392394752162</v>
      </c>
      <c r="K104" s="13">
        <f>MAX(0,INDEX(Assumptions!$D$16:$F$16,1,2)-K100)</f>
        <v>9597.562315369214</v>
      </c>
      <c r="L104" s="13">
        <f>MAX(0,INDEX(Assumptions!$D$16:$F$16,1,2)-L100)</f>
        <v>10194.375363051353</v>
      </c>
      <c r="M104" s="13">
        <f>MAX(0,INDEX(Assumptions!$D$16:$F$16,1,2)-M100)</f>
        <v>13737.075955739783</v>
      </c>
      <c r="N104" s="13">
        <f>MAX(0,INDEX(Assumptions!$D$16:$F$16,1,2)-N100)</f>
        <v>16964.476195678944</v>
      </c>
    </row>
    <row r="105" spans="1:14" ht="15" customHeight="1" x14ac:dyDescent="0.3">
      <c r="A105" s="6" t="s">
        <v>847</v>
      </c>
      <c r="B105" s="2"/>
      <c r="C105" s="2"/>
      <c r="D105" s="2"/>
      <c r="E105" s="2"/>
      <c r="F105" s="2"/>
      <c r="G105" s="2"/>
      <c r="H105" s="2"/>
      <c r="I105" s="2"/>
      <c r="J105" s="2"/>
      <c r="K105" s="2"/>
      <c r="L105" s="2"/>
      <c r="M105" s="2"/>
      <c r="N105" s="2"/>
    </row>
    <row r="106" spans="1:14" ht="15" customHeight="1" x14ac:dyDescent="0.3">
      <c r="A106" s="6" t="s">
        <v>848</v>
      </c>
      <c r="B106" s="6" t="s">
        <v>210</v>
      </c>
      <c r="C106" s="6" t="s">
        <v>222</v>
      </c>
      <c r="D106" s="63">
        <f t="shared" ref="D106:N106" si="19">MIN(D102,D104)</f>
        <v>0</v>
      </c>
      <c r="E106" s="63">
        <f t="shared" si="19"/>
        <v>0</v>
      </c>
      <c r="F106" s="63">
        <f t="shared" si="19"/>
        <v>936.62187500000152</v>
      </c>
      <c r="G106" s="63">
        <f t="shared" si="19"/>
        <v>2528.4482164375049</v>
      </c>
      <c r="H106" s="63">
        <f t="shared" si="19"/>
        <v>4745.6300761646371</v>
      </c>
      <c r="I106" s="63">
        <f t="shared" si="19"/>
        <v>8732.849418339214</v>
      </c>
      <c r="J106" s="63">
        <f t="shared" si="19"/>
        <v>11965.392394752162</v>
      </c>
      <c r="K106" s="63">
        <f t="shared" si="19"/>
        <v>9597.562315369214</v>
      </c>
      <c r="L106" s="63">
        <f t="shared" si="19"/>
        <v>10194.375363051353</v>
      </c>
      <c r="M106" s="63">
        <f t="shared" si="19"/>
        <v>13737.075955739783</v>
      </c>
      <c r="N106" s="63">
        <f t="shared" si="19"/>
        <v>16964.476195678944</v>
      </c>
    </row>
    <row r="107" spans="1:14" ht="15" customHeight="1" x14ac:dyDescent="0.3">
      <c r="A107" s="1" t="s">
        <v>849</v>
      </c>
      <c r="B107" s="6" t="s">
        <v>210</v>
      </c>
      <c r="C107" s="6" t="s">
        <v>245</v>
      </c>
      <c r="D107" s="66">
        <f t="shared" ref="D107:N107" si="20">D102-D106</f>
        <v>0</v>
      </c>
      <c r="E107" s="66">
        <f t="shared" si="20"/>
        <v>0</v>
      </c>
      <c r="F107" s="66">
        <f t="shared" si="20"/>
        <v>0</v>
      </c>
      <c r="G107" s="66">
        <f t="shared" si="20"/>
        <v>0</v>
      </c>
      <c r="H107" s="66">
        <f t="shared" si="20"/>
        <v>0</v>
      </c>
      <c r="I107" s="66">
        <f t="shared" si="20"/>
        <v>0</v>
      </c>
      <c r="J107" s="66">
        <f t="shared" si="20"/>
        <v>1272.2254799045513</v>
      </c>
      <c r="K107" s="66">
        <f t="shared" si="20"/>
        <v>8649.9340030250933</v>
      </c>
      <c r="L107" s="66">
        <f t="shared" si="20"/>
        <v>13558.073162626693</v>
      </c>
      <c r="M107" s="66">
        <f t="shared" si="20"/>
        <v>16007.601302314335</v>
      </c>
      <c r="N107" s="66">
        <f t="shared" si="20"/>
        <v>18551.53425650554</v>
      </c>
    </row>
    <row r="108" spans="1:14" ht="15" customHeight="1" x14ac:dyDescent="0.3">
      <c r="A108" s="6" t="s">
        <v>850</v>
      </c>
      <c r="B108" s="6" t="s">
        <v>265</v>
      </c>
      <c r="C108" s="6" t="s">
        <v>245</v>
      </c>
      <c r="D108" s="65">
        <f t="shared" ref="D108:N108" si="21">IF(D102&lt;=0,1,D106/D102)</f>
        <v>1</v>
      </c>
      <c r="E108" s="65">
        <f t="shared" si="21"/>
        <v>1</v>
      </c>
      <c r="F108" s="65">
        <f t="shared" si="21"/>
        <v>1</v>
      </c>
      <c r="G108" s="65">
        <f t="shared" si="21"/>
        <v>1</v>
      </c>
      <c r="H108" s="65">
        <f t="shared" si="21"/>
        <v>1</v>
      </c>
      <c r="I108" s="65">
        <f t="shared" si="21"/>
        <v>1</v>
      </c>
      <c r="J108" s="65">
        <f t="shared" si="21"/>
        <v>0.90389317081434917</v>
      </c>
      <c r="K108" s="65">
        <f t="shared" si="21"/>
        <v>0.52596598173824172</v>
      </c>
      <c r="L108" s="65">
        <f t="shared" si="21"/>
        <v>0.42919260942847748</v>
      </c>
      <c r="M108" s="65">
        <f t="shared" si="21"/>
        <v>0.46183308148082614</v>
      </c>
      <c r="N108" s="65">
        <f t="shared" si="21"/>
        <v>0.47765714616280924</v>
      </c>
    </row>
    <row r="109" spans="1:14" ht="15" customHeight="1" x14ac:dyDescent="0.3">
      <c r="A109" s="1" t="s">
        <v>851</v>
      </c>
      <c r="B109" s="6" t="s">
        <v>218</v>
      </c>
      <c r="C109" s="6" t="s">
        <v>222</v>
      </c>
      <c r="D109" s="26">
        <f>D106*INDEX(Assumptions!$D$32:$F$32,1,2)</f>
        <v>0</v>
      </c>
      <c r="E109" s="26">
        <f>E106*INDEX(Assumptions!$D$32:$F$32,1,2)</f>
        <v>0</v>
      </c>
      <c r="F109" s="26">
        <f>F106*INDEX(Assumptions!$D$32:$F$32,1,2)</f>
        <v>119887.60000000019</v>
      </c>
      <c r="G109" s="26">
        <f>G106*INDEX(Assumptions!$D$32:$F$32,1,2)</f>
        <v>323641.37170400063</v>
      </c>
      <c r="H109" s="26">
        <f>H106*INDEX(Assumptions!$D$32:$F$32,1,2)</f>
        <v>607440.64974907355</v>
      </c>
      <c r="I109" s="26">
        <f>I106*INDEX(Assumptions!$D$32:$F$32,1,2)</f>
        <v>1117804.7255474194</v>
      </c>
      <c r="J109" s="26">
        <f>J106*INDEX(Assumptions!$D$32:$F$32,1,2)</f>
        <v>1531570.2265282767</v>
      </c>
      <c r="K109" s="26">
        <f>K106*INDEX(Assumptions!$D$32:$F$32,1,2)</f>
        <v>1228487.9763672594</v>
      </c>
      <c r="L109" s="26">
        <f>L106*INDEX(Assumptions!$D$32:$F$32,1,2)</f>
        <v>1304880.0464705732</v>
      </c>
      <c r="M109" s="26">
        <f>M106*INDEX(Assumptions!$D$32:$F$32,1,2)</f>
        <v>1758345.7223346923</v>
      </c>
      <c r="N109" s="26">
        <f>N106*INDEX(Assumptions!$D$32:$F$32,1,2)</f>
        <v>2171452.9530469049</v>
      </c>
    </row>
    <row r="110" spans="1:14" ht="15" customHeight="1" x14ac:dyDescent="0.3">
      <c r="A110" s="6" t="s">
        <v>852</v>
      </c>
      <c r="B110" s="6" t="s">
        <v>218</v>
      </c>
      <c r="C110" s="6" t="s">
        <v>211</v>
      </c>
      <c r="D110" s="63">
        <f t="shared" ref="D110:N110" si="22">D99+D109</f>
        <v>940000</v>
      </c>
      <c r="E110" s="63">
        <f t="shared" si="22"/>
        <v>1292500</v>
      </c>
      <c r="F110" s="63">
        <f t="shared" si="22"/>
        <v>2033727.6</v>
      </c>
      <c r="G110" s="63">
        <f t="shared" si="22"/>
        <v>3391022.1117040007</v>
      </c>
      <c r="H110" s="63">
        <f t="shared" si="22"/>
        <v>4777984.5038890736</v>
      </c>
      <c r="I110" s="63">
        <f t="shared" si="22"/>
        <v>5653542.6766689606</v>
      </c>
      <c r="J110" s="63">
        <f t="shared" si="22"/>
        <v>6400000</v>
      </c>
      <c r="K110" s="63">
        <f t="shared" si="22"/>
        <v>6400000</v>
      </c>
      <c r="L110" s="63">
        <f t="shared" si="22"/>
        <v>6400000</v>
      </c>
      <c r="M110" s="63">
        <f t="shared" si="22"/>
        <v>6400000</v>
      </c>
      <c r="N110" s="63">
        <f t="shared" si="22"/>
        <v>6400000</v>
      </c>
    </row>
    <row r="111" spans="1:14" ht="15" customHeight="1" x14ac:dyDescent="0.3">
      <c r="A111" s="6" t="s">
        <v>853</v>
      </c>
      <c r="B111" s="6" t="s">
        <v>267</v>
      </c>
      <c r="C111" s="6" t="s">
        <v>211</v>
      </c>
      <c r="D111" s="19">
        <f>IF(('Acquisition Schedule'!F$20)=0,0,D99/('Acquisition Schedule'!F$20))</f>
        <v>0.94</v>
      </c>
      <c r="E111" s="19">
        <f>IF(('Acquisition Schedule'!F$20+'Acquisition Schedule'!G$20)=0,0,E99/('Acquisition Schedule'!F$20+'Acquisition Schedule'!G$20))</f>
        <v>0.73857142857142855</v>
      </c>
      <c r="F111" s="19">
        <f>IF(('Acquisition Schedule'!F$20+'Acquisition Schedule'!G$20+'Acquisition Schedule'!H$20)=0,0,F99/('Acquisition Schedule'!F$20+'Acquisition Schedule'!G$20+'Acquisition Schedule'!H$20))</f>
        <v>0.76553599999999999</v>
      </c>
      <c r="G111" s="19">
        <f>IF(('Acquisition Schedule'!F$20+'Acquisition Schedule'!G$20+'Acquisition Schedule'!H$20+'Acquisition Schedule'!I$20)=0,0,G99/('Acquisition Schedule'!F$20+'Acquisition Schedule'!G$20+'Acquisition Schedule'!H$20+'Acquisition Schedule'!I$20))</f>
        <v>0.68164016444444453</v>
      </c>
      <c r="H111" s="19">
        <f>IF(('Acquisition Schedule'!F$20+'Acquisition Schedule'!G$20+'Acquisition Schedule'!H$20+'Acquisition Schedule'!I$20+'Acquisition Schedule'!J$20)=0,0,H99/('Acquisition Schedule'!F$20+'Acquisition Schedule'!G$20+'Acquisition Schedule'!H$20+'Acquisition Schedule'!I$20+'Acquisition Schedule'!J$20))</f>
        <v>0.79438930555047615</v>
      </c>
      <c r="I111" s="19">
        <f>IF(('Acquisition Schedule'!F$20+'Acquisition Schedule'!G$20+'Acquisition Schedule'!H$20+'Acquisition Schedule'!I$20+'Acquisition Schedule'!J$20+'Acquisition Schedule'!K$20)=0,0,I99/('Acquisition Schedule'!F$20+'Acquisition Schedule'!G$20+'Acquisition Schedule'!H$20+'Acquisition Schedule'!I$20+'Acquisition Schedule'!J$20+'Acquisition Schedule'!K$20))</f>
        <v>0.75595632518692346</v>
      </c>
      <c r="J111" s="19">
        <f>IF(('Acquisition Schedule'!F$20+'Acquisition Schedule'!G$20+'Acquisition Schedule'!H$20+'Acquisition Schedule'!I$20+'Acquisition Schedule'!J$20+'Acquisition Schedule'!K$20+'Acquisition Schedule'!L$20)=0,0,J99/('Acquisition Schedule'!F$20+'Acquisition Schedule'!G$20+'Acquisition Schedule'!H$20+'Acquisition Schedule'!I$20+'Acquisition Schedule'!J$20+'Acquisition Schedule'!K$20+'Acquisition Schedule'!L$20))</f>
        <v>0.72124885532914418</v>
      </c>
      <c r="K111" s="19">
        <f>IF(('Acquisition Schedule'!F$20+'Acquisition Schedule'!G$20+'Acquisition Schedule'!H$20+'Acquisition Schedule'!I$20+'Acquisition Schedule'!J$20+'Acquisition Schedule'!K$20+'Acquisition Schedule'!L$20+'Acquisition Schedule'!M$20)=0,0,K99/('Acquisition Schedule'!F$20+'Acquisition Schedule'!G$20+'Acquisition Schedule'!H$20+'Acquisition Schedule'!I$20+'Acquisition Schedule'!J$20+'Acquisition Schedule'!K$20+'Acquisition Schedule'!L$20+'Acquisition Schedule'!M$20))</f>
        <v>0.68953493648436537</v>
      </c>
      <c r="L111" s="19">
        <f>IF(('Acquisition Schedule'!F$20+'Acquisition Schedule'!G$20+'Acquisition Schedule'!H$20+'Acquisition Schedule'!I$20+'Acquisition Schedule'!J$20+'Acquisition Schedule'!K$20+'Acquisition Schedule'!L$20+'Acquisition Schedule'!M$20+'Acquisition Schedule'!N$20)=0,0,L99/('Acquisition Schedule'!F$20+'Acquisition Schedule'!G$20+'Acquisition Schedule'!H$20+'Acquisition Schedule'!I$20+'Acquisition Schedule'!J$20+'Acquisition Schedule'!K$20+'Acquisition Schedule'!L$20+'Acquisition Schedule'!M$20+'Acquisition Schedule'!N$20))</f>
        <v>0.67934932713725693</v>
      </c>
      <c r="M111" s="19">
        <f>IF(('Acquisition Schedule'!F$20+'Acquisition Schedule'!G$20+'Acquisition Schedule'!H$20+'Acquisition Schedule'!I$20+'Acquisition Schedule'!J$20+'Acquisition Schedule'!K$20+'Acquisition Schedule'!L$20+'Acquisition Schedule'!M$20+'Acquisition Schedule'!N$20+'Acquisition Schedule'!O$20)=0,0,M99/('Acquisition Schedule'!F$20+'Acquisition Schedule'!G$20+'Acquisition Schedule'!H$20+'Acquisition Schedule'!I$20+'Acquisition Schedule'!J$20+'Acquisition Schedule'!K$20+'Acquisition Schedule'!L$20+'Acquisition Schedule'!M$20+'Acquisition Schedule'!N$20+'Acquisition Schedule'!O$20))</f>
        <v>0.61888723702204107</v>
      </c>
      <c r="N111" s="19">
        <f>IF(('Acquisition Schedule'!F$20+'Acquisition Schedule'!G$20+'Acquisition Schedule'!H$20+'Acquisition Schedule'!I$20+'Acquisition Schedule'!J$20+'Acquisition Schedule'!K$20+'Acquisition Schedule'!L$20+'Acquisition Schedule'!M$20+'Acquisition Schedule'!N$20+'Acquisition Schedule'!O$20+'Acquisition Schedule'!P$20)=0,0,N99/('Acquisition Schedule'!F$20+'Acquisition Schedule'!G$20+'Acquisition Schedule'!H$20+'Acquisition Schedule'!I$20+'Acquisition Schedule'!J$20+'Acquisition Schedule'!K$20+'Acquisition Schedule'!L$20+'Acquisition Schedule'!M$20+'Acquisition Schedule'!N$20+'Acquisition Schedule'!O$20+'Acquisition Schedule'!P$20))</f>
        <v>0.5638062729270793</v>
      </c>
    </row>
    <row r="112" spans="1:14" ht="15" customHeight="1" x14ac:dyDescent="0.3">
      <c r="A112" s="1" t="s">
        <v>854</v>
      </c>
      <c r="B112" s="6" t="s">
        <v>210</v>
      </c>
      <c r="C112" s="6" t="s">
        <v>211</v>
      </c>
      <c r="D112" s="61">
        <f t="shared" ref="D112:N112" si="23">D100+D106</f>
        <v>7343.75</v>
      </c>
      <c r="E112" s="61">
        <f t="shared" si="23"/>
        <v>10097.65625</v>
      </c>
      <c r="F112" s="61">
        <f t="shared" si="23"/>
        <v>15888.496875000001</v>
      </c>
      <c r="G112" s="61">
        <f t="shared" si="23"/>
        <v>26492.360247687506</v>
      </c>
      <c r="H112" s="61">
        <f t="shared" si="23"/>
        <v>37328.003936633388</v>
      </c>
      <c r="I112" s="61">
        <f t="shared" si="23"/>
        <v>44168.302161476255</v>
      </c>
      <c r="J112" s="61">
        <f t="shared" si="23"/>
        <v>50000</v>
      </c>
      <c r="K112" s="61">
        <f t="shared" si="23"/>
        <v>50000</v>
      </c>
      <c r="L112" s="61">
        <f t="shared" si="23"/>
        <v>50000</v>
      </c>
      <c r="M112" s="61">
        <f t="shared" si="23"/>
        <v>50000</v>
      </c>
      <c r="N112" s="61">
        <f t="shared" si="23"/>
        <v>50000</v>
      </c>
    </row>
    <row r="113" spans="1:14" ht="15" customHeight="1" x14ac:dyDescent="0.3">
      <c r="A113" s="6" t="s">
        <v>855</v>
      </c>
      <c r="B113" s="6" t="s">
        <v>210</v>
      </c>
      <c r="C113" s="6" t="s">
        <v>211</v>
      </c>
      <c r="D113" s="63">
        <f>0</f>
        <v>0</v>
      </c>
      <c r="E113" s="63">
        <f t="shared" ref="E113:N113" si="24">D112</f>
        <v>7343.75</v>
      </c>
      <c r="F113" s="63">
        <f t="shared" si="24"/>
        <v>10097.65625</v>
      </c>
      <c r="G113" s="63">
        <f t="shared" si="24"/>
        <v>15888.496875000001</v>
      </c>
      <c r="H113" s="63">
        <f t="shared" si="24"/>
        <v>26492.360247687506</v>
      </c>
      <c r="I113" s="63">
        <f t="shared" si="24"/>
        <v>37328.003936633388</v>
      </c>
      <c r="J113" s="63">
        <f t="shared" si="24"/>
        <v>44168.302161476255</v>
      </c>
      <c r="K113" s="63">
        <f t="shared" si="24"/>
        <v>50000</v>
      </c>
      <c r="L113" s="63">
        <f t="shared" si="24"/>
        <v>50000</v>
      </c>
      <c r="M113" s="63">
        <f t="shared" si="24"/>
        <v>50000</v>
      </c>
      <c r="N113" s="63">
        <f t="shared" si="24"/>
        <v>50000</v>
      </c>
    </row>
    <row r="114" spans="1:14" ht="15" customHeight="1" x14ac:dyDescent="0.3">
      <c r="A114" s="6" t="s">
        <v>856</v>
      </c>
      <c r="B114" s="6" t="s">
        <v>210</v>
      </c>
      <c r="C114" s="6" t="s">
        <v>211</v>
      </c>
      <c r="D114" s="13">
        <f>'Acquisition Schedule'!F$22*(1-INDEX(Assumptions!$D$56:$F$56,1,2))</f>
        <v>7343.75</v>
      </c>
      <c r="E114" s="13">
        <f>'Acquisition Schedule'!G$22*(1-INDEX(Assumptions!$D$56:$F$56,1,2))*INDEX(Assumptions!$D$20:$F$20,1,2)</f>
        <v>2753.90625</v>
      </c>
      <c r="F114" s="13">
        <f>'Acquisition Schedule'!H$22*(1-INDEX(Assumptions!$D$56:$F$56,1,2))*INDEX(Assumptions!$D$20:$F$20,1,2)</f>
        <v>2753.90625</v>
      </c>
      <c r="G114" s="13">
        <f>'Acquisition Schedule'!I$22*(1-INDEX(Assumptions!$D$56:$F$56,1,2))*INDEX(Assumptions!$D$20:$F$20,1,2)</f>
        <v>7343.75</v>
      </c>
      <c r="H114" s="13">
        <f>'Acquisition Schedule'!J$22*(1-INDEX(Assumptions!$D$56:$F$56,1,2))*INDEX(Assumptions!$D$20:$F$20,1,2)</f>
        <v>2753.90625</v>
      </c>
      <c r="I114" s="13">
        <f>'Acquisition Schedule'!K$22*(1-INDEX(Assumptions!$D$56:$F$56,1,2))*INDEX(Assumptions!$D$20:$F$20,1,2)</f>
        <v>2753.90625</v>
      </c>
      <c r="J114" s="13">
        <f>'Acquisition Schedule'!L$22*(1-INDEX(Assumptions!$D$56:$F$56,1,2))*INDEX(Assumptions!$D$20:$F$20,1,2)</f>
        <v>2753.90625</v>
      </c>
      <c r="K114" s="13">
        <f>'Acquisition Schedule'!M$22*(1-INDEX(Assumptions!$D$56:$F$56,1,2))*INDEX(Assumptions!$D$20:$F$20,1,2)</f>
        <v>2753.90625</v>
      </c>
      <c r="L114" s="13">
        <f>'Acquisition Schedule'!N$22*(1-INDEX(Assumptions!$D$56:$F$56,1,2))*INDEX(Assumptions!$D$20:$F$20,1,2)</f>
        <v>0</v>
      </c>
      <c r="M114" s="13">
        <f>'Acquisition Schedule'!O$22*(1-INDEX(Assumptions!$D$56:$F$56,1,2))*INDEX(Assumptions!$D$20:$F$20,1,2)</f>
        <v>0</v>
      </c>
      <c r="N114" s="13">
        <f>'Acquisition Schedule'!P$22*(1-INDEX(Assumptions!$D$56:$F$56,1,2))*INDEX(Assumptions!$D$20:$F$20,1,2)</f>
        <v>0</v>
      </c>
    </row>
    <row r="115" spans="1:14" ht="15" customHeight="1" x14ac:dyDescent="0.3">
      <c r="A115" s="6" t="s">
        <v>857</v>
      </c>
      <c r="B115" s="6" t="s">
        <v>210</v>
      </c>
      <c r="C115" s="6" t="s">
        <v>211</v>
      </c>
      <c r="D115" s="63">
        <f t="shared" ref="D115:N115" si="25">-D113*$D$72</f>
        <v>0</v>
      </c>
      <c r="E115" s="63">
        <f t="shared" si="25"/>
        <v>-653.59374999999977</v>
      </c>
      <c r="F115" s="63">
        <f t="shared" si="25"/>
        <v>-898.69140624999966</v>
      </c>
      <c r="G115" s="63">
        <f t="shared" si="25"/>
        <v>-1414.0762218749996</v>
      </c>
      <c r="H115" s="63">
        <f t="shared" si="25"/>
        <v>-2357.8200620441871</v>
      </c>
      <c r="I115" s="63">
        <f t="shared" si="25"/>
        <v>-3322.1923503603703</v>
      </c>
      <c r="J115" s="63">
        <f t="shared" si="25"/>
        <v>-3930.9788923713854</v>
      </c>
      <c r="K115" s="63">
        <f t="shared" si="25"/>
        <v>-4449.9999999999982</v>
      </c>
      <c r="L115" s="63">
        <f t="shared" si="25"/>
        <v>-4449.9999999999982</v>
      </c>
      <c r="M115" s="63">
        <f t="shared" si="25"/>
        <v>-4449.9999999999982</v>
      </c>
      <c r="N115" s="63">
        <f t="shared" si="25"/>
        <v>-4449.9999999999982</v>
      </c>
    </row>
    <row r="116" spans="1:14" ht="15" customHeight="1" x14ac:dyDescent="0.3">
      <c r="A116" s="6" t="s">
        <v>858</v>
      </c>
      <c r="B116" s="6" t="s">
        <v>210</v>
      </c>
      <c r="C116" s="6" t="s">
        <v>211</v>
      </c>
      <c r="D116" s="63">
        <f t="shared" ref="D116:N116" si="26">D113*$D$71*$D$73</f>
        <v>0</v>
      </c>
      <c r="E116" s="63">
        <f t="shared" si="26"/>
        <v>669.015625</v>
      </c>
      <c r="F116" s="63">
        <f t="shared" si="26"/>
        <v>919.896484375</v>
      </c>
      <c r="G116" s="63">
        <f t="shared" si="26"/>
        <v>1447.4420653125003</v>
      </c>
      <c r="H116" s="63">
        <f t="shared" si="26"/>
        <v>2413.4540185643323</v>
      </c>
      <c r="I116" s="63">
        <f t="shared" si="26"/>
        <v>3400.5811586273021</v>
      </c>
      <c r="J116" s="63">
        <f t="shared" si="26"/>
        <v>4023.7323269104872</v>
      </c>
      <c r="K116" s="63">
        <f t="shared" si="26"/>
        <v>4555</v>
      </c>
      <c r="L116" s="63">
        <f t="shared" si="26"/>
        <v>4555</v>
      </c>
      <c r="M116" s="63">
        <f t="shared" si="26"/>
        <v>4555</v>
      </c>
      <c r="N116" s="63">
        <f t="shared" si="26"/>
        <v>4555</v>
      </c>
    </row>
    <row r="117" spans="1:14" ht="15" customHeight="1" x14ac:dyDescent="0.3">
      <c r="A117" s="6" t="s">
        <v>859</v>
      </c>
      <c r="B117" s="6" t="s">
        <v>210</v>
      </c>
      <c r="C117" s="6" t="s">
        <v>222</v>
      </c>
      <c r="D117" s="63">
        <f t="shared" ref="D117:N117" si="27">D113*$D$71*$D$74</f>
        <v>0</v>
      </c>
      <c r="E117" s="63">
        <f t="shared" si="27"/>
        <v>267.60624999999999</v>
      </c>
      <c r="F117" s="63">
        <f t="shared" si="27"/>
        <v>367.95859375000003</v>
      </c>
      <c r="G117" s="63">
        <f t="shared" si="27"/>
        <v>578.97682612500012</v>
      </c>
      <c r="H117" s="63">
        <f t="shared" si="27"/>
        <v>965.3816074257328</v>
      </c>
      <c r="I117" s="63">
        <f t="shared" si="27"/>
        <v>1360.2324634509207</v>
      </c>
      <c r="J117" s="63">
        <f t="shared" si="27"/>
        <v>1609.4929307641949</v>
      </c>
      <c r="K117" s="63">
        <f t="shared" si="27"/>
        <v>1822</v>
      </c>
      <c r="L117" s="63">
        <f t="shared" si="27"/>
        <v>1822</v>
      </c>
      <c r="M117" s="63">
        <f t="shared" si="27"/>
        <v>1822</v>
      </c>
      <c r="N117" s="63">
        <f t="shared" si="27"/>
        <v>1822</v>
      </c>
    </row>
    <row r="118" spans="1:14" ht="15" customHeight="1" x14ac:dyDescent="0.3">
      <c r="A118" s="6" t="s">
        <v>860</v>
      </c>
      <c r="B118" s="6" t="s">
        <v>210</v>
      </c>
      <c r="C118" s="6" t="s">
        <v>211</v>
      </c>
      <c r="D118" s="63">
        <f t="shared" ref="D118:N118" si="28">D112-(D113+D114+D115+D116+D117)</f>
        <v>0</v>
      </c>
      <c r="E118" s="63">
        <f t="shared" si="28"/>
        <v>-283.02812500000073</v>
      </c>
      <c r="F118" s="63">
        <f t="shared" si="28"/>
        <v>2647.7707031250011</v>
      </c>
      <c r="G118" s="63">
        <f t="shared" si="28"/>
        <v>2647.7707031250029</v>
      </c>
      <c r="H118" s="63">
        <f t="shared" si="28"/>
        <v>7060.7218750000029</v>
      </c>
      <c r="I118" s="63">
        <f t="shared" si="28"/>
        <v>2647.7707031250102</v>
      </c>
      <c r="J118" s="63">
        <f t="shared" si="28"/>
        <v>1375.545223220448</v>
      </c>
      <c r="K118" s="63">
        <f t="shared" si="28"/>
        <v>-4680.90625</v>
      </c>
      <c r="L118" s="63">
        <f t="shared" si="28"/>
        <v>-1927</v>
      </c>
      <c r="M118" s="63">
        <f t="shared" si="28"/>
        <v>-1927</v>
      </c>
      <c r="N118" s="63">
        <f t="shared" si="28"/>
        <v>-1927</v>
      </c>
    </row>
    <row r="119" spans="1:14" ht="15" customHeight="1" x14ac:dyDescent="0.3">
      <c r="A119" s="6" t="s">
        <v>861</v>
      </c>
      <c r="B119" s="6" t="s">
        <v>210</v>
      </c>
      <c r="C119" s="6" t="s">
        <v>211</v>
      </c>
      <c r="D119" s="63">
        <f t="shared" ref="D119:N119" si="29">D112-D113</f>
        <v>7343.75</v>
      </c>
      <c r="E119" s="63">
        <f t="shared" si="29"/>
        <v>2753.90625</v>
      </c>
      <c r="F119" s="63">
        <f t="shared" si="29"/>
        <v>5790.8406250000007</v>
      </c>
      <c r="G119" s="63">
        <f t="shared" si="29"/>
        <v>10603.863372687505</v>
      </c>
      <c r="H119" s="63">
        <f t="shared" si="29"/>
        <v>10835.643688945882</v>
      </c>
      <c r="I119" s="63">
        <f t="shared" si="29"/>
        <v>6840.2982248428671</v>
      </c>
      <c r="J119" s="63">
        <f t="shared" si="29"/>
        <v>5831.6978385237453</v>
      </c>
      <c r="K119" s="63">
        <f t="shared" si="29"/>
        <v>0</v>
      </c>
      <c r="L119" s="63">
        <f t="shared" si="29"/>
        <v>0</v>
      </c>
      <c r="M119" s="63">
        <f t="shared" si="29"/>
        <v>0</v>
      </c>
      <c r="N119" s="63">
        <f t="shared" si="29"/>
        <v>0</v>
      </c>
    </row>
    <row r="120" spans="1:14" ht="15" customHeight="1" x14ac:dyDescent="0.3">
      <c r="A120" s="6" t="s">
        <v>862</v>
      </c>
      <c r="B120" s="2"/>
      <c r="C120" s="2"/>
      <c r="D120" s="2"/>
      <c r="E120" s="2"/>
      <c r="F120" s="2"/>
      <c r="G120" s="2"/>
      <c r="H120" s="2"/>
      <c r="I120" s="2"/>
      <c r="J120" s="2"/>
      <c r="K120" s="2"/>
      <c r="L120" s="2"/>
      <c r="M120" s="2"/>
      <c r="N120" s="2"/>
    </row>
    <row r="121" spans="1:14" ht="15" customHeight="1" x14ac:dyDescent="0.3">
      <c r="A121" s="6" t="s">
        <v>863</v>
      </c>
      <c r="B121" s="6" t="s">
        <v>558</v>
      </c>
      <c r="C121" s="6" t="s">
        <v>211</v>
      </c>
      <c r="D121" s="15">
        <f>D112/INDEX(Assumptions!$D$17:$F$17,1,2)</f>
        <v>29.375</v>
      </c>
      <c r="E121" s="15">
        <f>E112/INDEX(Assumptions!$D$17:$F$17,1,2)</f>
        <v>40.390625</v>
      </c>
      <c r="F121" s="15">
        <f>F112/INDEX(Assumptions!$D$17:$F$17,1,2)</f>
        <v>63.553987500000005</v>
      </c>
      <c r="G121" s="15">
        <f>G112/INDEX(Assumptions!$D$17:$F$17,1,2)</f>
        <v>105.96944099075003</v>
      </c>
      <c r="H121" s="15">
        <f>H112/INDEX(Assumptions!$D$17:$F$17,1,2)</f>
        <v>149.31201574653355</v>
      </c>
      <c r="I121" s="15">
        <f>I112/INDEX(Assumptions!$D$17:$F$17,1,2)</f>
        <v>176.67320864590502</v>
      </c>
      <c r="J121" s="15">
        <f>J112/INDEX(Assumptions!$D$17:$F$17,1,2)</f>
        <v>200</v>
      </c>
      <c r="K121" s="15">
        <f>K112/INDEX(Assumptions!$D$17:$F$17,1,2)</f>
        <v>200</v>
      </c>
      <c r="L121" s="15">
        <f>L112/INDEX(Assumptions!$D$17:$F$17,1,2)</f>
        <v>200</v>
      </c>
      <c r="M121" s="15">
        <f>M112/INDEX(Assumptions!$D$17:$F$17,1,2)</f>
        <v>200</v>
      </c>
      <c r="N121" s="15">
        <f>N112/INDEX(Assumptions!$D$17:$F$17,1,2)</f>
        <v>200</v>
      </c>
    </row>
    <row r="122" spans="1:14" ht="15" customHeight="1" x14ac:dyDescent="0.3">
      <c r="A122" s="6" t="s">
        <v>864</v>
      </c>
      <c r="B122" s="2"/>
      <c r="C122" s="2"/>
      <c r="D122" s="2"/>
      <c r="E122" s="2"/>
      <c r="F122" s="2"/>
      <c r="G122" s="2"/>
      <c r="H122" s="2"/>
      <c r="I122" s="2"/>
      <c r="J122" s="2"/>
      <c r="K122" s="2"/>
      <c r="L122" s="2"/>
      <c r="M122" s="2"/>
      <c r="N122" s="2"/>
    </row>
    <row r="123" spans="1:14" ht="15" customHeight="1" x14ac:dyDescent="0.3">
      <c r="A123" s="6" t="s">
        <v>865</v>
      </c>
      <c r="B123" s="6" t="s">
        <v>210</v>
      </c>
      <c r="C123" s="6" t="s">
        <v>211</v>
      </c>
      <c r="D123" s="13">
        <f>IF(('Acquisition Schedule'!F$24)=0,0,('Acquisition Schedule'!F$22)/('Acquisition Schedule'!F$24))</f>
        <v>1302.0833333333333</v>
      </c>
      <c r="E123" s="13">
        <f>IF(('Acquisition Schedule'!F$24+'Acquisition Schedule'!G$24)=0,0,('Acquisition Schedule'!F$22+'Acquisition Schedule'!G$22)/('Acquisition Schedule'!F$24+'Acquisition Schedule'!G$24))</f>
        <v>1454.4547872340424</v>
      </c>
      <c r="F123" s="13">
        <f>IF(('Acquisition Schedule'!F$24+'Acquisition Schedule'!G$24+'Acquisition Schedule'!H$24)=0,0,('Acquisition Schedule'!F$22+'Acquisition Schedule'!G$22+'Acquisition Schedule'!H$22)/('Acquisition Schedule'!F$24+'Acquisition Schedule'!G$24+'Acquisition Schedule'!H$24))</f>
        <v>1525.87890625</v>
      </c>
      <c r="G123" s="13">
        <f>IF(('Acquisition Schedule'!F$24+'Acquisition Schedule'!G$24+'Acquisition Schedule'!H$24+'Acquisition Schedule'!I$24)=0,0,('Acquisition Schedule'!F$22+'Acquisition Schedule'!G$22+'Acquisition Schedule'!H$22+'Acquisition Schedule'!I$22)/('Acquisition Schedule'!F$24+'Acquisition Schedule'!G$24+'Acquisition Schedule'!H$24+'Acquisition Schedule'!I$24))</f>
        <v>1793.6862244897957</v>
      </c>
      <c r="H123" s="13">
        <f>IF(('Acquisition Schedule'!F$24+'Acquisition Schedule'!G$24+'Acquisition Schedule'!H$24+'Acquisition Schedule'!I$24+'Acquisition Schedule'!J$24)=0,0,('Acquisition Schedule'!F$22+'Acquisition Schedule'!G$22+'Acquisition Schedule'!H$22+'Acquisition Schedule'!I$22+'Acquisition Schedule'!J$22)/('Acquisition Schedule'!F$24+'Acquisition Schedule'!G$24+'Acquisition Schedule'!H$24+'Acquisition Schedule'!I$24+'Acquisition Schedule'!J$24))</f>
        <v>1783.2880434782608</v>
      </c>
      <c r="I123" s="13">
        <f>IF(('Acquisition Schedule'!F$24+'Acquisition Schedule'!G$24+'Acquisition Schedule'!H$24+'Acquisition Schedule'!I$24+'Acquisition Schedule'!J$24+'Acquisition Schedule'!K$24)=0,0,('Acquisition Schedule'!F$22+'Acquisition Schedule'!G$22+'Acquisition Schedule'!H$22+'Acquisition Schedule'!I$22+'Acquisition Schedule'!J$22+'Acquisition Schedule'!K$22)/('Acquisition Schedule'!F$24+'Acquisition Schedule'!G$24+'Acquisition Schedule'!H$24+'Acquisition Schedule'!I$24+'Acquisition Schedule'!J$24+'Acquisition Schedule'!K$24))</f>
        <v>1775.568181818182</v>
      </c>
      <c r="J123" s="13">
        <f>IF(('Acquisition Schedule'!F$24+'Acquisition Schedule'!G$24+'Acquisition Schedule'!H$24+'Acquisition Schedule'!I$24+'Acquisition Schedule'!J$24+'Acquisition Schedule'!K$24+'Acquisition Schedule'!L$24)=0,0,('Acquisition Schedule'!F$22+'Acquisition Schedule'!G$22+'Acquisition Schedule'!H$22+'Acquisition Schedule'!I$22+'Acquisition Schedule'!J$22+'Acquisition Schedule'!K$22+'Acquisition Schedule'!L$22)/('Acquisition Schedule'!F$24+'Acquisition Schedule'!G$24+'Acquisition Schedule'!H$24+'Acquisition Schedule'!I$24+'Acquisition Schedule'!J$24+'Acquisition Schedule'!K$24+'Acquisition Schedule'!L$24))</f>
        <v>1769.6098993288592</v>
      </c>
      <c r="K123" s="13">
        <f>IF(('Acquisition Schedule'!F$24+'Acquisition Schedule'!G$24+'Acquisition Schedule'!H$24+'Acquisition Schedule'!I$24+'Acquisition Schedule'!J$24+'Acquisition Schedule'!K$24+'Acquisition Schedule'!L$24+'Acquisition Schedule'!M$24)=0,0,('Acquisition Schedule'!F$22+'Acquisition Schedule'!G$22+'Acquisition Schedule'!H$22+'Acquisition Schedule'!I$22+'Acquisition Schedule'!J$22+'Acquisition Schedule'!K$22+'Acquisition Schedule'!L$22+'Acquisition Schedule'!M$22)/('Acquisition Schedule'!F$24+'Acquisition Schedule'!G$24+'Acquisition Schedule'!H$24+'Acquisition Schedule'!I$24+'Acquisition Schedule'!J$24+'Acquisition Schedule'!K$24+'Acquisition Schedule'!L$24+'Acquisition Schedule'!M$24))</f>
        <v>1764.8719879518076</v>
      </c>
      <c r="L123" s="13">
        <f>IF(('Acquisition Schedule'!F$24+'Acquisition Schedule'!G$24+'Acquisition Schedule'!H$24+'Acquisition Schedule'!I$24+'Acquisition Schedule'!J$24+'Acquisition Schedule'!K$24+'Acquisition Schedule'!L$24+'Acquisition Schedule'!M$24+'Acquisition Schedule'!N$24)=0,0,('Acquisition Schedule'!F$22+'Acquisition Schedule'!G$22+'Acquisition Schedule'!H$22+'Acquisition Schedule'!I$22+'Acquisition Schedule'!J$22+'Acquisition Schedule'!K$22+'Acquisition Schedule'!L$22+'Acquisition Schedule'!M$22+'Acquisition Schedule'!N$22)/('Acquisition Schedule'!F$24+'Acquisition Schedule'!G$24+'Acquisition Schedule'!H$24+'Acquisition Schedule'!I$24+'Acquisition Schedule'!J$24+'Acquisition Schedule'!K$24+'Acquisition Schedule'!L$24+'Acquisition Schedule'!M$24+'Acquisition Schedule'!N$24))</f>
        <v>1764.8719879518076</v>
      </c>
      <c r="M123" s="13">
        <f>IF(('Acquisition Schedule'!F$24+'Acquisition Schedule'!G$24+'Acquisition Schedule'!H$24+'Acquisition Schedule'!I$24+'Acquisition Schedule'!J$24+'Acquisition Schedule'!K$24+'Acquisition Schedule'!L$24+'Acquisition Schedule'!M$24+'Acquisition Schedule'!N$24+'Acquisition Schedule'!O$24)=0,0,('Acquisition Schedule'!F$22+'Acquisition Schedule'!G$22+'Acquisition Schedule'!H$22+'Acquisition Schedule'!I$22+'Acquisition Schedule'!J$22+'Acquisition Schedule'!K$22+'Acquisition Schedule'!L$22+'Acquisition Schedule'!M$22+'Acquisition Schedule'!N$22+'Acquisition Schedule'!O$22)/('Acquisition Schedule'!F$24+'Acquisition Schedule'!G$24+'Acquisition Schedule'!H$24+'Acquisition Schedule'!I$24+'Acquisition Schedule'!J$24+'Acquisition Schedule'!K$24+'Acquisition Schedule'!L$24+'Acquisition Schedule'!M$24+'Acquisition Schedule'!N$24+'Acquisition Schedule'!O$24))</f>
        <v>1764.8719879518076</v>
      </c>
      <c r="N123" s="13">
        <f>IF(('Acquisition Schedule'!F$24+'Acquisition Schedule'!G$24+'Acquisition Schedule'!H$24+'Acquisition Schedule'!I$24+'Acquisition Schedule'!J$24+'Acquisition Schedule'!K$24+'Acquisition Schedule'!L$24+'Acquisition Schedule'!M$24+'Acquisition Schedule'!N$24+'Acquisition Schedule'!O$24+'Acquisition Schedule'!P$24)=0,0,('Acquisition Schedule'!F$22+'Acquisition Schedule'!G$22+'Acquisition Schedule'!H$22+'Acquisition Schedule'!I$22+'Acquisition Schedule'!J$22+'Acquisition Schedule'!K$22+'Acquisition Schedule'!L$22+'Acquisition Schedule'!M$22+'Acquisition Schedule'!N$22+'Acquisition Schedule'!O$22+'Acquisition Schedule'!P$22)/('Acquisition Schedule'!F$24+'Acquisition Schedule'!G$24+'Acquisition Schedule'!H$24+'Acquisition Schedule'!I$24+'Acquisition Schedule'!J$24+'Acquisition Schedule'!K$24+'Acquisition Schedule'!L$24+'Acquisition Schedule'!M$24+'Acquisition Schedule'!N$24+'Acquisition Schedule'!O$24+'Acquisition Schedule'!P$24))</f>
        <v>1764.8719879518076</v>
      </c>
    </row>
    <row r="124" spans="1:14" ht="15" customHeight="1" x14ac:dyDescent="0.3">
      <c r="A124" s="6" t="s">
        <v>866</v>
      </c>
      <c r="B124" s="6" t="s">
        <v>213</v>
      </c>
      <c r="C124" s="6" t="s">
        <v>211</v>
      </c>
      <c r="D124" s="78">
        <f t="shared" ref="D124:N124" si="30">IF(D123=0,0,D112/D123)</f>
        <v>5.6400000000000006</v>
      </c>
      <c r="E124" s="78">
        <f t="shared" si="30"/>
        <v>6.9425714285714291</v>
      </c>
      <c r="F124" s="78">
        <f t="shared" si="30"/>
        <v>10.412685312000001</v>
      </c>
      <c r="G124" s="78">
        <f t="shared" si="30"/>
        <v>14.769785197644094</v>
      </c>
      <c r="H124" s="78">
        <f t="shared" si="30"/>
        <v>20.93212258846642</v>
      </c>
      <c r="I124" s="78">
        <f t="shared" si="30"/>
        <v>24.875587777343423</v>
      </c>
      <c r="J124" s="78">
        <f t="shared" si="30"/>
        <v>28.254814814814811</v>
      </c>
      <c r="K124" s="78">
        <f t="shared" si="30"/>
        <v>28.330666666666662</v>
      </c>
      <c r="L124" s="78">
        <f t="shared" si="30"/>
        <v>28.330666666666662</v>
      </c>
      <c r="M124" s="78">
        <f t="shared" si="30"/>
        <v>28.330666666666662</v>
      </c>
      <c r="N124" s="78">
        <f t="shared" si="30"/>
        <v>28.330666666666662</v>
      </c>
    </row>
    <row r="125" spans="1:14" ht="15" customHeight="1" x14ac:dyDescent="0.3">
      <c r="A125" s="6" t="s">
        <v>867</v>
      </c>
      <c r="B125" s="2"/>
      <c r="C125" s="2"/>
      <c r="D125" s="2"/>
      <c r="E125" s="2"/>
      <c r="F125" s="2"/>
      <c r="G125" s="2"/>
      <c r="H125" s="2"/>
      <c r="I125" s="2"/>
      <c r="J125" s="2"/>
      <c r="K125" s="2"/>
      <c r="L125" s="2"/>
      <c r="M125" s="2"/>
      <c r="N125" s="2"/>
    </row>
    <row r="126" spans="1:14" ht="15" customHeight="1" x14ac:dyDescent="0.3">
      <c r="A126" s="6" t="s">
        <v>868</v>
      </c>
      <c r="B126" s="6" t="s">
        <v>216</v>
      </c>
      <c r="C126" s="6" t="s">
        <v>217</v>
      </c>
      <c r="D126" s="54">
        <f>IF(('Acquisition Schedule'!F$24)=0,0,D124*('Acquisition Schedule'!F$25)/('Acquisition Schedule'!F$24))</f>
        <v>1.4100000000000001</v>
      </c>
      <c r="E126" s="54">
        <f>IF(('Acquisition Schedule'!F$24+'Acquisition Schedule'!G$24)=0,0,E124*('Acquisition Schedule'!F$25+'Acquisition Schedule'!G$25)/('Acquisition Schedule'!F$24+'Acquisition Schedule'!G$24))</f>
        <v>1.7356428571428573</v>
      </c>
      <c r="F126" s="54">
        <f>IF(('Acquisition Schedule'!F$24+'Acquisition Schedule'!G$24+'Acquisition Schedule'!H$24)=0,0,F124*('Acquisition Schedule'!F$25+'Acquisition Schedule'!G$25+'Acquisition Schedule'!H$25)/('Acquisition Schedule'!F$24+'Acquisition Schedule'!G$24+'Acquisition Schedule'!H$24))</f>
        <v>2.6031713280000002</v>
      </c>
      <c r="G126" s="54">
        <f>IF(('Acquisition Schedule'!F$24+'Acquisition Schedule'!G$24+'Acquisition Schedule'!H$24+'Acquisition Schedule'!I$24)=0,0,G124*('Acquisition Schedule'!F$25+'Acquisition Schedule'!G$25+'Acquisition Schedule'!H$25+'Acquisition Schedule'!I$25)/('Acquisition Schedule'!F$24+'Acquisition Schedule'!G$24+'Acquisition Schedule'!H$24+'Acquisition Schedule'!I$24))</f>
        <v>3.6924462994110239</v>
      </c>
      <c r="H126" s="54">
        <f>IF(('Acquisition Schedule'!F$24+'Acquisition Schedule'!G$24+'Acquisition Schedule'!H$24+'Acquisition Schedule'!I$24+'Acquisition Schedule'!J$24)=0,0,H124*('Acquisition Schedule'!F$25+'Acquisition Schedule'!G$25+'Acquisition Schedule'!H$25+'Acquisition Schedule'!I$25+'Acquisition Schedule'!J$25)/('Acquisition Schedule'!F$24+'Acquisition Schedule'!G$24+'Acquisition Schedule'!H$24+'Acquisition Schedule'!I$24+'Acquisition Schedule'!J$24))</f>
        <v>5.233030647116605</v>
      </c>
      <c r="I126" s="54">
        <f>IF(('Acquisition Schedule'!F$24+'Acquisition Schedule'!G$24+'Acquisition Schedule'!H$24+'Acquisition Schedule'!I$24+'Acquisition Schedule'!J$24+'Acquisition Schedule'!K$24)=0,0,I124*('Acquisition Schedule'!F$25+'Acquisition Schedule'!G$25+'Acquisition Schedule'!H$25+'Acquisition Schedule'!I$25+'Acquisition Schedule'!J$25+'Acquisition Schedule'!K$25)/('Acquisition Schedule'!F$24+'Acquisition Schedule'!G$24+'Acquisition Schedule'!H$24+'Acquisition Schedule'!I$24+'Acquisition Schedule'!J$24+'Acquisition Schedule'!K$24))</f>
        <v>6.2188969443358557</v>
      </c>
      <c r="J126" s="54">
        <f>IF(('Acquisition Schedule'!F$24+'Acquisition Schedule'!G$24+'Acquisition Schedule'!H$24+'Acquisition Schedule'!I$24+'Acquisition Schedule'!J$24+'Acquisition Schedule'!K$24+'Acquisition Schedule'!L$24)=0,0,J124*('Acquisition Schedule'!F$25+'Acquisition Schedule'!G$25+'Acquisition Schedule'!H$25+'Acquisition Schedule'!I$25+'Acquisition Schedule'!J$25+'Acquisition Schedule'!K$25+'Acquisition Schedule'!L$25)/('Acquisition Schedule'!F$24+'Acquisition Schedule'!G$24+'Acquisition Schedule'!H$24+'Acquisition Schedule'!I$24+'Acquisition Schedule'!J$24+'Acquisition Schedule'!K$24+'Acquisition Schedule'!L$24))</f>
        <v>7.0637037037037027</v>
      </c>
      <c r="K126" s="54">
        <f>IF(('Acquisition Schedule'!F$24+'Acquisition Schedule'!G$24+'Acquisition Schedule'!H$24+'Acquisition Schedule'!I$24+'Acquisition Schedule'!J$24+'Acquisition Schedule'!K$24+'Acquisition Schedule'!L$24+'Acquisition Schedule'!M$24)=0,0,K124*('Acquisition Schedule'!F$25+'Acquisition Schedule'!G$25+'Acquisition Schedule'!H$25+'Acquisition Schedule'!I$25+'Acquisition Schedule'!J$25+'Acquisition Schedule'!K$25+'Acquisition Schedule'!L$25+'Acquisition Schedule'!M$25)/('Acquisition Schedule'!F$24+'Acquisition Schedule'!G$24+'Acquisition Schedule'!H$24+'Acquisition Schedule'!I$24+'Acquisition Schedule'!J$24+'Acquisition Schedule'!K$24+'Acquisition Schedule'!L$24+'Acquisition Schedule'!M$24))</f>
        <v>7.0826666666666656</v>
      </c>
      <c r="L126" s="54">
        <f>IF(('Acquisition Schedule'!F$24+'Acquisition Schedule'!G$24+'Acquisition Schedule'!H$24+'Acquisition Schedule'!I$24+'Acquisition Schedule'!J$24+'Acquisition Schedule'!K$24+'Acquisition Schedule'!L$24+'Acquisition Schedule'!M$24+'Acquisition Schedule'!N$24)=0,0,L124*('Acquisition Schedule'!F$25+'Acquisition Schedule'!G$25+'Acquisition Schedule'!H$25+'Acquisition Schedule'!I$25+'Acquisition Schedule'!J$25+'Acquisition Schedule'!K$25+'Acquisition Schedule'!L$25+'Acquisition Schedule'!M$25+'Acquisition Schedule'!N$25)/('Acquisition Schedule'!F$24+'Acquisition Schedule'!G$24+'Acquisition Schedule'!H$24+'Acquisition Schedule'!I$24+'Acquisition Schedule'!J$24+'Acquisition Schedule'!K$24+'Acquisition Schedule'!L$24+'Acquisition Schedule'!M$24+'Acquisition Schedule'!N$24))</f>
        <v>7.0826666666666656</v>
      </c>
      <c r="M126" s="54">
        <f>IF(('Acquisition Schedule'!F$24+'Acquisition Schedule'!G$24+'Acquisition Schedule'!H$24+'Acquisition Schedule'!I$24+'Acquisition Schedule'!J$24+'Acquisition Schedule'!K$24+'Acquisition Schedule'!L$24+'Acquisition Schedule'!M$24+'Acquisition Schedule'!N$24+'Acquisition Schedule'!O$24)=0,0,M124*('Acquisition Schedule'!F$25+'Acquisition Schedule'!G$25+'Acquisition Schedule'!H$25+'Acquisition Schedule'!I$25+'Acquisition Schedule'!J$25+'Acquisition Schedule'!K$25+'Acquisition Schedule'!L$25+'Acquisition Schedule'!M$25+'Acquisition Schedule'!N$25+'Acquisition Schedule'!O$25)/('Acquisition Schedule'!F$24+'Acquisition Schedule'!G$24+'Acquisition Schedule'!H$24+'Acquisition Schedule'!I$24+'Acquisition Schedule'!J$24+'Acquisition Schedule'!K$24+'Acquisition Schedule'!L$24+'Acquisition Schedule'!M$24+'Acquisition Schedule'!N$24+'Acquisition Schedule'!O$24))</f>
        <v>7.0826666666666656</v>
      </c>
      <c r="N126" s="54">
        <f>IF(('Acquisition Schedule'!F$24+'Acquisition Schedule'!G$24+'Acquisition Schedule'!H$24+'Acquisition Schedule'!I$24+'Acquisition Schedule'!J$24+'Acquisition Schedule'!K$24+'Acquisition Schedule'!L$24+'Acquisition Schedule'!M$24+'Acquisition Schedule'!N$24+'Acquisition Schedule'!O$24+'Acquisition Schedule'!P$24)=0,0,N124*('Acquisition Schedule'!F$25+'Acquisition Schedule'!G$25+'Acquisition Schedule'!H$25+'Acquisition Schedule'!I$25+'Acquisition Schedule'!J$25+'Acquisition Schedule'!K$25+'Acquisition Schedule'!L$25+'Acquisition Schedule'!M$25+'Acquisition Schedule'!N$25+'Acquisition Schedule'!O$25+'Acquisition Schedule'!P$25)/('Acquisition Schedule'!F$24+'Acquisition Schedule'!G$24+'Acquisition Schedule'!H$24+'Acquisition Schedule'!I$24+'Acquisition Schedule'!J$24+'Acquisition Schedule'!K$24+'Acquisition Schedule'!L$24+'Acquisition Schedule'!M$24+'Acquisition Schedule'!N$24+'Acquisition Schedule'!O$24+'Acquisition Schedule'!P$24))</f>
        <v>7.0826666666666656</v>
      </c>
    </row>
    <row r="127" spans="1:14" ht="15" customHeight="1" x14ac:dyDescent="0.3">
      <c r="A127" s="6" t="s">
        <v>215</v>
      </c>
      <c r="B127" s="6" t="s">
        <v>216</v>
      </c>
      <c r="C127" s="6" t="s">
        <v>217</v>
      </c>
      <c r="D127" s="54">
        <f>MAX(0,D126*INDEX(Assumptions!$D$47:$F$47,1,2)-INDEX(Assumptions!$D$45:$F$45,1,2))</f>
        <v>0.76250000000000018</v>
      </c>
      <c r="E127" s="54">
        <f>MAX(0,E126*INDEX(Assumptions!$D$47:$F$47,1,2)-INDEX(Assumptions!$D$45:$F$45,1,2))</f>
        <v>1.1695535714285716</v>
      </c>
      <c r="F127" s="54">
        <f>MAX(0,F126*INDEX(Assumptions!$D$47:$F$47,1,2)-INDEX(Assumptions!$D$45:$F$45,1,2))</f>
        <v>2.2539641600000002</v>
      </c>
      <c r="G127" s="54">
        <f>MAX(0,G126*INDEX(Assumptions!$D$47:$F$47,1,2)-INDEX(Assumptions!$D$45:$F$45,1,2))</f>
        <v>3.6155578742637795</v>
      </c>
      <c r="H127" s="54">
        <f>MAX(0,H126*INDEX(Assumptions!$D$47:$F$47,1,2)-INDEX(Assumptions!$D$45:$F$45,1,2))</f>
        <v>5.5412883088957567</v>
      </c>
      <c r="I127" s="54">
        <f>MAX(0,I126*INDEX(Assumptions!$D$47:$F$47,1,2)-INDEX(Assumptions!$D$45:$F$45,1,2))</f>
        <v>6.7736211804198199</v>
      </c>
      <c r="J127" s="54">
        <f>MAX(0,J126*INDEX(Assumptions!$D$47:$F$47,1,2)-INDEX(Assumptions!$D$45:$F$45,1,2))</f>
        <v>7.8296296296296291</v>
      </c>
      <c r="K127" s="54">
        <f>MAX(0,K126*INDEX(Assumptions!$D$47:$F$47,1,2)-INDEX(Assumptions!$D$45:$F$45,1,2))</f>
        <v>7.8533333333333317</v>
      </c>
      <c r="L127" s="54">
        <f>MAX(0,L126*INDEX(Assumptions!$D$47:$F$47,1,2)-INDEX(Assumptions!$D$45:$F$45,1,2))</f>
        <v>7.8533333333333317</v>
      </c>
      <c r="M127" s="54">
        <f>MAX(0,M126*INDEX(Assumptions!$D$47:$F$47,1,2)-INDEX(Assumptions!$D$45:$F$45,1,2))</f>
        <v>7.8533333333333317</v>
      </c>
      <c r="N127" s="54">
        <f>MAX(0,N126*INDEX(Assumptions!$D$47:$F$47,1,2)-INDEX(Assumptions!$D$45:$F$45,1,2))</f>
        <v>7.8533333333333317</v>
      </c>
    </row>
    <row r="128" spans="1:14" ht="15" customHeight="1" x14ac:dyDescent="0.3">
      <c r="A128" s="6" t="s">
        <v>869</v>
      </c>
      <c r="B128" s="6" t="s">
        <v>218</v>
      </c>
      <c r="C128" s="6" t="s">
        <v>211</v>
      </c>
      <c r="D128" s="13">
        <f>D112*(INDEX(Assumptions!$D$27:$F$27,1,2)+INDEX(Assumptions!$D$28:$F$28,1,2)+INDEX(Assumptions!$D$29:$F$29,1,2)+INDEX(Assumptions!$D$79:$F$79,1,2))</f>
        <v>4799015.3714879304</v>
      </c>
      <c r="E128" s="13">
        <f>E112*(INDEX(Assumptions!$D$27:$F$27,1,2)+INDEX(Assumptions!$D$28:$F$28,1,2)+INDEX(Assumptions!$D$29:$F$29,1,2)+INDEX(Assumptions!$D$79:$F$79,1,2))</f>
        <v>6598646.1357959034</v>
      </c>
      <c r="F128" s="13">
        <f>F112*(INDEX(Assumptions!$D$27:$F$27,1,2)+INDEX(Assumptions!$D$28:$F$28,1,2)+INDEX(Assumptions!$D$29:$F$29,1,2)+INDEX(Assumptions!$D$79:$F$79,1,2))</f>
        <v>10382861.716828996</v>
      </c>
      <c r="G128" s="13">
        <f>G112*(INDEX(Assumptions!$D$27:$F$27,1,2)+INDEX(Assumptions!$D$28:$F$28,1,2)+INDEX(Assumptions!$D$29:$F$29,1,2)+INDEX(Assumptions!$D$79:$F$79,1,2))</f>
        <v>17312305.573535062</v>
      </c>
      <c r="H128" s="13">
        <f>H112*(INDEX(Assumptions!$D$27:$F$27,1,2)+INDEX(Assumptions!$D$28:$F$28,1,2)+INDEX(Assumptions!$D$29:$F$29,1,2)+INDEX(Assumptions!$D$79:$F$79,1,2))</f>
        <v>24393213.913717866</v>
      </c>
      <c r="I128" s="13">
        <f>I112*(INDEX(Assumptions!$D$27:$F$27,1,2)+INDEX(Assumptions!$D$28:$F$28,1,2)+INDEX(Assumptions!$D$29:$F$29,1,2)+INDEX(Assumptions!$D$79:$F$79,1,2))</f>
        <v>28863232.136912081</v>
      </c>
      <c r="J128" s="13">
        <f>J112*(INDEX(Assumptions!$D$27:$F$27,1,2)+INDEX(Assumptions!$D$28:$F$28,1,2)+INDEX(Assumptions!$D$29:$F$29,1,2)+INDEX(Assumptions!$D$79:$F$79,1,2))</f>
        <v>32674147.210130587</v>
      </c>
      <c r="K128" s="13">
        <f>K112*(INDEX(Assumptions!$D$27:$F$27,1,2)+INDEX(Assumptions!$D$28:$F$28,1,2)+INDEX(Assumptions!$D$29:$F$29,1,2)+INDEX(Assumptions!$D$79:$F$79,1,2))</f>
        <v>32674147.210130587</v>
      </c>
      <c r="L128" s="13">
        <f>L112*(INDEX(Assumptions!$D$27:$F$27,1,2)+INDEX(Assumptions!$D$28:$F$28,1,2)+INDEX(Assumptions!$D$29:$F$29,1,2)+INDEX(Assumptions!$D$79:$F$79,1,2))</f>
        <v>32674147.210130587</v>
      </c>
      <c r="M128" s="13">
        <f>M112*(INDEX(Assumptions!$D$27:$F$27,1,2)+INDEX(Assumptions!$D$28:$F$28,1,2)+INDEX(Assumptions!$D$29:$F$29,1,2)+INDEX(Assumptions!$D$79:$F$79,1,2))</f>
        <v>32674147.210130587</v>
      </c>
      <c r="N128" s="13">
        <f>N112*(INDEX(Assumptions!$D$27:$F$27,1,2)+INDEX(Assumptions!$D$28:$F$28,1,2)+INDEX(Assumptions!$D$29:$F$29,1,2)+INDEX(Assumptions!$D$79:$F$79,1,2))</f>
        <v>32674147.210130587</v>
      </c>
    </row>
    <row r="129" spans="1:14" ht="15" customHeight="1" x14ac:dyDescent="0.3">
      <c r="A129" s="6" t="s">
        <v>870</v>
      </c>
      <c r="B129" s="6" t="s">
        <v>218</v>
      </c>
      <c r="C129" s="6" t="s">
        <v>211</v>
      </c>
      <c r="D129" s="13">
        <f>D112*INDEX(Assumptions!$D$29:$F$29,1,2)</f>
        <v>399760.3878116344</v>
      </c>
      <c r="E129" s="13">
        <f>E112*INDEX(Assumptions!$D$29:$F$29,1,2)</f>
        <v>549670.53324099723</v>
      </c>
      <c r="F129" s="13">
        <f>F112*INDEX(Assumptions!$D$29:$F$29,1,2)</f>
        <v>864897.58944598353</v>
      </c>
      <c r="G129" s="13">
        <f>G112*INDEX(Assumptions!$D$29:$F$29,1,2)</f>
        <v>1442123.7387793816</v>
      </c>
      <c r="H129" s="13">
        <f>H112*INDEX(Assumptions!$D$29:$F$29,1,2)</f>
        <v>2031966.9555666761</v>
      </c>
      <c r="I129" s="13">
        <f>I112*INDEX(Assumptions!$D$29:$F$29,1,2)</f>
        <v>2404321.7158880946</v>
      </c>
      <c r="J129" s="13">
        <f>J112*INDEX(Assumptions!$D$29:$F$29,1,2)</f>
        <v>2721772.8531855959</v>
      </c>
      <c r="K129" s="13">
        <f>K112*INDEX(Assumptions!$D$29:$F$29,1,2)</f>
        <v>2721772.8531855959</v>
      </c>
      <c r="L129" s="13">
        <f>L112*INDEX(Assumptions!$D$29:$F$29,1,2)</f>
        <v>2721772.8531855959</v>
      </c>
      <c r="M129" s="13">
        <f>M112*INDEX(Assumptions!$D$29:$F$29,1,2)</f>
        <v>2721772.8531855959</v>
      </c>
      <c r="N129" s="13">
        <f>N112*INDEX(Assumptions!$D$29:$F$29,1,2)</f>
        <v>2721772.8531855959</v>
      </c>
    </row>
    <row r="130" spans="1:14" ht="15" customHeight="1" x14ac:dyDescent="0.3">
      <c r="A130" s="6" t="s">
        <v>871</v>
      </c>
      <c r="B130" s="6" t="s">
        <v>267</v>
      </c>
      <c r="C130" s="6" t="s">
        <v>211</v>
      </c>
      <c r="D130" s="71">
        <f t="shared" ref="D130:N130" si="31">IF(D128=0,0,D99/D128)</f>
        <v>0.19587351305118947</v>
      </c>
      <c r="E130" s="71">
        <f t="shared" si="31"/>
        <v>0.1958735130511895</v>
      </c>
      <c r="F130" s="71">
        <f t="shared" si="31"/>
        <v>0.18432683129141211</v>
      </c>
      <c r="G130" s="71">
        <f t="shared" si="31"/>
        <v>0.1771792166543685</v>
      </c>
      <c r="H130" s="71">
        <f t="shared" si="31"/>
        <v>0.1709714787437106</v>
      </c>
      <c r="I130" s="71">
        <f t="shared" si="31"/>
        <v>0.15714587782845565</v>
      </c>
      <c r="J130" s="71">
        <f t="shared" si="31"/>
        <v>0.14899944418326766</v>
      </c>
      <c r="K130" s="71">
        <f t="shared" si="31"/>
        <v>0.15827534810240795</v>
      </c>
      <c r="L130" s="71">
        <f t="shared" si="31"/>
        <v>0.15593735073672221</v>
      </c>
      <c r="M130" s="71">
        <f t="shared" si="31"/>
        <v>0.14205892652115393</v>
      </c>
      <c r="N130" s="71">
        <f t="shared" si="31"/>
        <v>0.12941568206077123</v>
      </c>
    </row>
    <row r="131" spans="1:14" ht="15" customHeight="1" x14ac:dyDescent="0.3">
      <c r="A131" s="6" t="s">
        <v>872</v>
      </c>
      <c r="B131" s="6" t="s">
        <v>218</v>
      </c>
      <c r="C131" s="6" t="s">
        <v>211</v>
      </c>
      <c r="D131" s="63">
        <f>0</f>
        <v>0</v>
      </c>
      <c r="E131" s="13">
        <f>E99+E109+'Acquisition Schedule'!G$20*(1-INDEX(Assumptions!$D$56:$F$56,1,2))*(1-INDEX(Assumptions!$D$20:$F$20,1,2))</f>
        <v>1645000</v>
      </c>
      <c r="F131" s="13">
        <f>F99+F109+'Acquisition Schedule'!H$20*(1-INDEX(Assumptions!$D$56:$F$56,1,2))*(1-INDEX(Assumptions!$D$20:$F$20,1,2))</f>
        <v>2386227.6</v>
      </c>
      <c r="G131" s="13">
        <f>G99+G109+'Acquisition Schedule'!I$20*(1-INDEX(Assumptions!$D$56:$F$56,1,2))*(1-INDEX(Assumptions!$D$20:$F$20,1,2))</f>
        <v>4331022.1117040012</v>
      </c>
      <c r="H131" s="13">
        <f>H99+H109+'Acquisition Schedule'!J$20*(1-INDEX(Assumptions!$D$56:$F$56,1,2))*(1-INDEX(Assumptions!$D$20:$F$20,1,2))</f>
        <v>5130484.5038890736</v>
      </c>
      <c r="I131" s="13">
        <f>I99+I109+'Acquisition Schedule'!K$20*(1-INDEX(Assumptions!$D$56:$F$56,1,2))*(1-INDEX(Assumptions!$D$20:$F$20,1,2))</f>
        <v>6006042.6766689606</v>
      </c>
      <c r="J131" s="13">
        <f>J99+J109+'Acquisition Schedule'!L$20*(1-INDEX(Assumptions!$D$56:$F$56,1,2))*(1-INDEX(Assumptions!$D$20:$F$20,1,2))</f>
        <v>6752500</v>
      </c>
      <c r="K131" s="13">
        <f>K99+K109+'Acquisition Schedule'!M$20*(1-INDEX(Assumptions!$D$56:$F$56,1,2))*(1-INDEX(Assumptions!$D$20:$F$20,1,2))</f>
        <v>6752500</v>
      </c>
      <c r="L131" s="13">
        <f>L99+L109+'Acquisition Schedule'!N$20*(1-INDEX(Assumptions!$D$56:$F$56,1,2))*(1-INDEX(Assumptions!$D$20:$F$20,1,2))</f>
        <v>6400000</v>
      </c>
      <c r="M131" s="13">
        <f>M99+M109+'Acquisition Schedule'!O$20*(1-INDEX(Assumptions!$D$56:$F$56,1,2))*(1-INDEX(Assumptions!$D$20:$F$20,1,2))</f>
        <v>6400000</v>
      </c>
      <c r="N131" s="13">
        <f>N99+N109+'Acquisition Schedule'!P$20*(1-INDEX(Assumptions!$D$56:$F$56,1,2))*(1-INDEX(Assumptions!$D$20:$F$20,1,2))</f>
        <v>6400000</v>
      </c>
    </row>
    <row r="132" spans="1:14" ht="15" customHeight="1" x14ac:dyDescent="0.3">
      <c r="A132" s="2"/>
      <c r="B132" s="2"/>
      <c r="C132" s="2"/>
      <c r="D132" s="2"/>
      <c r="E132" s="2"/>
      <c r="F132" s="2"/>
      <c r="G132" s="2"/>
      <c r="H132" s="2"/>
      <c r="I132" s="2"/>
      <c r="J132" s="2"/>
      <c r="K132" s="2"/>
      <c r="L132" s="2"/>
      <c r="M132" s="2"/>
      <c r="N132" s="2"/>
    </row>
    <row r="133" spans="1:14" ht="15" customHeight="1" x14ac:dyDescent="0.3">
      <c r="A133" s="21" t="s">
        <v>874</v>
      </c>
      <c r="B133" s="10"/>
      <c r="C133" s="10"/>
      <c r="D133" s="10"/>
      <c r="E133" s="10"/>
      <c r="F133" s="10"/>
      <c r="G133" s="10"/>
      <c r="H133" s="10"/>
      <c r="I133" s="10"/>
      <c r="J133" s="10"/>
      <c r="K133" s="10"/>
      <c r="L133" s="10"/>
      <c r="M133" s="10"/>
      <c r="N133" s="10"/>
    </row>
    <row r="134" spans="1:14" ht="15" customHeight="1" x14ac:dyDescent="0.3">
      <c r="A134" s="6" t="s">
        <v>813</v>
      </c>
      <c r="B134" s="6" t="s">
        <v>267</v>
      </c>
      <c r="C134" s="6" t="s">
        <v>211</v>
      </c>
      <c r="D134" s="19">
        <f>'Anchor QoE'!G$12</f>
        <v>0.9345</v>
      </c>
      <c r="E134" s="2"/>
      <c r="F134" s="2"/>
      <c r="G134" s="2"/>
      <c r="H134" s="2"/>
      <c r="I134" s="2"/>
      <c r="J134" s="2"/>
      <c r="K134" s="2"/>
      <c r="L134" s="2"/>
      <c r="M134" s="2"/>
      <c r="N134" s="2"/>
    </row>
    <row r="135" spans="1:14" ht="15" customHeight="1" x14ac:dyDescent="0.3">
      <c r="A135" s="6" t="s">
        <v>814</v>
      </c>
      <c r="B135" s="6" t="s">
        <v>267</v>
      </c>
      <c r="C135" s="6" t="s">
        <v>211</v>
      </c>
      <c r="D135" s="71">
        <f>1-D134</f>
        <v>6.5500000000000003E-2</v>
      </c>
      <c r="E135" s="2"/>
      <c r="F135" s="2"/>
      <c r="G135" s="2"/>
      <c r="H135" s="2"/>
      <c r="I135" s="2"/>
      <c r="J135" s="2"/>
      <c r="K135" s="2"/>
      <c r="L135" s="2"/>
      <c r="M135" s="2"/>
      <c r="N135" s="2"/>
    </row>
    <row r="136" spans="1:14" ht="15" customHeight="1" x14ac:dyDescent="0.3">
      <c r="A136" s="6" t="s">
        <v>815</v>
      </c>
      <c r="B136" s="6" t="s">
        <v>267</v>
      </c>
      <c r="C136" s="6" t="s">
        <v>211</v>
      </c>
      <c r="D136" s="19">
        <f>INDEX(Assumptions!$D$57:$F$57,1,3)</f>
        <v>0.12</v>
      </c>
      <c r="E136" s="2"/>
      <c r="F136" s="2"/>
      <c r="G136" s="2"/>
      <c r="H136" s="2"/>
      <c r="I136" s="2"/>
      <c r="J136" s="2"/>
      <c r="K136" s="2"/>
      <c r="L136" s="2"/>
      <c r="M136" s="2"/>
      <c r="N136" s="2"/>
    </row>
    <row r="137" spans="1:14" ht="15" customHeight="1" x14ac:dyDescent="0.3">
      <c r="A137" s="6" t="s">
        <v>616</v>
      </c>
      <c r="B137" s="6" t="s">
        <v>267</v>
      </c>
      <c r="C137" s="6" t="s">
        <v>222</v>
      </c>
      <c r="D137" s="19">
        <f>(INDEX(Assumptions!$D$58:$F$58,1,3)*(1-Assumptions!$D$8))</f>
        <v>0.06</v>
      </c>
      <c r="E137" s="2"/>
      <c r="F137" s="2"/>
      <c r="G137" s="2"/>
      <c r="H137" s="2"/>
      <c r="I137" s="2"/>
      <c r="J137" s="2"/>
      <c r="K137" s="2"/>
      <c r="L137" s="2"/>
      <c r="M137" s="2"/>
      <c r="N137" s="2"/>
    </row>
    <row r="138" spans="1:14" ht="15" customHeight="1" x14ac:dyDescent="0.3">
      <c r="A138" s="6" t="s">
        <v>816</v>
      </c>
      <c r="B138" s="6" t="s">
        <v>265</v>
      </c>
      <c r="C138" s="6" t="s">
        <v>211</v>
      </c>
      <c r="D138" s="65">
        <f>D134*(1+D136)</f>
        <v>1.04664</v>
      </c>
      <c r="E138" s="2"/>
      <c r="F138" s="2"/>
      <c r="G138" s="2"/>
      <c r="H138" s="2"/>
      <c r="I138" s="2"/>
      <c r="J138" s="2"/>
      <c r="K138" s="2"/>
      <c r="L138" s="2"/>
      <c r="M138" s="2"/>
      <c r="N138" s="2"/>
    </row>
    <row r="139" spans="1:14" ht="15" customHeight="1" x14ac:dyDescent="0.3">
      <c r="A139" s="1" t="s">
        <v>817</v>
      </c>
      <c r="B139" s="6" t="s">
        <v>265</v>
      </c>
      <c r="C139" s="6" t="s">
        <v>211</v>
      </c>
      <c r="D139" s="82">
        <f>D134*(1+D136+D137)</f>
        <v>1.1027100000000001</v>
      </c>
      <c r="E139" s="2"/>
      <c r="F139" s="2"/>
      <c r="G139" s="2"/>
      <c r="H139" s="2"/>
      <c r="I139" s="2"/>
      <c r="J139" s="2"/>
      <c r="K139" s="2"/>
      <c r="L139" s="2"/>
      <c r="M139" s="2"/>
      <c r="N139" s="2"/>
    </row>
    <row r="140" spans="1:14" ht="15" customHeight="1" x14ac:dyDescent="0.3">
      <c r="A140" s="6" t="s">
        <v>818</v>
      </c>
      <c r="B140" s="6" t="s">
        <v>819</v>
      </c>
      <c r="C140" s="6" t="s">
        <v>222</v>
      </c>
      <c r="D140" s="83">
        <f>D139-D138</f>
        <v>5.6070000000000064E-2</v>
      </c>
      <c r="E140" s="2"/>
      <c r="F140" s="2"/>
      <c r="G140" s="2"/>
      <c r="H140" s="2"/>
      <c r="I140" s="2"/>
      <c r="J140" s="2"/>
      <c r="K140" s="2"/>
      <c r="L140" s="2"/>
      <c r="M140" s="2"/>
      <c r="N140" s="2"/>
    </row>
    <row r="141" spans="1:14" ht="15" customHeight="1" x14ac:dyDescent="0.3">
      <c r="A141" s="6" t="s">
        <v>820</v>
      </c>
      <c r="B141" s="2"/>
      <c r="C141" s="2"/>
      <c r="D141" s="2"/>
      <c r="E141" s="2"/>
      <c r="F141" s="2"/>
      <c r="G141" s="2"/>
      <c r="H141" s="2"/>
      <c r="I141" s="2"/>
      <c r="J141" s="2"/>
      <c r="K141" s="2"/>
      <c r="L141" s="2"/>
      <c r="M141" s="2"/>
      <c r="N141" s="2"/>
    </row>
    <row r="142" spans="1:14" ht="15" customHeight="1" x14ac:dyDescent="0.3">
      <c r="A142" s="6" t="s">
        <v>821</v>
      </c>
      <c r="B142" s="6" t="s">
        <v>267</v>
      </c>
      <c r="C142" s="6" t="s">
        <v>211</v>
      </c>
      <c r="D142" s="19">
        <f>(1-INDEX(Assumptions!$D$56:$F$56,1,3))*INDEX(Assumptions!$D$20:$F$20,1,3)</f>
        <v>0.48</v>
      </c>
      <c r="E142" s="2"/>
      <c r="F142" s="2"/>
      <c r="G142" s="2"/>
      <c r="H142" s="2"/>
      <c r="I142" s="2"/>
      <c r="J142" s="2"/>
      <c r="K142" s="2"/>
      <c r="L142" s="2"/>
      <c r="M142" s="2"/>
      <c r="N142" s="2"/>
    </row>
    <row r="143" spans="1:14" ht="15" customHeight="1" x14ac:dyDescent="0.3">
      <c r="A143" s="6" t="s">
        <v>822</v>
      </c>
      <c r="B143" s="2"/>
      <c r="C143" s="2"/>
      <c r="D143" s="2"/>
      <c r="E143" s="2"/>
      <c r="F143" s="2"/>
      <c r="G143" s="2"/>
      <c r="H143" s="2"/>
      <c r="I143" s="2"/>
      <c r="J143" s="2"/>
      <c r="K143" s="2"/>
      <c r="L143" s="2"/>
      <c r="M143" s="2"/>
      <c r="N143" s="2"/>
    </row>
    <row r="144" spans="1:14" ht="15" customHeight="1" x14ac:dyDescent="0.3">
      <c r="A144" s="6" t="s">
        <v>823</v>
      </c>
      <c r="B144" s="6" t="s">
        <v>218</v>
      </c>
      <c r="C144" s="6" t="s">
        <v>211</v>
      </c>
      <c r="D144" s="13">
        <f>'Acquisition Schedule'!F$20*$D$142/INDEX(Assumptions!$D$20:$F$20,1,3)</f>
        <v>960000</v>
      </c>
      <c r="E144" s="13">
        <f>'Acquisition Schedule'!F$20*(1-INDEX(Assumptions!$D$56:$F$56,1,3))*$D$134^0</f>
        <v>960000</v>
      </c>
      <c r="F144" s="13">
        <f>'Acquisition Schedule'!F$20*(1-INDEX(Assumptions!$D$56:$F$56,1,3))*$D$134^1</f>
        <v>897120</v>
      </c>
      <c r="G144" s="13">
        <f>'Acquisition Schedule'!F$20*(1-INDEX(Assumptions!$D$56:$F$56,1,3))*$D$134^2</f>
        <v>838358.64</v>
      </c>
      <c r="H144" s="13">
        <f>'Acquisition Schedule'!F$20*(1-INDEX(Assumptions!$D$56:$F$56,1,3))*$D$134^3</f>
        <v>783446.14908</v>
      </c>
      <c r="I144" s="13">
        <f>'Acquisition Schedule'!F$20*(1-INDEX(Assumptions!$D$56:$F$56,1,3))*$D$134^4</f>
        <v>732130.42631526012</v>
      </c>
      <c r="J144" s="13">
        <f>'Acquisition Schedule'!F$20*(1-INDEX(Assumptions!$D$56:$F$56,1,3))*$D$134^5</f>
        <v>684175.88339161058</v>
      </c>
      <c r="K144" s="13">
        <f>'Acquisition Schedule'!F$20*(1-INDEX(Assumptions!$D$56:$F$56,1,3))*$D$134^6</f>
        <v>639362.36302946019</v>
      </c>
      <c r="L144" s="13">
        <f>'Acquisition Schedule'!F$20*(1-INDEX(Assumptions!$D$56:$F$56,1,3))*$D$134^7</f>
        <v>597484.12825103046</v>
      </c>
      <c r="M144" s="13">
        <f>'Acquisition Schedule'!F$20*(1-INDEX(Assumptions!$D$56:$F$56,1,3))*$D$134^8</f>
        <v>558348.9178505881</v>
      </c>
      <c r="N144" s="13">
        <f>'Acquisition Schedule'!F$20*(1-INDEX(Assumptions!$D$56:$F$56,1,3))*$D$134^9</f>
        <v>521777.06373137457</v>
      </c>
    </row>
    <row r="145" spans="1:14" ht="15" customHeight="1" x14ac:dyDescent="0.3">
      <c r="A145" s="6" t="s">
        <v>824</v>
      </c>
      <c r="B145" s="6" t="s">
        <v>218</v>
      </c>
      <c r="C145" s="6" t="s">
        <v>211</v>
      </c>
      <c r="D145" s="63">
        <f>0</f>
        <v>0</v>
      </c>
      <c r="E145" s="13">
        <f>'Acquisition Schedule'!G$20*$D$142</f>
        <v>360000</v>
      </c>
      <c r="F145" s="13">
        <f>'Acquisition Schedule'!G$20*(1-INDEX(Assumptions!$D$56:$F$56,1,3))*$D$134^0</f>
        <v>720000</v>
      </c>
      <c r="G145" s="13">
        <f>'Acquisition Schedule'!G$20*(1-INDEX(Assumptions!$D$56:$F$56,1,3))*$D$134^1</f>
        <v>672840</v>
      </c>
      <c r="H145" s="13">
        <f>'Acquisition Schedule'!G$20*(1-INDEX(Assumptions!$D$56:$F$56,1,3))*$D$134^2</f>
        <v>628768.98</v>
      </c>
      <c r="I145" s="13">
        <f>'Acquisition Schedule'!G$20*(1-INDEX(Assumptions!$D$56:$F$56,1,3))*$D$134^3</f>
        <v>587584.61181000003</v>
      </c>
      <c r="J145" s="13">
        <f>'Acquisition Schedule'!G$20*(1-INDEX(Assumptions!$D$56:$F$56,1,3))*$D$134^4</f>
        <v>549097.81973644509</v>
      </c>
      <c r="K145" s="13">
        <f>'Acquisition Schedule'!G$20*(1-INDEX(Assumptions!$D$56:$F$56,1,3))*$D$134^5</f>
        <v>513131.91254370793</v>
      </c>
      <c r="L145" s="13">
        <f>'Acquisition Schedule'!G$20*(1-INDEX(Assumptions!$D$56:$F$56,1,3))*$D$134^6</f>
        <v>479521.77227209508</v>
      </c>
      <c r="M145" s="13">
        <f>'Acquisition Schedule'!G$20*(1-INDEX(Assumptions!$D$56:$F$56,1,3))*$D$134^7</f>
        <v>448113.09618827282</v>
      </c>
      <c r="N145" s="13">
        <f>'Acquisition Schedule'!G$20*(1-INDEX(Assumptions!$D$56:$F$56,1,3))*$D$134^8</f>
        <v>418761.68838794105</v>
      </c>
    </row>
    <row r="146" spans="1:14" ht="15" customHeight="1" x14ac:dyDescent="0.3">
      <c r="A146" s="6" t="s">
        <v>825</v>
      </c>
      <c r="B146" s="6" t="s">
        <v>218</v>
      </c>
      <c r="C146" s="6" t="s">
        <v>211</v>
      </c>
      <c r="D146" s="63">
        <f>0</f>
        <v>0</v>
      </c>
      <c r="E146" s="63">
        <f>0</f>
        <v>0</v>
      </c>
      <c r="F146" s="13">
        <f>'Acquisition Schedule'!H$20*$D$142</f>
        <v>360000</v>
      </c>
      <c r="G146" s="13">
        <f>'Acquisition Schedule'!H$20*(1-INDEX(Assumptions!$D$56:$F$56,1,3))*$D$134^0</f>
        <v>720000</v>
      </c>
      <c r="H146" s="13">
        <f>'Acquisition Schedule'!H$20*(1-INDEX(Assumptions!$D$56:$F$56,1,3))*$D$134^1</f>
        <v>672840</v>
      </c>
      <c r="I146" s="13">
        <f>'Acquisition Schedule'!H$20*(1-INDEX(Assumptions!$D$56:$F$56,1,3))*$D$134^2</f>
        <v>628768.98</v>
      </c>
      <c r="J146" s="13">
        <f>'Acquisition Schedule'!H$20*(1-INDEX(Assumptions!$D$56:$F$56,1,3))*$D$134^3</f>
        <v>587584.61181000003</v>
      </c>
      <c r="K146" s="13">
        <f>'Acquisition Schedule'!H$20*(1-INDEX(Assumptions!$D$56:$F$56,1,3))*$D$134^4</f>
        <v>549097.81973644509</v>
      </c>
      <c r="L146" s="13">
        <f>'Acquisition Schedule'!H$20*(1-INDEX(Assumptions!$D$56:$F$56,1,3))*$D$134^5</f>
        <v>513131.91254370793</v>
      </c>
      <c r="M146" s="13">
        <f>'Acquisition Schedule'!H$20*(1-INDEX(Assumptions!$D$56:$F$56,1,3))*$D$134^6</f>
        <v>479521.77227209508</v>
      </c>
      <c r="N146" s="13">
        <f>'Acquisition Schedule'!H$20*(1-INDEX(Assumptions!$D$56:$F$56,1,3))*$D$134^7</f>
        <v>448113.09618827282</v>
      </c>
    </row>
    <row r="147" spans="1:14" ht="15" customHeight="1" x14ac:dyDescent="0.3">
      <c r="A147" s="6" t="s">
        <v>826</v>
      </c>
      <c r="B147" s="6" t="s">
        <v>218</v>
      </c>
      <c r="C147" s="6" t="s">
        <v>211</v>
      </c>
      <c r="D147" s="63">
        <f>0</f>
        <v>0</v>
      </c>
      <c r="E147" s="63">
        <f>0</f>
        <v>0</v>
      </c>
      <c r="F147" s="63">
        <f>0</f>
        <v>0</v>
      </c>
      <c r="G147" s="13">
        <f>'Acquisition Schedule'!I$20*$D$142</f>
        <v>960000</v>
      </c>
      <c r="H147" s="13">
        <f>'Acquisition Schedule'!I$20*(1-INDEX(Assumptions!$D$56:$F$56,1,3))*$D$134^0</f>
        <v>1920000</v>
      </c>
      <c r="I147" s="13">
        <f>'Acquisition Schedule'!I$20*(1-INDEX(Assumptions!$D$56:$F$56,1,3))*$D$134^1</f>
        <v>1794240</v>
      </c>
      <c r="J147" s="13">
        <f>'Acquisition Schedule'!I$20*(1-INDEX(Assumptions!$D$56:$F$56,1,3))*$D$134^2</f>
        <v>1676717.28</v>
      </c>
      <c r="K147" s="13">
        <f>'Acquisition Schedule'!I$20*(1-INDEX(Assumptions!$D$56:$F$56,1,3))*$D$134^3</f>
        <v>1566892.29816</v>
      </c>
      <c r="L147" s="13">
        <f>'Acquisition Schedule'!I$20*(1-INDEX(Assumptions!$D$56:$F$56,1,3))*$D$134^4</f>
        <v>1464260.8526305202</v>
      </c>
      <c r="M147" s="13">
        <f>'Acquisition Schedule'!I$20*(1-INDEX(Assumptions!$D$56:$F$56,1,3))*$D$134^5</f>
        <v>1368351.7667832212</v>
      </c>
      <c r="N147" s="13">
        <f>'Acquisition Schedule'!I$20*(1-INDEX(Assumptions!$D$56:$F$56,1,3))*$D$134^6</f>
        <v>1278724.7260589204</v>
      </c>
    </row>
    <row r="148" spans="1:14" ht="15" customHeight="1" x14ac:dyDescent="0.3">
      <c r="A148" s="6" t="s">
        <v>827</v>
      </c>
      <c r="B148" s="6" t="s">
        <v>218</v>
      </c>
      <c r="C148" s="6" t="s">
        <v>211</v>
      </c>
      <c r="D148" s="63">
        <f>0</f>
        <v>0</v>
      </c>
      <c r="E148" s="63">
        <f>0</f>
        <v>0</v>
      </c>
      <c r="F148" s="63">
        <f>0</f>
        <v>0</v>
      </c>
      <c r="G148" s="63">
        <f>0</f>
        <v>0</v>
      </c>
      <c r="H148" s="13">
        <f>'Acquisition Schedule'!J$20*$D$142</f>
        <v>360000</v>
      </c>
      <c r="I148" s="13">
        <f>'Acquisition Schedule'!J$20*(1-INDEX(Assumptions!$D$56:$F$56,1,3))*$D$134^0</f>
        <v>720000</v>
      </c>
      <c r="J148" s="13">
        <f>'Acquisition Schedule'!J$20*(1-INDEX(Assumptions!$D$56:$F$56,1,3))*$D$134^1</f>
        <v>672840</v>
      </c>
      <c r="K148" s="13">
        <f>'Acquisition Schedule'!J$20*(1-INDEX(Assumptions!$D$56:$F$56,1,3))*$D$134^2</f>
        <v>628768.98</v>
      </c>
      <c r="L148" s="13">
        <f>'Acquisition Schedule'!J$20*(1-INDEX(Assumptions!$D$56:$F$56,1,3))*$D$134^3</f>
        <v>587584.61181000003</v>
      </c>
      <c r="M148" s="13">
        <f>'Acquisition Schedule'!J$20*(1-INDEX(Assumptions!$D$56:$F$56,1,3))*$D$134^4</f>
        <v>549097.81973644509</v>
      </c>
      <c r="N148" s="13">
        <f>'Acquisition Schedule'!J$20*(1-INDEX(Assumptions!$D$56:$F$56,1,3))*$D$134^5</f>
        <v>513131.91254370793</v>
      </c>
    </row>
    <row r="149" spans="1:14" ht="15" customHeight="1" x14ac:dyDescent="0.3">
      <c r="A149" s="6" t="s">
        <v>828</v>
      </c>
      <c r="B149" s="6" t="s">
        <v>218</v>
      </c>
      <c r="C149" s="6" t="s">
        <v>211</v>
      </c>
      <c r="D149" s="63">
        <f>0</f>
        <v>0</v>
      </c>
      <c r="E149" s="63">
        <f>0</f>
        <v>0</v>
      </c>
      <c r="F149" s="63">
        <f>0</f>
        <v>0</v>
      </c>
      <c r="G149" s="63">
        <f>0</f>
        <v>0</v>
      </c>
      <c r="H149" s="63">
        <f>0</f>
        <v>0</v>
      </c>
      <c r="I149" s="13">
        <f>'Acquisition Schedule'!K$20*$D$142</f>
        <v>360000</v>
      </c>
      <c r="J149" s="13">
        <f>'Acquisition Schedule'!K$20*(1-INDEX(Assumptions!$D$56:$F$56,1,3))*$D$134^0</f>
        <v>720000</v>
      </c>
      <c r="K149" s="13">
        <f>'Acquisition Schedule'!K$20*(1-INDEX(Assumptions!$D$56:$F$56,1,3))*$D$134^1</f>
        <v>672840</v>
      </c>
      <c r="L149" s="13">
        <f>'Acquisition Schedule'!K$20*(1-INDEX(Assumptions!$D$56:$F$56,1,3))*$D$134^2</f>
        <v>628768.98</v>
      </c>
      <c r="M149" s="13">
        <f>'Acquisition Schedule'!K$20*(1-INDEX(Assumptions!$D$56:$F$56,1,3))*$D$134^3</f>
        <v>587584.61181000003</v>
      </c>
      <c r="N149" s="13">
        <f>'Acquisition Schedule'!K$20*(1-INDEX(Assumptions!$D$56:$F$56,1,3))*$D$134^4</f>
        <v>549097.81973644509</v>
      </c>
    </row>
    <row r="150" spans="1:14" ht="15" customHeight="1" x14ac:dyDescent="0.3">
      <c r="A150" s="6" t="s">
        <v>829</v>
      </c>
      <c r="B150" s="6" t="s">
        <v>218</v>
      </c>
      <c r="C150" s="6" t="s">
        <v>211</v>
      </c>
      <c r="D150" s="63">
        <f>0</f>
        <v>0</v>
      </c>
      <c r="E150" s="63">
        <f>0</f>
        <v>0</v>
      </c>
      <c r="F150" s="63">
        <f>0</f>
        <v>0</v>
      </c>
      <c r="G150" s="63">
        <f>0</f>
        <v>0</v>
      </c>
      <c r="H150" s="63">
        <f>0</f>
        <v>0</v>
      </c>
      <c r="I150" s="63">
        <f>0</f>
        <v>0</v>
      </c>
      <c r="J150" s="13">
        <f>'Acquisition Schedule'!L$20*$D$142</f>
        <v>360000</v>
      </c>
      <c r="K150" s="13">
        <f>'Acquisition Schedule'!L$20*(1-INDEX(Assumptions!$D$56:$F$56,1,3))*$D$134^0</f>
        <v>720000</v>
      </c>
      <c r="L150" s="13">
        <f>'Acquisition Schedule'!L$20*(1-INDEX(Assumptions!$D$56:$F$56,1,3))*$D$134^1</f>
        <v>672840</v>
      </c>
      <c r="M150" s="13">
        <f>'Acquisition Schedule'!L$20*(1-INDEX(Assumptions!$D$56:$F$56,1,3))*$D$134^2</f>
        <v>628768.98</v>
      </c>
      <c r="N150" s="13">
        <f>'Acquisition Schedule'!L$20*(1-INDEX(Assumptions!$D$56:$F$56,1,3))*$D$134^3</f>
        <v>587584.61181000003</v>
      </c>
    </row>
    <row r="151" spans="1:14" ht="15" customHeight="1" x14ac:dyDescent="0.3">
      <c r="A151" s="6" t="s">
        <v>830</v>
      </c>
      <c r="B151" s="6" t="s">
        <v>218</v>
      </c>
      <c r="C151" s="6" t="s">
        <v>211</v>
      </c>
      <c r="D151" s="63">
        <f>0</f>
        <v>0</v>
      </c>
      <c r="E151" s="63">
        <f>0</f>
        <v>0</v>
      </c>
      <c r="F151" s="63">
        <f>0</f>
        <v>0</v>
      </c>
      <c r="G151" s="63">
        <f>0</f>
        <v>0</v>
      </c>
      <c r="H151" s="63">
        <f>0</f>
        <v>0</v>
      </c>
      <c r="I151" s="63">
        <f>0</f>
        <v>0</v>
      </c>
      <c r="J151" s="63">
        <f>0</f>
        <v>0</v>
      </c>
      <c r="K151" s="13">
        <f>'Acquisition Schedule'!M$20*$D$142</f>
        <v>360000</v>
      </c>
      <c r="L151" s="13">
        <f>'Acquisition Schedule'!M$20*(1-INDEX(Assumptions!$D$56:$F$56,1,3))*$D$134^0</f>
        <v>720000</v>
      </c>
      <c r="M151" s="13">
        <f>'Acquisition Schedule'!M$20*(1-INDEX(Assumptions!$D$56:$F$56,1,3))*$D$134^1</f>
        <v>672840</v>
      </c>
      <c r="N151" s="13">
        <f>'Acquisition Schedule'!M$20*(1-INDEX(Assumptions!$D$56:$F$56,1,3))*$D$134^2</f>
        <v>628768.98</v>
      </c>
    </row>
    <row r="152" spans="1:14" ht="15" customHeight="1" x14ac:dyDescent="0.3">
      <c r="A152" s="6" t="s">
        <v>831</v>
      </c>
      <c r="B152" s="2"/>
      <c r="C152" s="2"/>
      <c r="D152" s="2"/>
      <c r="E152" s="2"/>
      <c r="F152" s="2"/>
      <c r="G152" s="2"/>
      <c r="H152" s="2"/>
      <c r="I152" s="2"/>
      <c r="J152" s="2"/>
      <c r="K152" s="2"/>
      <c r="L152" s="2"/>
      <c r="M152" s="2"/>
      <c r="N152" s="2"/>
    </row>
    <row r="153" spans="1:14" ht="15" customHeight="1" x14ac:dyDescent="0.3">
      <c r="A153" s="6" t="s">
        <v>832</v>
      </c>
      <c r="B153" s="6" t="s">
        <v>218</v>
      </c>
      <c r="C153" s="6" t="s">
        <v>222</v>
      </c>
      <c r="D153" s="63">
        <f>0</f>
        <v>0</v>
      </c>
      <c r="E153" s="13">
        <f>'Acquisition Schedule'!F$20*(1-INDEX(Assumptions!$D$56:$F$56,1,3))*($D$139^0-$D$134^0)</f>
        <v>0</v>
      </c>
      <c r="F153" s="13">
        <f>'Acquisition Schedule'!F$20*(1-INDEX(Assumptions!$D$56:$F$56,1,3))*($D$139^1-$D$134^1)</f>
        <v>161481.60000000006</v>
      </c>
      <c r="G153" s="13">
        <f>'Acquisition Schedule'!F$20*(1-INDEX(Assumptions!$D$56:$F$56,1,3))*($D$139^2-$D$134^2)</f>
        <v>328971.93033600011</v>
      </c>
      <c r="H153" s="13">
        <f>'Acquisition Schedule'!F$20*(1-INDEX(Assumptions!$D$56:$F$56,1,3))*($D$139^3-$D$134^3)</f>
        <v>503780.94413521071</v>
      </c>
      <c r="I153" s="13">
        <f>'Acquisition Schedule'!F$20*(1-INDEX(Assumptions!$D$56:$F$56,1,3))*($D$139^4-$D$134^4)</f>
        <v>687307.76164408505</v>
      </c>
      <c r="J153" s="13">
        <f>'Acquisition Schedule'!F$20*(1-INDEX(Assumptions!$D$56:$F$56,1,3))*($D$139^5-$D$134^5)</f>
        <v>881052.80085303891</v>
      </c>
      <c r="K153" s="13">
        <f>'Acquisition Schedule'!F$20*(1-INDEX(Assumptions!$D$56:$F$56,1,3))*($D$139^6-$D$134^6)</f>
        <v>1086630.9593739575</v>
      </c>
      <c r="L153" s="13">
        <f>'Acquisition Schedule'!F$20*(1-INDEX(Assumptions!$D$56:$F$56,1,3))*($D$139^7-$D$134^7)</f>
        <v>1305785.9682964422</v>
      </c>
      <c r="M153" s="13">
        <f>'Acquisition Schedule'!F$20*(1-INDEX(Assumptions!$D$56:$F$56,1,3))*($D$139^8-$D$134^8)</f>
        <v>1540406.0503132755</v>
      </c>
      <c r="N153" s="13">
        <f>'Acquisition Schedule'!F$20*(1-INDEX(Assumptions!$D$56:$F$56,1,3))*($D$139^9-$D$134^9)</f>
        <v>1792541.0272125998</v>
      </c>
    </row>
    <row r="154" spans="1:14" ht="15" customHeight="1" x14ac:dyDescent="0.3">
      <c r="A154" s="6" t="s">
        <v>833</v>
      </c>
      <c r="B154" s="6" t="s">
        <v>218</v>
      </c>
      <c r="C154" s="6" t="s">
        <v>222</v>
      </c>
      <c r="D154" s="63">
        <f>0</f>
        <v>0</v>
      </c>
      <c r="E154" s="63">
        <f>0</f>
        <v>0</v>
      </c>
      <c r="F154" s="13">
        <f>'Acquisition Schedule'!G$20*(1-INDEX(Assumptions!$D$56:$F$56,1,3))*($D$139^0-$D$134^0)</f>
        <v>0</v>
      </c>
      <c r="G154" s="13">
        <f>'Acquisition Schedule'!G$20*(1-INDEX(Assumptions!$D$56:$F$56,1,3))*($D$139^1-$D$134^1)</f>
        <v>121111.20000000006</v>
      </c>
      <c r="H154" s="13">
        <f>'Acquisition Schedule'!G$20*(1-INDEX(Assumptions!$D$56:$F$56,1,3))*($D$139^2-$D$134^2)</f>
        <v>246728.94775200007</v>
      </c>
      <c r="I154" s="13">
        <f>'Acquisition Schedule'!G$20*(1-INDEX(Assumptions!$D$56:$F$56,1,3))*($D$139^3-$D$134^3)</f>
        <v>377835.70810140803</v>
      </c>
      <c r="J154" s="13">
        <f>'Acquisition Schedule'!G$20*(1-INDEX(Assumptions!$D$56:$F$56,1,3))*($D$139^4-$D$134^4)</f>
        <v>515480.82123306376</v>
      </c>
      <c r="K154" s="13">
        <f>'Acquisition Schedule'!G$20*(1-INDEX(Assumptions!$D$56:$F$56,1,3))*($D$139^5-$D$134^5)</f>
        <v>660789.60063977912</v>
      </c>
      <c r="L154" s="13">
        <f>'Acquisition Schedule'!G$20*(1-INDEX(Assumptions!$D$56:$F$56,1,3))*($D$139^6-$D$134^6)</f>
        <v>814973.21953046811</v>
      </c>
      <c r="M154" s="13">
        <f>'Acquisition Schedule'!G$20*(1-INDEX(Assumptions!$D$56:$F$56,1,3))*($D$139^7-$D$134^7)</f>
        <v>979339.47622233164</v>
      </c>
      <c r="N154" s="13">
        <f>'Acquisition Schedule'!G$20*(1-INDEX(Assumptions!$D$56:$F$56,1,3))*($D$139^8-$D$134^8)</f>
        <v>1155304.5377349567</v>
      </c>
    </row>
    <row r="155" spans="1:14" ht="15" customHeight="1" x14ac:dyDescent="0.3">
      <c r="A155" s="6" t="s">
        <v>834</v>
      </c>
      <c r="B155" s="6" t="s">
        <v>218</v>
      </c>
      <c r="C155" s="6" t="s">
        <v>222</v>
      </c>
      <c r="D155" s="63">
        <f>0</f>
        <v>0</v>
      </c>
      <c r="E155" s="63">
        <f>0</f>
        <v>0</v>
      </c>
      <c r="F155" s="63">
        <f>0</f>
        <v>0</v>
      </c>
      <c r="G155" s="13">
        <f>'Acquisition Schedule'!H$20*(1-INDEX(Assumptions!$D$56:$F$56,1,3))*($D$139^0-$D$134^0)</f>
        <v>0</v>
      </c>
      <c r="H155" s="13">
        <f>'Acquisition Schedule'!H$20*(1-INDEX(Assumptions!$D$56:$F$56,1,3))*($D$139^1-$D$134^1)</f>
        <v>121111.20000000006</v>
      </c>
      <c r="I155" s="13">
        <f>'Acquisition Schedule'!H$20*(1-INDEX(Assumptions!$D$56:$F$56,1,3))*($D$139^2-$D$134^2)</f>
        <v>246728.94775200007</v>
      </c>
      <c r="J155" s="13">
        <f>'Acquisition Schedule'!H$20*(1-INDEX(Assumptions!$D$56:$F$56,1,3))*($D$139^3-$D$134^3)</f>
        <v>377835.70810140803</v>
      </c>
      <c r="K155" s="13">
        <f>'Acquisition Schedule'!H$20*(1-INDEX(Assumptions!$D$56:$F$56,1,3))*($D$139^4-$D$134^4)</f>
        <v>515480.82123306376</v>
      </c>
      <c r="L155" s="13">
        <f>'Acquisition Schedule'!H$20*(1-INDEX(Assumptions!$D$56:$F$56,1,3))*($D$139^5-$D$134^5)</f>
        <v>660789.60063977912</v>
      </c>
      <c r="M155" s="13">
        <f>'Acquisition Schedule'!H$20*(1-INDEX(Assumptions!$D$56:$F$56,1,3))*($D$139^6-$D$134^6)</f>
        <v>814973.21953046811</v>
      </c>
      <c r="N155" s="13">
        <f>'Acquisition Schedule'!H$20*(1-INDEX(Assumptions!$D$56:$F$56,1,3))*($D$139^7-$D$134^7)</f>
        <v>979339.47622233164</v>
      </c>
    </row>
    <row r="156" spans="1:14" ht="15" customHeight="1" x14ac:dyDescent="0.3">
      <c r="A156" s="6" t="s">
        <v>835</v>
      </c>
      <c r="B156" s="6" t="s">
        <v>218</v>
      </c>
      <c r="C156" s="6" t="s">
        <v>222</v>
      </c>
      <c r="D156" s="63">
        <f>0</f>
        <v>0</v>
      </c>
      <c r="E156" s="63">
        <f>0</f>
        <v>0</v>
      </c>
      <c r="F156" s="63">
        <f>0</f>
        <v>0</v>
      </c>
      <c r="G156" s="63">
        <f>0</f>
        <v>0</v>
      </c>
      <c r="H156" s="13">
        <f>'Acquisition Schedule'!I$20*(1-INDEX(Assumptions!$D$56:$F$56,1,3))*($D$139^0-$D$134^0)</f>
        <v>0</v>
      </c>
      <c r="I156" s="13">
        <f>'Acquisition Schedule'!I$20*(1-INDEX(Assumptions!$D$56:$F$56,1,3))*($D$139^1-$D$134^1)</f>
        <v>322963.20000000013</v>
      </c>
      <c r="J156" s="13">
        <f>'Acquisition Schedule'!I$20*(1-INDEX(Assumptions!$D$56:$F$56,1,3))*($D$139^2-$D$134^2)</f>
        <v>657943.86067200021</v>
      </c>
      <c r="K156" s="13">
        <f>'Acquisition Schedule'!I$20*(1-INDEX(Assumptions!$D$56:$F$56,1,3))*($D$139^3-$D$134^3)</f>
        <v>1007561.8882704214</v>
      </c>
      <c r="L156" s="13">
        <f>'Acquisition Schedule'!I$20*(1-INDEX(Assumptions!$D$56:$F$56,1,3))*($D$139^4-$D$134^4)</f>
        <v>1374615.5232881701</v>
      </c>
      <c r="M156" s="13">
        <f>'Acquisition Schedule'!I$20*(1-INDEX(Assumptions!$D$56:$F$56,1,3))*($D$139^5-$D$134^5)</f>
        <v>1762105.6017060778</v>
      </c>
      <c r="N156" s="13">
        <f>'Acquisition Schedule'!I$20*(1-INDEX(Assumptions!$D$56:$F$56,1,3))*($D$139^6-$D$134^6)</f>
        <v>2173261.918747915</v>
      </c>
    </row>
    <row r="157" spans="1:14" ht="15" customHeight="1" x14ac:dyDescent="0.3">
      <c r="A157" s="6" t="s">
        <v>836</v>
      </c>
      <c r="B157" s="6" t="s">
        <v>218</v>
      </c>
      <c r="C157" s="6" t="s">
        <v>222</v>
      </c>
      <c r="D157" s="63">
        <f>0</f>
        <v>0</v>
      </c>
      <c r="E157" s="63">
        <f>0</f>
        <v>0</v>
      </c>
      <c r="F157" s="63">
        <f>0</f>
        <v>0</v>
      </c>
      <c r="G157" s="63">
        <f>0</f>
        <v>0</v>
      </c>
      <c r="H157" s="63">
        <f>0</f>
        <v>0</v>
      </c>
      <c r="I157" s="13">
        <f>'Acquisition Schedule'!J$20*(1-INDEX(Assumptions!$D$56:$F$56,1,3))*($D$139^0-$D$134^0)</f>
        <v>0</v>
      </c>
      <c r="J157" s="13">
        <f>'Acquisition Schedule'!J$20*(1-INDEX(Assumptions!$D$56:$F$56,1,3))*($D$139^1-$D$134^1)</f>
        <v>121111.20000000006</v>
      </c>
      <c r="K157" s="13">
        <f>'Acquisition Schedule'!J$20*(1-INDEX(Assumptions!$D$56:$F$56,1,3))*($D$139^2-$D$134^2)</f>
        <v>246728.94775200007</v>
      </c>
      <c r="L157" s="13">
        <f>'Acquisition Schedule'!J$20*(1-INDEX(Assumptions!$D$56:$F$56,1,3))*($D$139^3-$D$134^3)</f>
        <v>377835.70810140803</v>
      </c>
      <c r="M157" s="13">
        <f>'Acquisition Schedule'!J$20*(1-INDEX(Assumptions!$D$56:$F$56,1,3))*($D$139^4-$D$134^4)</f>
        <v>515480.82123306376</v>
      </c>
      <c r="N157" s="13">
        <f>'Acquisition Schedule'!J$20*(1-INDEX(Assumptions!$D$56:$F$56,1,3))*($D$139^5-$D$134^5)</f>
        <v>660789.60063977912</v>
      </c>
    </row>
    <row r="158" spans="1:14" ht="15" customHeight="1" x14ac:dyDescent="0.3">
      <c r="A158" s="6" t="s">
        <v>837</v>
      </c>
      <c r="B158" s="6" t="s">
        <v>218</v>
      </c>
      <c r="C158" s="6" t="s">
        <v>222</v>
      </c>
      <c r="D158" s="63">
        <f>0</f>
        <v>0</v>
      </c>
      <c r="E158" s="63">
        <f>0</f>
        <v>0</v>
      </c>
      <c r="F158" s="63">
        <f>0</f>
        <v>0</v>
      </c>
      <c r="G158" s="63">
        <f>0</f>
        <v>0</v>
      </c>
      <c r="H158" s="63">
        <f>0</f>
        <v>0</v>
      </c>
      <c r="I158" s="63">
        <f>0</f>
        <v>0</v>
      </c>
      <c r="J158" s="13">
        <f>'Acquisition Schedule'!K$20*(1-INDEX(Assumptions!$D$56:$F$56,1,3))*($D$139^0-$D$134^0)</f>
        <v>0</v>
      </c>
      <c r="K158" s="13">
        <f>'Acquisition Schedule'!K$20*(1-INDEX(Assumptions!$D$56:$F$56,1,3))*($D$139^1-$D$134^1)</f>
        <v>121111.20000000006</v>
      </c>
      <c r="L158" s="13">
        <f>'Acquisition Schedule'!K$20*(1-INDEX(Assumptions!$D$56:$F$56,1,3))*($D$139^2-$D$134^2)</f>
        <v>246728.94775200007</v>
      </c>
      <c r="M158" s="13">
        <f>'Acquisition Schedule'!K$20*(1-INDEX(Assumptions!$D$56:$F$56,1,3))*($D$139^3-$D$134^3)</f>
        <v>377835.70810140803</v>
      </c>
      <c r="N158" s="13">
        <f>'Acquisition Schedule'!K$20*(1-INDEX(Assumptions!$D$56:$F$56,1,3))*($D$139^4-$D$134^4)</f>
        <v>515480.82123306376</v>
      </c>
    </row>
    <row r="159" spans="1:14" ht="15" customHeight="1" x14ac:dyDescent="0.3">
      <c r="A159" s="6" t="s">
        <v>838</v>
      </c>
      <c r="B159" s="6" t="s">
        <v>218</v>
      </c>
      <c r="C159" s="6" t="s">
        <v>222</v>
      </c>
      <c r="D159" s="63">
        <f>0</f>
        <v>0</v>
      </c>
      <c r="E159" s="63">
        <f>0</f>
        <v>0</v>
      </c>
      <c r="F159" s="63">
        <f>0</f>
        <v>0</v>
      </c>
      <c r="G159" s="63">
        <f>0</f>
        <v>0</v>
      </c>
      <c r="H159" s="63">
        <f>0</f>
        <v>0</v>
      </c>
      <c r="I159" s="63">
        <f>0</f>
        <v>0</v>
      </c>
      <c r="J159" s="63">
        <f>0</f>
        <v>0</v>
      </c>
      <c r="K159" s="13">
        <f>'Acquisition Schedule'!L$20*(1-INDEX(Assumptions!$D$56:$F$56,1,3))*($D$139^0-$D$134^0)</f>
        <v>0</v>
      </c>
      <c r="L159" s="13">
        <f>'Acquisition Schedule'!L$20*(1-INDEX(Assumptions!$D$56:$F$56,1,3))*($D$139^1-$D$134^1)</f>
        <v>121111.20000000006</v>
      </c>
      <c r="M159" s="13">
        <f>'Acquisition Schedule'!L$20*(1-INDEX(Assumptions!$D$56:$F$56,1,3))*($D$139^2-$D$134^2)</f>
        <v>246728.94775200007</v>
      </c>
      <c r="N159" s="13">
        <f>'Acquisition Schedule'!L$20*(1-INDEX(Assumptions!$D$56:$F$56,1,3))*($D$139^3-$D$134^3)</f>
        <v>377835.70810140803</v>
      </c>
    </row>
    <row r="160" spans="1:14" ht="15" customHeight="1" x14ac:dyDescent="0.3">
      <c r="A160" s="6" t="s">
        <v>839</v>
      </c>
      <c r="B160" s="6" t="s">
        <v>218</v>
      </c>
      <c r="C160" s="6" t="s">
        <v>222</v>
      </c>
      <c r="D160" s="63">
        <f>0</f>
        <v>0</v>
      </c>
      <c r="E160" s="63">
        <f>0</f>
        <v>0</v>
      </c>
      <c r="F160" s="63">
        <f>0</f>
        <v>0</v>
      </c>
      <c r="G160" s="63">
        <f>0</f>
        <v>0</v>
      </c>
      <c r="H160" s="63">
        <f>0</f>
        <v>0</v>
      </c>
      <c r="I160" s="63">
        <f>0</f>
        <v>0</v>
      </c>
      <c r="J160" s="63">
        <f>0</f>
        <v>0</v>
      </c>
      <c r="K160" s="63">
        <f>0</f>
        <v>0</v>
      </c>
      <c r="L160" s="13">
        <f>'Acquisition Schedule'!M$20*(1-INDEX(Assumptions!$D$56:$F$56,1,3))*($D$139^0-$D$134^0)</f>
        <v>0</v>
      </c>
      <c r="M160" s="13">
        <f>'Acquisition Schedule'!M$20*(1-INDEX(Assumptions!$D$56:$F$56,1,3))*($D$139^1-$D$134^1)</f>
        <v>121111.20000000006</v>
      </c>
      <c r="N160" s="13">
        <f>'Acquisition Schedule'!M$20*(1-INDEX(Assumptions!$D$56:$F$56,1,3))*($D$139^2-$D$134^2)</f>
        <v>246728.94775200007</v>
      </c>
    </row>
    <row r="161" spans="1:14" ht="15" customHeight="1" x14ac:dyDescent="0.3">
      <c r="A161" s="6" t="s">
        <v>840</v>
      </c>
      <c r="B161" s="2"/>
      <c r="C161" s="2"/>
      <c r="D161" s="2"/>
      <c r="E161" s="2"/>
      <c r="F161" s="2"/>
      <c r="G161" s="2"/>
      <c r="H161" s="2"/>
      <c r="I161" s="2"/>
      <c r="J161" s="2"/>
      <c r="K161" s="2"/>
      <c r="L161" s="2"/>
      <c r="M161" s="2"/>
      <c r="N161" s="2"/>
    </row>
    <row r="162" spans="1:14" ht="15" customHeight="1" x14ac:dyDescent="0.3">
      <c r="A162" s="1" t="s">
        <v>841</v>
      </c>
      <c r="B162" s="6" t="s">
        <v>218</v>
      </c>
      <c r="C162" s="6" t="s">
        <v>211</v>
      </c>
      <c r="D162" s="61">
        <f t="shared" ref="D162:N162" si="32">SUM(D144:D151)</f>
        <v>960000</v>
      </c>
      <c r="E162" s="61">
        <f t="shared" si="32"/>
        <v>1320000</v>
      </c>
      <c r="F162" s="61">
        <f t="shared" si="32"/>
        <v>1977120</v>
      </c>
      <c r="G162" s="61">
        <f t="shared" si="32"/>
        <v>3191198.64</v>
      </c>
      <c r="H162" s="61">
        <f t="shared" si="32"/>
        <v>4365055.1290799994</v>
      </c>
      <c r="I162" s="61">
        <f t="shared" si="32"/>
        <v>4822724.0181252602</v>
      </c>
      <c r="J162" s="61">
        <f t="shared" si="32"/>
        <v>5250415.5949380556</v>
      </c>
      <c r="K162" s="61">
        <f t="shared" si="32"/>
        <v>5650093.3734696135</v>
      </c>
      <c r="L162" s="61">
        <f t="shared" si="32"/>
        <v>5663592.257507354</v>
      </c>
      <c r="M162" s="61">
        <f t="shared" si="32"/>
        <v>5292626.964640622</v>
      </c>
      <c r="N162" s="61">
        <f t="shared" si="32"/>
        <v>4945959.898456661</v>
      </c>
    </row>
    <row r="163" spans="1:14" ht="15" customHeight="1" x14ac:dyDescent="0.3">
      <c r="A163" s="6" t="s">
        <v>842</v>
      </c>
      <c r="B163" s="6" t="s">
        <v>210</v>
      </c>
      <c r="C163" s="6" t="s">
        <v>211</v>
      </c>
      <c r="D163" s="13">
        <f>D162/INDEX(Assumptions!$D$32:$F$32,1,3)</f>
        <v>7500</v>
      </c>
      <c r="E163" s="13">
        <f>E162/INDEX(Assumptions!$D$32:$F$32,1,3)</f>
        <v>10312.5</v>
      </c>
      <c r="F163" s="13">
        <f>F162/INDEX(Assumptions!$D$32:$F$32,1,3)</f>
        <v>15446.25</v>
      </c>
      <c r="G163" s="13">
        <f>G162/INDEX(Assumptions!$D$32:$F$32,1,3)</f>
        <v>24931.239375000001</v>
      </c>
      <c r="H163" s="13">
        <f>H162/INDEX(Assumptions!$D$32:$F$32,1,3)</f>
        <v>34101.993195937495</v>
      </c>
      <c r="I163" s="13">
        <f>I162/INDEX(Assumptions!$D$32:$F$32,1,3)</f>
        <v>37677.531391603596</v>
      </c>
      <c r="J163" s="13">
        <f>J162/INDEX(Assumptions!$D$32:$F$32,1,3)</f>
        <v>41018.871835453559</v>
      </c>
      <c r="K163" s="13">
        <f>K162/INDEX(Assumptions!$D$32:$F$32,1,3)</f>
        <v>44141.354480231355</v>
      </c>
      <c r="L163" s="13">
        <f>L162/INDEX(Assumptions!$D$32:$F$32,1,3)</f>
        <v>44246.814511776203</v>
      </c>
      <c r="M163" s="13">
        <f>M162/INDEX(Assumptions!$D$32:$F$32,1,3)</f>
        <v>41348.64816125486</v>
      </c>
      <c r="N163" s="13">
        <f>N162/INDEX(Assumptions!$D$32:$F$32,1,3)</f>
        <v>38640.311706692664</v>
      </c>
    </row>
    <row r="164" spans="1:14" ht="15" customHeight="1" x14ac:dyDescent="0.3">
      <c r="A164" s="6" t="s">
        <v>843</v>
      </c>
      <c r="B164" s="6" t="s">
        <v>218</v>
      </c>
      <c r="C164" s="6" t="s">
        <v>222</v>
      </c>
      <c r="D164" s="63">
        <f t="shared" ref="D164:N164" si="33">SUM(D153:D160)</f>
        <v>0</v>
      </c>
      <c r="E164" s="63">
        <f t="shared" si="33"/>
        <v>0</v>
      </c>
      <c r="F164" s="63">
        <f t="shared" si="33"/>
        <v>161481.60000000006</v>
      </c>
      <c r="G164" s="63">
        <f t="shared" si="33"/>
        <v>450083.13033600018</v>
      </c>
      <c r="H164" s="63">
        <f t="shared" si="33"/>
        <v>871621.09188721085</v>
      </c>
      <c r="I164" s="63">
        <f t="shared" si="33"/>
        <v>1634835.6174974933</v>
      </c>
      <c r="J164" s="63">
        <f t="shared" si="33"/>
        <v>2553424.3908595112</v>
      </c>
      <c r="K164" s="63">
        <f t="shared" si="33"/>
        <v>3638303.4172692224</v>
      </c>
      <c r="L164" s="63">
        <f t="shared" si="33"/>
        <v>4901840.1676082667</v>
      </c>
      <c r="M164" s="63">
        <f t="shared" si="33"/>
        <v>6357981.0248586247</v>
      </c>
      <c r="N164" s="63">
        <f t="shared" si="33"/>
        <v>7901282.0376440538</v>
      </c>
    </row>
    <row r="165" spans="1:14" ht="15" customHeight="1" x14ac:dyDescent="0.3">
      <c r="A165" s="6" t="s">
        <v>844</v>
      </c>
      <c r="B165" s="6" t="s">
        <v>210</v>
      </c>
      <c r="C165" s="6" t="s">
        <v>222</v>
      </c>
      <c r="D165" s="13">
        <f>D164/INDEX(Assumptions!$D$32:$F$32,1,3)</f>
        <v>0</v>
      </c>
      <c r="E165" s="13">
        <f>E164/INDEX(Assumptions!$D$32:$F$32,1,3)</f>
        <v>0</v>
      </c>
      <c r="F165" s="13">
        <f>F164/INDEX(Assumptions!$D$32:$F$32,1,3)</f>
        <v>1261.5750000000005</v>
      </c>
      <c r="G165" s="13">
        <f>G164/INDEX(Assumptions!$D$32:$F$32,1,3)</f>
        <v>3516.2744557500014</v>
      </c>
      <c r="H165" s="13">
        <f>H164/INDEX(Assumptions!$D$32:$F$32,1,3)</f>
        <v>6809.5397803688347</v>
      </c>
      <c r="I165" s="13">
        <f>I164/INDEX(Assumptions!$D$32:$F$32,1,3)</f>
        <v>12772.153261699166</v>
      </c>
      <c r="J165" s="13">
        <f>J164/INDEX(Assumptions!$D$32:$F$32,1,3)</f>
        <v>19948.628053589931</v>
      </c>
      <c r="K165" s="13">
        <f>K164/INDEX(Assumptions!$D$32:$F$32,1,3)</f>
        <v>28424.2454474158</v>
      </c>
      <c r="L165" s="13">
        <f>L164/INDEX(Assumptions!$D$32:$F$32,1,3)</f>
        <v>38295.626309439584</v>
      </c>
      <c r="M165" s="13">
        <f>M164/INDEX(Assumptions!$D$32:$F$32,1,3)</f>
        <v>49671.726756708005</v>
      </c>
      <c r="N165" s="13">
        <f>N164/INDEX(Assumptions!$D$32:$F$32,1,3)</f>
        <v>61728.76591909417</v>
      </c>
    </row>
    <row r="166" spans="1:14" ht="15" customHeight="1" x14ac:dyDescent="0.3">
      <c r="A166" s="6" t="s">
        <v>845</v>
      </c>
      <c r="B166" s="6" t="s">
        <v>210</v>
      </c>
      <c r="C166" s="6" t="s">
        <v>211</v>
      </c>
      <c r="D166" s="63">
        <f t="shared" ref="D166:N166" si="34">D163+D165</f>
        <v>7500</v>
      </c>
      <c r="E166" s="63">
        <f t="shared" si="34"/>
        <v>10312.5</v>
      </c>
      <c r="F166" s="63">
        <f t="shared" si="34"/>
        <v>16707.825000000001</v>
      </c>
      <c r="G166" s="63">
        <f t="shared" si="34"/>
        <v>28447.513830750002</v>
      </c>
      <c r="H166" s="63">
        <f t="shared" si="34"/>
        <v>40911.532976306327</v>
      </c>
      <c r="I166" s="63">
        <f t="shared" si="34"/>
        <v>50449.684653302764</v>
      </c>
      <c r="J166" s="63">
        <f t="shared" si="34"/>
        <v>60967.499889043494</v>
      </c>
      <c r="K166" s="63">
        <f t="shared" si="34"/>
        <v>72565.599927647156</v>
      </c>
      <c r="L166" s="63">
        <f t="shared" si="34"/>
        <v>82542.440821215787</v>
      </c>
      <c r="M166" s="63">
        <f t="shared" si="34"/>
        <v>91020.374917962865</v>
      </c>
      <c r="N166" s="63">
        <f t="shared" si="34"/>
        <v>100369.07762578683</v>
      </c>
    </row>
    <row r="167" spans="1:14" ht="15" customHeight="1" x14ac:dyDescent="0.3">
      <c r="A167" s="6" t="s">
        <v>846</v>
      </c>
      <c r="B167" s="6" t="s">
        <v>210</v>
      </c>
      <c r="C167" s="6" t="s">
        <v>245</v>
      </c>
      <c r="D167" s="13">
        <f>MAX(0,INDEX(Assumptions!$D$16:$F$16,1,3)-D163)</f>
        <v>42500</v>
      </c>
      <c r="E167" s="13">
        <f>MAX(0,INDEX(Assumptions!$D$16:$F$16,1,3)-E163)</f>
        <v>39687.5</v>
      </c>
      <c r="F167" s="13">
        <f>MAX(0,INDEX(Assumptions!$D$16:$F$16,1,3)-F163)</f>
        <v>34553.75</v>
      </c>
      <c r="G167" s="13">
        <f>MAX(0,INDEX(Assumptions!$D$16:$F$16,1,3)-G163)</f>
        <v>25068.760624999999</v>
      </c>
      <c r="H167" s="13">
        <f>MAX(0,INDEX(Assumptions!$D$16:$F$16,1,3)-H163)</f>
        <v>15898.006804062505</v>
      </c>
      <c r="I167" s="13">
        <f>MAX(0,INDEX(Assumptions!$D$16:$F$16,1,3)-I163)</f>
        <v>12322.468608396404</v>
      </c>
      <c r="J167" s="13">
        <f>MAX(0,INDEX(Assumptions!$D$16:$F$16,1,3)-J163)</f>
        <v>8981.1281645464405</v>
      </c>
      <c r="K167" s="13">
        <f>MAX(0,INDEX(Assumptions!$D$16:$F$16,1,3)-K163)</f>
        <v>5858.6455197686446</v>
      </c>
      <c r="L167" s="13">
        <f>MAX(0,INDEX(Assumptions!$D$16:$F$16,1,3)-L163)</f>
        <v>5753.1854882237967</v>
      </c>
      <c r="M167" s="13">
        <f>MAX(0,INDEX(Assumptions!$D$16:$F$16,1,3)-M163)</f>
        <v>8651.3518387451404</v>
      </c>
      <c r="N167" s="13">
        <f>MAX(0,INDEX(Assumptions!$D$16:$F$16,1,3)-N163)</f>
        <v>11359.688293307336</v>
      </c>
    </row>
    <row r="168" spans="1:14" ht="15" customHeight="1" x14ac:dyDescent="0.3">
      <c r="A168" s="6" t="s">
        <v>847</v>
      </c>
      <c r="B168" s="2"/>
      <c r="C168" s="2"/>
      <c r="D168" s="2"/>
      <c r="E168" s="2"/>
      <c r="F168" s="2"/>
      <c r="G168" s="2"/>
      <c r="H168" s="2"/>
      <c r="I168" s="2"/>
      <c r="J168" s="2"/>
      <c r="K168" s="2"/>
      <c r="L168" s="2"/>
      <c r="M168" s="2"/>
      <c r="N168" s="2"/>
    </row>
    <row r="169" spans="1:14" ht="15" customHeight="1" x14ac:dyDescent="0.3">
      <c r="A169" s="6" t="s">
        <v>848</v>
      </c>
      <c r="B169" s="6" t="s">
        <v>210</v>
      </c>
      <c r="C169" s="6" t="s">
        <v>222</v>
      </c>
      <c r="D169" s="63">
        <f t="shared" ref="D169:N169" si="35">MIN(D165,D167)</f>
        <v>0</v>
      </c>
      <c r="E169" s="63">
        <f t="shared" si="35"/>
        <v>0</v>
      </c>
      <c r="F169" s="63">
        <f t="shared" si="35"/>
        <v>1261.5750000000005</v>
      </c>
      <c r="G169" s="63">
        <f t="shared" si="35"/>
        <v>3516.2744557500014</v>
      </c>
      <c r="H169" s="63">
        <f t="shared" si="35"/>
        <v>6809.5397803688347</v>
      </c>
      <c r="I169" s="63">
        <f t="shared" si="35"/>
        <v>12322.468608396404</v>
      </c>
      <c r="J169" s="63">
        <f t="shared" si="35"/>
        <v>8981.1281645464405</v>
      </c>
      <c r="K169" s="63">
        <f t="shared" si="35"/>
        <v>5858.6455197686446</v>
      </c>
      <c r="L169" s="63">
        <f t="shared" si="35"/>
        <v>5753.1854882237967</v>
      </c>
      <c r="M169" s="63">
        <f t="shared" si="35"/>
        <v>8651.3518387451404</v>
      </c>
      <c r="N169" s="63">
        <f t="shared" si="35"/>
        <v>11359.688293307336</v>
      </c>
    </row>
    <row r="170" spans="1:14" ht="15" customHeight="1" x14ac:dyDescent="0.3">
      <c r="A170" s="1" t="s">
        <v>849</v>
      </c>
      <c r="B170" s="6" t="s">
        <v>210</v>
      </c>
      <c r="C170" s="6" t="s">
        <v>245</v>
      </c>
      <c r="D170" s="66">
        <f t="shared" ref="D170:N170" si="36">D165-D169</f>
        <v>0</v>
      </c>
      <c r="E170" s="66">
        <f t="shared" si="36"/>
        <v>0</v>
      </c>
      <c r="F170" s="66">
        <f t="shared" si="36"/>
        <v>0</v>
      </c>
      <c r="G170" s="66">
        <f t="shared" si="36"/>
        <v>0</v>
      </c>
      <c r="H170" s="66">
        <f t="shared" si="36"/>
        <v>0</v>
      </c>
      <c r="I170" s="66">
        <f t="shared" si="36"/>
        <v>449.68465330276194</v>
      </c>
      <c r="J170" s="66">
        <f t="shared" si="36"/>
        <v>10967.499889043491</v>
      </c>
      <c r="K170" s="66">
        <f t="shared" si="36"/>
        <v>22565.599927647156</v>
      </c>
      <c r="L170" s="66">
        <f t="shared" si="36"/>
        <v>32542.440821215787</v>
      </c>
      <c r="M170" s="66">
        <f t="shared" si="36"/>
        <v>41020.374917962865</v>
      </c>
      <c r="N170" s="66">
        <f t="shared" si="36"/>
        <v>50369.077625786835</v>
      </c>
    </row>
    <row r="171" spans="1:14" ht="15" customHeight="1" x14ac:dyDescent="0.3">
      <c r="A171" s="6" t="s">
        <v>850</v>
      </c>
      <c r="B171" s="6" t="s">
        <v>265</v>
      </c>
      <c r="C171" s="6" t="s">
        <v>245</v>
      </c>
      <c r="D171" s="65">
        <f t="shared" ref="D171:N171" si="37">IF(D165&lt;=0,1,D169/D165)</f>
        <v>1</v>
      </c>
      <c r="E171" s="65">
        <f t="shared" si="37"/>
        <v>1</v>
      </c>
      <c r="F171" s="65">
        <f t="shared" si="37"/>
        <v>1</v>
      </c>
      <c r="G171" s="65">
        <f t="shared" si="37"/>
        <v>1</v>
      </c>
      <c r="H171" s="65">
        <f t="shared" si="37"/>
        <v>1</v>
      </c>
      <c r="I171" s="65">
        <f t="shared" si="37"/>
        <v>0.96479179006947358</v>
      </c>
      <c r="J171" s="65">
        <f t="shared" si="37"/>
        <v>0.45021282367988247</v>
      </c>
      <c r="K171" s="65">
        <f t="shared" si="37"/>
        <v>0.20611437269661226</v>
      </c>
      <c r="L171" s="65">
        <f t="shared" si="37"/>
        <v>0.15023087602057783</v>
      </c>
      <c r="M171" s="65">
        <f t="shared" si="37"/>
        <v>0.17417054738441931</v>
      </c>
      <c r="N171" s="65">
        <f t="shared" si="37"/>
        <v>0.18402584474467057</v>
      </c>
    </row>
    <row r="172" spans="1:14" ht="15" customHeight="1" x14ac:dyDescent="0.3">
      <c r="A172" s="1" t="s">
        <v>851</v>
      </c>
      <c r="B172" s="6" t="s">
        <v>218</v>
      </c>
      <c r="C172" s="6" t="s">
        <v>222</v>
      </c>
      <c r="D172" s="26">
        <f>D169*INDEX(Assumptions!$D$32:$F$32,1,3)</f>
        <v>0</v>
      </c>
      <c r="E172" s="26">
        <f>E169*INDEX(Assumptions!$D$32:$F$32,1,3)</f>
        <v>0</v>
      </c>
      <c r="F172" s="26">
        <f>F169*INDEX(Assumptions!$D$32:$F$32,1,3)</f>
        <v>161481.60000000006</v>
      </c>
      <c r="G172" s="26">
        <f>G169*INDEX(Assumptions!$D$32:$F$32,1,3)</f>
        <v>450083.13033600018</v>
      </c>
      <c r="H172" s="26">
        <f>H169*INDEX(Assumptions!$D$32:$F$32,1,3)</f>
        <v>871621.09188721085</v>
      </c>
      <c r="I172" s="26">
        <f>I169*INDEX(Assumptions!$D$32:$F$32,1,3)</f>
        <v>1577275.9818747398</v>
      </c>
      <c r="J172" s="26">
        <f>J169*INDEX(Assumptions!$D$32:$F$32,1,3)</f>
        <v>1149584.4050619444</v>
      </c>
      <c r="K172" s="26">
        <f>K169*INDEX(Assumptions!$D$32:$F$32,1,3)</f>
        <v>749906.62653038651</v>
      </c>
      <c r="L172" s="26">
        <f>L169*INDEX(Assumptions!$D$32:$F$32,1,3)</f>
        <v>736407.74249264598</v>
      </c>
      <c r="M172" s="26">
        <f>M169*INDEX(Assumptions!$D$32:$F$32,1,3)</f>
        <v>1107373.035359378</v>
      </c>
      <c r="N172" s="26">
        <f>N169*INDEX(Assumptions!$D$32:$F$32,1,3)</f>
        <v>1454040.101543339</v>
      </c>
    </row>
    <row r="173" spans="1:14" ht="15" customHeight="1" x14ac:dyDescent="0.3">
      <c r="A173" s="6" t="s">
        <v>852</v>
      </c>
      <c r="B173" s="6" t="s">
        <v>218</v>
      </c>
      <c r="C173" s="6" t="s">
        <v>211</v>
      </c>
      <c r="D173" s="63">
        <f t="shared" ref="D173:N173" si="38">D162+D172</f>
        <v>960000</v>
      </c>
      <c r="E173" s="63">
        <f t="shared" si="38"/>
        <v>1320000</v>
      </c>
      <c r="F173" s="63">
        <f t="shared" si="38"/>
        <v>2138601.6</v>
      </c>
      <c r="G173" s="63">
        <f t="shared" si="38"/>
        <v>3641281.7703360002</v>
      </c>
      <c r="H173" s="63">
        <f t="shared" si="38"/>
        <v>5236676.2209672099</v>
      </c>
      <c r="I173" s="63">
        <f t="shared" si="38"/>
        <v>6400000</v>
      </c>
      <c r="J173" s="63">
        <f t="shared" si="38"/>
        <v>6400000</v>
      </c>
      <c r="K173" s="63">
        <f t="shared" si="38"/>
        <v>6400000</v>
      </c>
      <c r="L173" s="63">
        <f t="shared" si="38"/>
        <v>6400000</v>
      </c>
      <c r="M173" s="63">
        <f t="shared" si="38"/>
        <v>6400000</v>
      </c>
      <c r="N173" s="63">
        <f t="shared" si="38"/>
        <v>6400000</v>
      </c>
    </row>
    <row r="174" spans="1:14" ht="15" customHeight="1" x14ac:dyDescent="0.3">
      <c r="A174" s="6" t="s">
        <v>853</v>
      </c>
      <c r="B174" s="6" t="s">
        <v>267</v>
      </c>
      <c r="C174" s="6" t="s">
        <v>211</v>
      </c>
      <c r="D174" s="19">
        <f>IF(('Acquisition Schedule'!F$20)=0,0,D162/('Acquisition Schedule'!F$20))</f>
        <v>0.96</v>
      </c>
      <c r="E174" s="19">
        <f>IF(('Acquisition Schedule'!F$20+'Acquisition Schedule'!G$20)=0,0,E162/('Acquisition Schedule'!F$20+'Acquisition Schedule'!G$20))</f>
        <v>0.75428571428571434</v>
      </c>
      <c r="F174" s="19">
        <f>IF(('Acquisition Schedule'!F$20+'Acquisition Schedule'!G$20+'Acquisition Schedule'!H$20)=0,0,F162/('Acquisition Schedule'!F$20+'Acquisition Schedule'!G$20+'Acquisition Schedule'!H$20))</f>
        <v>0.790848</v>
      </c>
      <c r="G174" s="19">
        <f>IF(('Acquisition Schedule'!F$20+'Acquisition Schedule'!G$20+'Acquisition Schedule'!H$20+'Acquisition Schedule'!I$20)=0,0,G162/('Acquisition Schedule'!F$20+'Acquisition Schedule'!G$20+'Acquisition Schedule'!H$20+'Acquisition Schedule'!I$20))</f>
        <v>0.7091552533333334</v>
      </c>
      <c r="H174" s="19">
        <f>IF(('Acquisition Schedule'!F$20+'Acquisition Schedule'!G$20+'Acquisition Schedule'!H$20+'Acquisition Schedule'!I$20+'Acquisition Schedule'!J$20)=0,0,H162/('Acquisition Schedule'!F$20+'Acquisition Schedule'!G$20+'Acquisition Schedule'!H$20+'Acquisition Schedule'!I$20+'Acquisition Schedule'!J$20))</f>
        <v>0.83143907220571422</v>
      </c>
      <c r="I174" s="19">
        <f>IF(('Acquisition Schedule'!F$20+'Acquisition Schedule'!G$20+'Acquisition Schedule'!H$20+'Acquisition Schedule'!I$20+'Acquisition Schedule'!J$20+'Acquisition Schedule'!K$20)=0,0,I162/('Acquisition Schedule'!F$20+'Acquisition Schedule'!G$20+'Acquisition Schedule'!H$20+'Acquisition Schedule'!I$20+'Acquisition Schedule'!J$20+'Acquisition Schedule'!K$20))</f>
        <v>0.80378733635421007</v>
      </c>
      <c r="J174" s="19">
        <f>IF(('Acquisition Schedule'!F$20+'Acquisition Schedule'!G$20+'Acquisition Schedule'!H$20+'Acquisition Schedule'!I$20+'Acquisition Schedule'!J$20+'Acquisition Schedule'!K$20+'Acquisition Schedule'!L$20)=0,0,J162/('Acquisition Schedule'!F$20+'Acquisition Schedule'!G$20+'Acquisition Schedule'!H$20+'Acquisition Schedule'!I$20+'Acquisition Schedule'!J$20+'Acquisition Schedule'!K$20+'Acquisition Schedule'!L$20))</f>
        <v>0.77783934739823046</v>
      </c>
      <c r="K174" s="19">
        <f>IF(('Acquisition Schedule'!F$20+'Acquisition Schedule'!G$20+'Acquisition Schedule'!H$20+'Acquisition Schedule'!I$20+'Acquisition Schedule'!J$20+'Acquisition Schedule'!K$20+'Acquisition Schedule'!L$20+'Acquisition Schedule'!M$20)=0,0,K162/('Acquisition Schedule'!F$20+'Acquisition Schedule'!G$20+'Acquisition Schedule'!H$20+'Acquisition Schedule'!I$20+'Acquisition Schedule'!J$20+'Acquisition Schedule'!K$20+'Acquisition Schedule'!L$20+'Acquisition Schedule'!M$20))</f>
        <v>0.7533457831292818</v>
      </c>
      <c r="L174" s="19">
        <f>IF(('Acquisition Schedule'!F$20+'Acquisition Schedule'!G$20+'Acquisition Schedule'!H$20+'Acquisition Schedule'!I$20+'Acquisition Schedule'!J$20+'Acquisition Schedule'!K$20+'Acquisition Schedule'!L$20+'Acquisition Schedule'!M$20+'Acquisition Schedule'!N$20)=0,0,L162/('Acquisition Schedule'!F$20+'Acquisition Schedule'!G$20+'Acquisition Schedule'!H$20+'Acquisition Schedule'!I$20+'Acquisition Schedule'!J$20+'Acquisition Schedule'!K$20+'Acquisition Schedule'!L$20+'Acquisition Schedule'!M$20+'Acquisition Schedule'!N$20))</f>
        <v>0.75514563433431392</v>
      </c>
      <c r="M174" s="19">
        <f>IF(('Acquisition Schedule'!F$20+'Acquisition Schedule'!G$20+'Acquisition Schedule'!H$20+'Acquisition Schedule'!I$20+'Acquisition Schedule'!J$20+'Acquisition Schedule'!K$20+'Acquisition Schedule'!L$20+'Acquisition Schedule'!M$20+'Acquisition Schedule'!N$20+'Acquisition Schedule'!O$20)=0,0,M162/('Acquisition Schedule'!F$20+'Acquisition Schedule'!G$20+'Acquisition Schedule'!H$20+'Acquisition Schedule'!I$20+'Acquisition Schedule'!J$20+'Acquisition Schedule'!K$20+'Acquisition Schedule'!L$20+'Acquisition Schedule'!M$20+'Acquisition Schedule'!N$20+'Acquisition Schedule'!O$20))</f>
        <v>0.70568359528541624</v>
      </c>
      <c r="N174" s="19">
        <f>IF(('Acquisition Schedule'!F$20+'Acquisition Schedule'!G$20+'Acquisition Schedule'!H$20+'Acquisition Schedule'!I$20+'Acquisition Schedule'!J$20+'Acquisition Schedule'!K$20+'Acquisition Schedule'!L$20+'Acquisition Schedule'!M$20+'Acquisition Schedule'!N$20+'Acquisition Schedule'!O$20+'Acquisition Schedule'!P$20)=0,0,N162/('Acquisition Schedule'!F$20+'Acquisition Schedule'!G$20+'Acquisition Schedule'!H$20+'Acquisition Schedule'!I$20+'Acquisition Schedule'!J$20+'Acquisition Schedule'!K$20+'Acquisition Schedule'!L$20+'Acquisition Schedule'!M$20+'Acquisition Schedule'!N$20+'Acquisition Schedule'!O$20+'Acquisition Schedule'!P$20))</f>
        <v>0.65946131979422151</v>
      </c>
    </row>
    <row r="175" spans="1:14" ht="15" customHeight="1" x14ac:dyDescent="0.3">
      <c r="A175" s="1" t="s">
        <v>854</v>
      </c>
      <c r="B175" s="6" t="s">
        <v>210</v>
      </c>
      <c r="C175" s="6" t="s">
        <v>211</v>
      </c>
      <c r="D175" s="61">
        <f t="shared" ref="D175:N175" si="39">D163+D169</f>
        <v>7500</v>
      </c>
      <c r="E175" s="61">
        <f t="shared" si="39"/>
        <v>10312.5</v>
      </c>
      <c r="F175" s="61">
        <f t="shared" si="39"/>
        <v>16707.825000000001</v>
      </c>
      <c r="G175" s="61">
        <f t="shared" si="39"/>
        <v>28447.513830750002</v>
      </c>
      <c r="H175" s="61">
        <f t="shared" si="39"/>
        <v>40911.532976306327</v>
      </c>
      <c r="I175" s="61">
        <f t="shared" si="39"/>
        <v>50000</v>
      </c>
      <c r="J175" s="61">
        <f t="shared" si="39"/>
        <v>50000</v>
      </c>
      <c r="K175" s="61">
        <f t="shared" si="39"/>
        <v>50000</v>
      </c>
      <c r="L175" s="61">
        <f t="shared" si="39"/>
        <v>50000</v>
      </c>
      <c r="M175" s="61">
        <f t="shared" si="39"/>
        <v>50000</v>
      </c>
      <c r="N175" s="61">
        <f t="shared" si="39"/>
        <v>50000</v>
      </c>
    </row>
    <row r="176" spans="1:14" ht="15" customHeight="1" x14ac:dyDescent="0.3">
      <c r="A176" s="6" t="s">
        <v>855</v>
      </c>
      <c r="B176" s="6" t="s">
        <v>210</v>
      </c>
      <c r="C176" s="6" t="s">
        <v>211</v>
      </c>
      <c r="D176" s="63">
        <f>0</f>
        <v>0</v>
      </c>
      <c r="E176" s="63">
        <f t="shared" ref="E176:N176" si="40">D175</f>
        <v>7500</v>
      </c>
      <c r="F176" s="63">
        <f t="shared" si="40"/>
        <v>10312.5</v>
      </c>
      <c r="G176" s="63">
        <f t="shared" si="40"/>
        <v>16707.825000000001</v>
      </c>
      <c r="H176" s="63">
        <f t="shared" si="40"/>
        <v>28447.513830750002</v>
      </c>
      <c r="I176" s="63">
        <f t="shared" si="40"/>
        <v>40911.532976306327</v>
      </c>
      <c r="J176" s="63">
        <f t="shared" si="40"/>
        <v>50000</v>
      </c>
      <c r="K176" s="63">
        <f t="shared" si="40"/>
        <v>50000</v>
      </c>
      <c r="L176" s="63">
        <f t="shared" si="40"/>
        <v>50000</v>
      </c>
      <c r="M176" s="63">
        <f t="shared" si="40"/>
        <v>50000</v>
      </c>
      <c r="N176" s="63">
        <f t="shared" si="40"/>
        <v>50000</v>
      </c>
    </row>
    <row r="177" spans="1:14" ht="15" customHeight="1" x14ac:dyDescent="0.3">
      <c r="A177" s="6" t="s">
        <v>856</v>
      </c>
      <c r="B177" s="6" t="s">
        <v>210</v>
      </c>
      <c r="C177" s="6" t="s">
        <v>211</v>
      </c>
      <c r="D177" s="13">
        <f>'Acquisition Schedule'!F$22*(1-INDEX(Assumptions!$D$56:$F$56,1,3))</f>
        <v>7500</v>
      </c>
      <c r="E177" s="13">
        <f>'Acquisition Schedule'!G$22*(1-INDEX(Assumptions!$D$56:$F$56,1,3))*INDEX(Assumptions!$D$20:$F$20,1,3)</f>
        <v>2812.5</v>
      </c>
      <c r="F177" s="13">
        <f>'Acquisition Schedule'!H$22*(1-INDEX(Assumptions!$D$56:$F$56,1,3))*INDEX(Assumptions!$D$20:$F$20,1,3)</f>
        <v>2812.5</v>
      </c>
      <c r="G177" s="13">
        <f>'Acquisition Schedule'!I$22*(1-INDEX(Assumptions!$D$56:$F$56,1,3))*INDEX(Assumptions!$D$20:$F$20,1,3)</f>
        <v>7500</v>
      </c>
      <c r="H177" s="13">
        <f>'Acquisition Schedule'!J$22*(1-INDEX(Assumptions!$D$56:$F$56,1,3))*INDEX(Assumptions!$D$20:$F$20,1,3)</f>
        <v>2812.5</v>
      </c>
      <c r="I177" s="13">
        <f>'Acquisition Schedule'!K$22*(1-INDEX(Assumptions!$D$56:$F$56,1,3))*INDEX(Assumptions!$D$20:$F$20,1,3)</f>
        <v>2812.5</v>
      </c>
      <c r="J177" s="13">
        <f>'Acquisition Schedule'!L$22*(1-INDEX(Assumptions!$D$56:$F$56,1,3))*INDEX(Assumptions!$D$20:$F$20,1,3)</f>
        <v>2812.5</v>
      </c>
      <c r="K177" s="13">
        <f>'Acquisition Schedule'!M$22*(1-INDEX(Assumptions!$D$56:$F$56,1,3))*INDEX(Assumptions!$D$20:$F$20,1,3)</f>
        <v>2812.5</v>
      </c>
      <c r="L177" s="13">
        <f>'Acquisition Schedule'!N$22*(1-INDEX(Assumptions!$D$56:$F$56,1,3))*INDEX(Assumptions!$D$20:$F$20,1,3)</f>
        <v>0</v>
      </c>
      <c r="M177" s="13">
        <f>'Acquisition Schedule'!O$22*(1-INDEX(Assumptions!$D$56:$F$56,1,3))*INDEX(Assumptions!$D$20:$F$20,1,3)</f>
        <v>0</v>
      </c>
      <c r="N177" s="13">
        <f>'Acquisition Schedule'!P$22*(1-INDEX(Assumptions!$D$56:$F$56,1,3))*INDEX(Assumptions!$D$20:$F$20,1,3)</f>
        <v>0</v>
      </c>
    </row>
    <row r="178" spans="1:14" ht="15" customHeight="1" x14ac:dyDescent="0.3">
      <c r="A178" s="6" t="s">
        <v>857</v>
      </c>
      <c r="B178" s="6" t="s">
        <v>210</v>
      </c>
      <c r="C178" s="6" t="s">
        <v>211</v>
      </c>
      <c r="D178" s="63">
        <f t="shared" ref="D178:N178" si="41">-D176*$D$135</f>
        <v>0</v>
      </c>
      <c r="E178" s="63">
        <f t="shared" si="41"/>
        <v>-491.25</v>
      </c>
      <c r="F178" s="63">
        <f t="shared" si="41"/>
        <v>-675.46875</v>
      </c>
      <c r="G178" s="63">
        <f t="shared" si="41"/>
        <v>-1094.3625375000001</v>
      </c>
      <c r="H178" s="63">
        <f t="shared" si="41"/>
        <v>-1863.3121559141252</v>
      </c>
      <c r="I178" s="63">
        <f t="shared" si="41"/>
        <v>-2679.7054099480647</v>
      </c>
      <c r="J178" s="63">
        <f t="shared" si="41"/>
        <v>-3275</v>
      </c>
      <c r="K178" s="63">
        <f t="shared" si="41"/>
        <v>-3275</v>
      </c>
      <c r="L178" s="63">
        <f t="shared" si="41"/>
        <v>-3275</v>
      </c>
      <c r="M178" s="63">
        <f t="shared" si="41"/>
        <v>-3275</v>
      </c>
      <c r="N178" s="63">
        <f t="shared" si="41"/>
        <v>-3275</v>
      </c>
    </row>
    <row r="179" spans="1:14" ht="15" customHeight="1" x14ac:dyDescent="0.3">
      <c r="A179" s="6" t="s">
        <v>858</v>
      </c>
      <c r="B179" s="6" t="s">
        <v>210</v>
      </c>
      <c r="C179" s="6" t="s">
        <v>211</v>
      </c>
      <c r="D179" s="63">
        <f t="shared" ref="D179:N179" si="42">D176*$D$134*$D$136</f>
        <v>0</v>
      </c>
      <c r="E179" s="63">
        <f t="shared" si="42"/>
        <v>841.05</v>
      </c>
      <c r="F179" s="63">
        <f t="shared" si="42"/>
        <v>1156.4437499999999</v>
      </c>
      <c r="G179" s="63">
        <f t="shared" si="42"/>
        <v>1873.6154955000002</v>
      </c>
      <c r="H179" s="63">
        <f t="shared" si="42"/>
        <v>3190.104200980305</v>
      </c>
      <c r="I179" s="63">
        <f t="shared" si="42"/>
        <v>4587.8193079629909</v>
      </c>
      <c r="J179" s="63">
        <f t="shared" si="42"/>
        <v>5607</v>
      </c>
      <c r="K179" s="63">
        <f t="shared" si="42"/>
        <v>5607</v>
      </c>
      <c r="L179" s="63">
        <f t="shared" si="42"/>
        <v>5607</v>
      </c>
      <c r="M179" s="63">
        <f t="shared" si="42"/>
        <v>5607</v>
      </c>
      <c r="N179" s="63">
        <f t="shared" si="42"/>
        <v>5607</v>
      </c>
    </row>
    <row r="180" spans="1:14" ht="15" customHeight="1" x14ac:dyDescent="0.3">
      <c r="A180" s="6" t="s">
        <v>859</v>
      </c>
      <c r="B180" s="6" t="s">
        <v>210</v>
      </c>
      <c r="C180" s="6" t="s">
        <v>222</v>
      </c>
      <c r="D180" s="63">
        <f t="shared" ref="D180:N180" si="43">D176*$D$134*$D$137</f>
        <v>0</v>
      </c>
      <c r="E180" s="63">
        <f t="shared" si="43"/>
        <v>420.52499999999998</v>
      </c>
      <c r="F180" s="63">
        <f t="shared" si="43"/>
        <v>578.22187499999995</v>
      </c>
      <c r="G180" s="63">
        <f t="shared" si="43"/>
        <v>936.80774775000009</v>
      </c>
      <c r="H180" s="63">
        <f t="shared" si="43"/>
        <v>1595.0521004901525</v>
      </c>
      <c r="I180" s="63">
        <f t="shared" si="43"/>
        <v>2293.9096539814955</v>
      </c>
      <c r="J180" s="63">
        <f t="shared" si="43"/>
        <v>2803.5</v>
      </c>
      <c r="K180" s="63">
        <f t="shared" si="43"/>
        <v>2803.5</v>
      </c>
      <c r="L180" s="63">
        <f t="shared" si="43"/>
        <v>2803.5</v>
      </c>
      <c r="M180" s="63">
        <f t="shared" si="43"/>
        <v>2803.5</v>
      </c>
      <c r="N180" s="63">
        <f t="shared" si="43"/>
        <v>2803.5</v>
      </c>
    </row>
    <row r="181" spans="1:14" ht="15" customHeight="1" x14ac:dyDescent="0.3">
      <c r="A181" s="6" t="s">
        <v>860</v>
      </c>
      <c r="B181" s="6" t="s">
        <v>210</v>
      </c>
      <c r="C181" s="6" t="s">
        <v>211</v>
      </c>
      <c r="D181" s="63">
        <f t="shared" ref="D181:N181" si="44">D175-(D176+D177+D178+D179+D180)</f>
        <v>0</v>
      </c>
      <c r="E181" s="63">
        <f t="shared" si="44"/>
        <v>-770.32499999999891</v>
      </c>
      <c r="F181" s="63">
        <f t="shared" si="44"/>
        <v>2523.6281250000011</v>
      </c>
      <c r="G181" s="63">
        <f t="shared" si="44"/>
        <v>2523.6281249999993</v>
      </c>
      <c r="H181" s="63">
        <f t="shared" si="44"/>
        <v>6729.6749999999956</v>
      </c>
      <c r="I181" s="63">
        <f t="shared" si="44"/>
        <v>2073.9434716972537</v>
      </c>
      <c r="J181" s="63">
        <f t="shared" si="44"/>
        <v>-7948</v>
      </c>
      <c r="K181" s="63">
        <f t="shared" si="44"/>
        <v>-7948</v>
      </c>
      <c r="L181" s="63">
        <f t="shared" si="44"/>
        <v>-5135.5</v>
      </c>
      <c r="M181" s="63">
        <f t="shared" si="44"/>
        <v>-5135.5</v>
      </c>
      <c r="N181" s="63">
        <f t="shared" si="44"/>
        <v>-5135.5</v>
      </c>
    </row>
    <row r="182" spans="1:14" ht="15" customHeight="1" x14ac:dyDescent="0.3">
      <c r="A182" s="6" t="s">
        <v>861</v>
      </c>
      <c r="B182" s="6" t="s">
        <v>210</v>
      </c>
      <c r="C182" s="6" t="s">
        <v>211</v>
      </c>
      <c r="D182" s="63">
        <f t="shared" ref="D182:N182" si="45">D175-D176</f>
        <v>7500</v>
      </c>
      <c r="E182" s="63">
        <f t="shared" si="45"/>
        <v>2812.5</v>
      </c>
      <c r="F182" s="63">
        <f t="shared" si="45"/>
        <v>6395.3250000000007</v>
      </c>
      <c r="G182" s="63">
        <f t="shared" si="45"/>
        <v>11739.688830750001</v>
      </c>
      <c r="H182" s="63">
        <f t="shared" si="45"/>
        <v>12464.019145556325</v>
      </c>
      <c r="I182" s="63">
        <f t="shared" si="45"/>
        <v>9088.4670236936727</v>
      </c>
      <c r="J182" s="63">
        <f t="shared" si="45"/>
        <v>0</v>
      </c>
      <c r="K182" s="63">
        <f t="shared" si="45"/>
        <v>0</v>
      </c>
      <c r="L182" s="63">
        <f t="shared" si="45"/>
        <v>0</v>
      </c>
      <c r="M182" s="63">
        <f t="shared" si="45"/>
        <v>0</v>
      </c>
      <c r="N182" s="63">
        <f t="shared" si="45"/>
        <v>0</v>
      </c>
    </row>
    <row r="183" spans="1:14" ht="15" customHeight="1" x14ac:dyDescent="0.3">
      <c r="A183" s="6" t="s">
        <v>862</v>
      </c>
      <c r="B183" s="2"/>
      <c r="C183" s="2"/>
      <c r="D183" s="2"/>
      <c r="E183" s="2"/>
      <c r="F183" s="2"/>
      <c r="G183" s="2"/>
      <c r="H183" s="2"/>
      <c r="I183" s="2"/>
      <c r="J183" s="2"/>
      <c r="K183" s="2"/>
      <c r="L183" s="2"/>
      <c r="M183" s="2"/>
      <c r="N183" s="2"/>
    </row>
    <row r="184" spans="1:14" ht="15" customHeight="1" x14ac:dyDescent="0.3">
      <c r="A184" s="6" t="s">
        <v>863</v>
      </c>
      <c r="B184" s="6" t="s">
        <v>558</v>
      </c>
      <c r="C184" s="6" t="s">
        <v>211</v>
      </c>
      <c r="D184" s="15">
        <f>D175/INDEX(Assumptions!$D$17:$F$17,1,3)</f>
        <v>30</v>
      </c>
      <c r="E184" s="15">
        <f>E175/INDEX(Assumptions!$D$17:$F$17,1,3)</f>
        <v>41.25</v>
      </c>
      <c r="F184" s="15">
        <f>F175/INDEX(Assumptions!$D$17:$F$17,1,3)</f>
        <v>66.831299999999999</v>
      </c>
      <c r="G184" s="15">
        <f>G175/INDEX(Assumptions!$D$17:$F$17,1,3)</f>
        <v>113.790055323</v>
      </c>
      <c r="H184" s="15">
        <f>H175/INDEX(Assumptions!$D$17:$F$17,1,3)</f>
        <v>163.6461319052253</v>
      </c>
      <c r="I184" s="15">
        <f>I175/INDEX(Assumptions!$D$17:$F$17,1,3)</f>
        <v>200</v>
      </c>
      <c r="J184" s="15">
        <f>J175/INDEX(Assumptions!$D$17:$F$17,1,3)</f>
        <v>200</v>
      </c>
      <c r="K184" s="15">
        <f>K175/INDEX(Assumptions!$D$17:$F$17,1,3)</f>
        <v>200</v>
      </c>
      <c r="L184" s="15">
        <f>L175/INDEX(Assumptions!$D$17:$F$17,1,3)</f>
        <v>200</v>
      </c>
      <c r="M184" s="15">
        <f>M175/INDEX(Assumptions!$D$17:$F$17,1,3)</f>
        <v>200</v>
      </c>
      <c r="N184" s="15">
        <f>N175/INDEX(Assumptions!$D$17:$F$17,1,3)</f>
        <v>200</v>
      </c>
    </row>
    <row r="185" spans="1:14" ht="15" customHeight="1" x14ac:dyDescent="0.3">
      <c r="A185" s="6" t="s">
        <v>864</v>
      </c>
      <c r="B185" s="2"/>
      <c r="C185" s="2"/>
      <c r="D185" s="2"/>
      <c r="E185" s="2"/>
      <c r="F185" s="2"/>
      <c r="G185" s="2"/>
      <c r="H185" s="2"/>
      <c r="I185" s="2"/>
      <c r="J185" s="2"/>
      <c r="K185" s="2"/>
      <c r="L185" s="2"/>
      <c r="M185" s="2"/>
      <c r="N185" s="2"/>
    </row>
    <row r="186" spans="1:14" ht="15" customHeight="1" x14ac:dyDescent="0.3">
      <c r="A186" s="6" t="s">
        <v>865</v>
      </c>
      <c r="B186" s="6" t="s">
        <v>210</v>
      </c>
      <c r="C186" s="6" t="s">
        <v>211</v>
      </c>
      <c r="D186" s="13">
        <f>IF(('Acquisition Schedule'!F$24)=0,0,('Acquisition Schedule'!F$22)/('Acquisition Schedule'!F$24))</f>
        <v>1302.0833333333333</v>
      </c>
      <c r="E186" s="13">
        <f>IF(('Acquisition Schedule'!F$24+'Acquisition Schedule'!G$24)=0,0,('Acquisition Schedule'!F$22+'Acquisition Schedule'!G$22)/('Acquisition Schedule'!F$24+'Acquisition Schedule'!G$24))</f>
        <v>1454.4547872340424</v>
      </c>
      <c r="F186" s="13">
        <f>IF(('Acquisition Schedule'!F$24+'Acquisition Schedule'!G$24+'Acquisition Schedule'!H$24)=0,0,('Acquisition Schedule'!F$22+'Acquisition Schedule'!G$22+'Acquisition Schedule'!H$22)/('Acquisition Schedule'!F$24+'Acquisition Schedule'!G$24+'Acquisition Schedule'!H$24))</f>
        <v>1525.87890625</v>
      </c>
      <c r="G186" s="13">
        <f>IF(('Acquisition Schedule'!F$24+'Acquisition Schedule'!G$24+'Acquisition Schedule'!H$24+'Acquisition Schedule'!I$24)=0,0,('Acquisition Schedule'!F$22+'Acquisition Schedule'!G$22+'Acquisition Schedule'!H$22+'Acquisition Schedule'!I$22)/('Acquisition Schedule'!F$24+'Acquisition Schedule'!G$24+'Acquisition Schedule'!H$24+'Acquisition Schedule'!I$24))</f>
        <v>1793.6862244897957</v>
      </c>
      <c r="H186" s="13">
        <f>IF(('Acquisition Schedule'!F$24+'Acquisition Schedule'!G$24+'Acquisition Schedule'!H$24+'Acquisition Schedule'!I$24+'Acquisition Schedule'!J$24)=0,0,('Acquisition Schedule'!F$22+'Acquisition Schedule'!G$22+'Acquisition Schedule'!H$22+'Acquisition Schedule'!I$22+'Acquisition Schedule'!J$22)/('Acquisition Schedule'!F$24+'Acquisition Schedule'!G$24+'Acquisition Schedule'!H$24+'Acquisition Schedule'!I$24+'Acquisition Schedule'!J$24))</f>
        <v>1783.2880434782608</v>
      </c>
      <c r="I186" s="13">
        <f>IF(('Acquisition Schedule'!F$24+'Acquisition Schedule'!G$24+'Acquisition Schedule'!H$24+'Acquisition Schedule'!I$24+'Acquisition Schedule'!J$24+'Acquisition Schedule'!K$24)=0,0,('Acquisition Schedule'!F$22+'Acquisition Schedule'!G$22+'Acquisition Schedule'!H$22+'Acquisition Schedule'!I$22+'Acquisition Schedule'!J$22+'Acquisition Schedule'!K$22)/('Acquisition Schedule'!F$24+'Acquisition Schedule'!G$24+'Acquisition Schedule'!H$24+'Acquisition Schedule'!I$24+'Acquisition Schedule'!J$24+'Acquisition Schedule'!K$24))</f>
        <v>1775.568181818182</v>
      </c>
      <c r="J186" s="13">
        <f>IF(('Acquisition Schedule'!F$24+'Acquisition Schedule'!G$24+'Acquisition Schedule'!H$24+'Acquisition Schedule'!I$24+'Acquisition Schedule'!J$24+'Acquisition Schedule'!K$24+'Acquisition Schedule'!L$24)=0,0,('Acquisition Schedule'!F$22+'Acquisition Schedule'!G$22+'Acquisition Schedule'!H$22+'Acquisition Schedule'!I$22+'Acquisition Schedule'!J$22+'Acquisition Schedule'!K$22+'Acquisition Schedule'!L$22)/('Acquisition Schedule'!F$24+'Acquisition Schedule'!G$24+'Acquisition Schedule'!H$24+'Acquisition Schedule'!I$24+'Acquisition Schedule'!J$24+'Acquisition Schedule'!K$24+'Acquisition Schedule'!L$24))</f>
        <v>1769.6098993288592</v>
      </c>
      <c r="K186" s="13">
        <f>IF(('Acquisition Schedule'!F$24+'Acquisition Schedule'!G$24+'Acquisition Schedule'!H$24+'Acquisition Schedule'!I$24+'Acquisition Schedule'!J$24+'Acquisition Schedule'!K$24+'Acquisition Schedule'!L$24+'Acquisition Schedule'!M$24)=0,0,('Acquisition Schedule'!F$22+'Acquisition Schedule'!G$22+'Acquisition Schedule'!H$22+'Acquisition Schedule'!I$22+'Acquisition Schedule'!J$22+'Acquisition Schedule'!K$22+'Acquisition Schedule'!L$22+'Acquisition Schedule'!M$22)/('Acquisition Schedule'!F$24+'Acquisition Schedule'!G$24+'Acquisition Schedule'!H$24+'Acquisition Schedule'!I$24+'Acquisition Schedule'!J$24+'Acquisition Schedule'!K$24+'Acquisition Schedule'!L$24+'Acquisition Schedule'!M$24))</f>
        <v>1764.8719879518076</v>
      </c>
      <c r="L186" s="13">
        <f>IF(('Acquisition Schedule'!F$24+'Acquisition Schedule'!G$24+'Acquisition Schedule'!H$24+'Acquisition Schedule'!I$24+'Acquisition Schedule'!J$24+'Acquisition Schedule'!K$24+'Acquisition Schedule'!L$24+'Acquisition Schedule'!M$24+'Acquisition Schedule'!N$24)=0,0,('Acquisition Schedule'!F$22+'Acquisition Schedule'!G$22+'Acquisition Schedule'!H$22+'Acquisition Schedule'!I$22+'Acquisition Schedule'!J$22+'Acquisition Schedule'!K$22+'Acquisition Schedule'!L$22+'Acquisition Schedule'!M$22+'Acquisition Schedule'!N$22)/('Acquisition Schedule'!F$24+'Acquisition Schedule'!G$24+'Acquisition Schedule'!H$24+'Acquisition Schedule'!I$24+'Acquisition Schedule'!J$24+'Acquisition Schedule'!K$24+'Acquisition Schedule'!L$24+'Acquisition Schedule'!M$24+'Acquisition Schedule'!N$24))</f>
        <v>1764.8719879518076</v>
      </c>
      <c r="M186" s="13">
        <f>IF(('Acquisition Schedule'!F$24+'Acquisition Schedule'!G$24+'Acquisition Schedule'!H$24+'Acquisition Schedule'!I$24+'Acquisition Schedule'!J$24+'Acquisition Schedule'!K$24+'Acquisition Schedule'!L$24+'Acquisition Schedule'!M$24+'Acquisition Schedule'!N$24+'Acquisition Schedule'!O$24)=0,0,('Acquisition Schedule'!F$22+'Acquisition Schedule'!G$22+'Acquisition Schedule'!H$22+'Acquisition Schedule'!I$22+'Acquisition Schedule'!J$22+'Acquisition Schedule'!K$22+'Acquisition Schedule'!L$22+'Acquisition Schedule'!M$22+'Acquisition Schedule'!N$22+'Acquisition Schedule'!O$22)/('Acquisition Schedule'!F$24+'Acquisition Schedule'!G$24+'Acquisition Schedule'!H$24+'Acquisition Schedule'!I$24+'Acquisition Schedule'!J$24+'Acquisition Schedule'!K$24+'Acquisition Schedule'!L$24+'Acquisition Schedule'!M$24+'Acquisition Schedule'!N$24+'Acquisition Schedule'!O$24))</f>
        <v>1764.8719879518076</v>
      </c>
      <c r="N186" s="13">
        <f>IF(('Acquisition Schedule'!F$24+'Acquisition Schedule'!G$24+'Acquisition Schedule'!H$24+'Acquisition Schedule'!I$24+'Acquisition Schedule'!J$24+'Acquisition Schedule'!K$24+'Acquisition Schedule'!L$24+'Acquisition Schedule'!M$24+'Acquisition Schedule'!N$24+'Acquisition Schedule'!O$24+'Acquisition Schedule'!P$24)=0,0,('Acquisition Schedule'!F$22+'Acquisition Schedule'!G$22+'Acquisition Schedule'!H$22+'Acquisition Schedule'!I$22+'Acquisition Schedule'!J$22+'Acquisition Schedule'!K$22+'Acquisition Schedule'!L$22+'Acquisition Schedule'!M$22+'Acquisition Schedule'!N$22+'Acquisition Schedule'!O$22+'Acquisition Schedule'!P$22)/('Acquisition Schedule'!F$24+'Acquisition Schedule'!G$24+'Acquisition Schedule'!H$24+'Acquisition Schedule'!I$24+'Acquisition Schedule'!J$24+'Acquisition Schedule'!K$24+'Acquisition Schedule'!L$24+'Acquisition Schedule'!M$24+'Acquisition Schedule'!N$24+'Acquisition Schedule'!O$24+'Acquisition Schedule'!P$24))</f>
        <v>1764.8719879518076</v>
      </c>
    </row>
    <row r="187" spans="1:14" ht="15" customHeight="1" x14ac:dyDescent="0.3">
      <c r="A187" s="6" t="s">
        <v>866</v>
      </c>
      <c r="B187" s="6" t="s">
        <v>213</v>
      </c>
      <c r="C187" s="6" t="s">
        <v>211</v>
      </c>
      <c r="D187" s="78">
        <f t="shared" ref="D187:N187" si="46">IF(D186=0,0,D175/D186)</f>
        <v>5.7600000000000007</v>
      </c>
      <c r="E187" s="78">
        <f t="shared" si="46"/>
        <v>7.0902857142857147</v>
      </c>
      <c r="F187" s="78">
        <f t="shared" si="46"/>
        <v>10.949640192</v>
      </c>
      <c r="G187" s="78">
        <f t="shared" si="46"/>
        <v>15.859805044130136</v>
      </c>
      <c r="H187" s="78">
        <f t="shared" si="46"/>
        <v>22.941629158523018</v>
      </c>
      <c r="I187" s="78">
        <f t="shared" si="46"/>
        <v>28.159999999999997</v>
      </c>
      <c r="J187" s="78">
        <f t="shared" si="46"/>
        <v>28.254814814814811</v>
      </c>
      <c r="K187" s="78">
        <f t="shared" si="46"/>
        <v>28.330666666666662</v>
      </c>
      <c r="L187" s="78">
        <f t="shared" si="46"/>
        <v>28.330666666666662</v>
      </c>
      <c r="M187" s="78">
        <f t="shared" si="46"/>
        <v>28.330666666666662</v>
      </c>
      <c r="N187" s="78">
        <f t="shared" si="46"/>
        <v>28.330666666666662</v>
      </c>
    </row>
    <row r="188" spans="1:14" ht="15" customHeight="1" x14ac:dyDescent="0.3">
      <c r="A188" s="6" t="s">
        <v>867</v>
      </c>
      <c r="B188" s="2"/>
      <c r="C188" s="2"/>
      <c r="D188" s="2"/>
      <c r="E188" s="2"/>
      <c r="F188" s="2"/>
      <c r="G188" s="2"/>
      <c r="H188" s="2"/>
      <c r="I188" s="2"/>
      <c r="J188" s="2"/>
      <c r="K188" s="2"/>
      <c r="L188" s="2"/>
      <c r="M188" s="2"/>
      <c r="N188" s="2"/>
    </row>
    <row r="189" spans="1:14" ht="15" customHeight="1" x14ac:dyDescent="0.3">
      <c r="A189" s="6" t="s">
        <v>868</v>
      </c>
      <c r="B189" s="6" t="s">
        <v>216</v>
      </c>
      <c r="C189" s="6" t="s">
        <v>217</v>
      </c>
      <c r="D189" s="54">
        <f>IF(('Acquisition Schedule'!F$24)=0,0,D187*('Acquisition Schedule'!F$25)/('Acquisition Schedule'!F$24))</f>
        <v>1.4400000000000002</v>
      </c>
      <c r="E189" s="54">
        <f>IF(('Acquisition Schedule'!F$24+'Acquisition Schedule'!G$24)=0,0,E187*('Acquisition Schedule'!F$25+'Acquisition Schedule'!G$25)/('Acquisition Schedule'!F$24+'Acquisition Schedule'!G$24))</f>
        <v>1.7725714285714287</v>
      </c>
      <c r="F189" s="54">
        <f>IF(('Acquisition Schedule'!F$24+'Acquisition Schedule'!G$24+'Acquisition Schedule'!H$24)=0,0,F187*('Acquisition Schedule'!F$25+'Acquisition Schedule'!G$25+'Acquisition Schedule'!H$25)/('Acquisition Schedule'!F$24+'Acquisition Schedule'!G$24+'Acquisition Schedule'!H$24))</f>
        <v>2.7374100480000001</v>
      </c>
      <c r="G189" s="54">
        <f>IF(('Acquisition Schedule'!F$24+'Acquisition Schedule'!G$24+'Acquisition Schedule'!H$24+'Acquisition Schedule'!I$24)=0,0,G187*('Acquisition Schedule'!F$25+'Acquisition Schedule'!G$25+'Acquisition Schedule'!H$25+'Acquisition Schedule'!I$25)/('Acquisition Schedule'!F$24+'Acquisition Schedule'!G$24+'Acquisition Schedule'!H$24+'Acquisition Schedule'!I$24))</f>
        <v>3.9649512610325344</v>
      </c>
      <c r="H189" s="54">
        <f>IF(('Acquisition Schedule'!F$24+'Acquisition Schedule'!G$24+'Acquisition Schedule'!H$24+'Acquisition Schedule'!I$24+'Acquisition Schedule'!J$24)=0,0,H187*('Acquisition Schedule'!F$25+'Acquisition Schedule'!G$25+'Acquisition Schedule'!H$25+'Acquisition Schedule'!I$25+'Acquisition Schedule'!J$25)/('Acquisition Schedule'!F$24+'Acquisition Schedule'!G$24+'Acquisition Schedule'!H$24+'Acquisition Schedule'!I$24+'Acquisition Schedule'!J$24))</f>
        <v>5.7354072896307544</v>
      </c>
      <c r="I189" s="54">
        <f>IF(('Acquisition Schedule'!F$24+'Acquisition Schedule'!G$24+'Acquisition Schedule'!H$24+'Acquisition Schedule'!I$24+'Acquisition Schedule'!J$24+'Acquisition Schedule'!K$24)=0,0,I187*('Acquisition Schedule'!F$25+'Acquisition Schedule'!G$25+'Acquisition Schedule'!H$25+'Acquisition Schedule'!I$25+'Acquisition Schedule'!J$25+'Acquisition Schedule'!K$25)/('Acquisition Schedule'!F$24+'Acquisition Schedule'!G$24+'Acquisition Schedule'!H$24+'Acquisition Schedule'!I$24+'Acquisition Schedule'!J$24+'Acquisition Schedule'!K$24))</f>
        <v>7.0399999999999991</v>
      </c>
      <c r="J189" s="54">
        <f>IF(('Acquisition Schedule'!F$24+'Acquisition Schedule'!G$24+'Acquisition Schedule'!H$24+'Acquisition Schedule'!I$24+'Acquisition Schedule'!J$24+'Acquisition Schedule'!K$24+'Acquisition Schedule'!L$24)=0,0,J187*('Acquisition Schedule'!F$25+'Acquisition Schedule'!G$25+'Acquisition Schedule'!H$25+'Acquisition Schedule'!I$25+'Acquisition Schedule'!J$25+'Acquisition Schedule'!K$25+'Acquisition Schedule'!L$25)/('Acquisition Schedule'!F$24+'Acquisition Schedule'!G$24+'Acquisition Schedule'!H$24+'Acquisition Schedule'!I$24+'Acquisition Schedule'!J$24+'Acquisition Schedule'!K$24+'Acquisition Schedule'!L$24))</f>
        <v>7.0637037037037027</v>
      </c>
      <c r="K189" s="54">
        <f>IF(('Acquisition Schedule'!F$24+'Acquisition Schedule'!G$24+'Acquisition Schedule'!H$24+'Acquisition Schedule'!I$24+'Acquisition Schedule'!J$24+'Acquisition Schedule'!K$24+'Acquisition Schedule'!L$24+'Acquisition Schedule'!M$24)=0,0,K187*('Acquisition Schedule'!F$25+'Acquisition Schedule'!G$25+'Acquisition Schedule'!H$25+'Acquisition Schedule'!I$25+'Acquisition Schedule'!J$25+'Acquisition Schedule'!K$25+'Acquisition Schedule'!L$25+'Acquisition Schedule'!M$25)/('Acquisition Schedule'!F$24+'Acquisition Schedule'!G$24+'Acquisition Schedule'!H$24+'Acquisition Schedule'!I$24+'Acquisition Schedule'!J$24+'Acquisition Schedule'!K$24+'Acquisition Schedule'!L$24+'Acquisition Schedule'!M$24))</f>
        <v>7.0826666666666656</v>
      </c>
      <c r="L189" s="54">
        <f>IF(('Acquisition Schedule'!F$24+'Acquisition Schedule'!G$24+'Acquisition Schedule'!H$24+'Acquisition Schedule'!I$24+'Acquisition Schedule'!J$24+'Acquisition Schedule'!K$24+'Acquisition Schedule'!L$24+'Acquisition Schedule'!M$24+'Acquisition Schedule'!N$24)=0,0,L187*('Acquisition Schedule'!F$25+'Acquisition Schedule'!G$25+'Acquisition Schedule'!H$25+'Acquisition Schedule'!I$25+'Acquisition Schedule'!J$25+'Acquisition Schedule'!K$25+'Acquisition Schedule'!L$25+'Acquisition Schedule'!M$25+'Acquisition Schedule'!N$25)/('Acquisition Schedule'!F$24+'Acquisition Schedule'!G$24+'Acquisition Schedule'!H$24+'Acquisition Schedule'!I$24+'Acquisition Schedule'!J$24+'Acquisition Schedule'!K$24+'Acquisition Schedule'!L$24+'Acquisition Schedule'!M$24+'Acquisition Schedule'!N$24))</f>
        <v>7.0826666666666656</v>
      </c>
      <c r="M189" s="54">
        <f>IF(('Acquisition Schedule'!F$24+'Acquisition Schedule'!G$24+'Acquisition Schedule'!H$24+'Acquisition Schedule'!I$24+'Acquisition Schedule'!J$24+'Acquisition Schedule'!K$24+'Acquisition Schedule'!L$24+'Acquisition Schedule'!M$24+'Acquisition Schedule'!N$24+'Acquisition Schedule'!O$24)=0,0,M187*('Acquisition Schedule'!F$25+'Acquisition Schedule'!G$25+'Acquisition Schedule'!H$25+'Acquisition Schedule'!I$25+'Acquisition Schedule'!J$25+'Acquisition Schedule'!K$25+'Acquisition Schedule'!L$25+'Acquisition Schedule'!M$25+'Acquisition Schedule'!N$25+'Acquisition Schedule'!O$25)/('Acquisition Schedule'!F$24+'Acquisition Schedule'!G$24+'Acquisition Schedule'!H$24+'Acquisition Schedule'!I$24+'Acquisition Schedule'!J$24+'Acquisition Schedule'!K$24+'Acquisition Schedule'!L$24+'Acquisition Schedule'!M$24+'Acquisition Schedule'!N$24+'Acquisition Schedule'!O$24))</f>
        <v>7.0826666666666656</v>
      </c>
      <c r="N189" s="54">
        <f>IF(('Acquisition Schedule'!F$24+'Acquisition Schedule'!G$24+'Acquisition Schedule'!H$24+'Acquisition Schedule'!I$24+'Acquisition Schedule'!J$24+'Acquisition Schedule'!K$24+'Acquisition Schedule'!L$24+'Acquisition Schedule'!M$24+'Acquisition Schedule'!N$24+'Acquisition Schedule'!O$24+'Acquisition Schedule'!P$24)=0,0,N187*('Acquisition Schedule'!F$25+'Acquisition Schedule'!G$25+'Acquisition Schedule'!H$25+'Acquisition Schedule'!I$25+'Acquisition Schedule'!J$25+'Acquisition Schedule'!K$25+'Acquisition Schedule'!L$25+'Acquisition Schedule'!M$25+'Acquisition Schedule'!N$25+'Acquisition Schedule'!O$25+'Acquisition Schedule'!P$25)/('Acquisition Schedule'!F$24+'Acquisition Schedule'!G$24+'Acquisition Schedule'!H$24+'Acquisition Schedule'!I$24+'Acquisition Schedule'!J$24+'Acquisition Schedule'!K$24+'Acquisition Schedule'!L$24+'Acquisition Schedule'!M$24+'Acquisition Schedule'!N$24+'Acquisition Schedule'!O$24+'Acquisition Schedule'!P$24))</f>
        <v>7.0826666666666656</v>
      </c>
    </row>
    <row r="190" spans="1:14" ht="15" customHeight="1" x14ac:dyDescent="0.3">
      <c r="A190" s="6" t="s">
        <v>215</v>
      </c>
      <c r="B190" s="6" t="s">
        <v>216</v>
      </c>
      <c r="C190" s="6" t="s">
        <v>217</v>
      </c>
      <c r="D190" s="54">
        <f>MAX(0,D189*INDEX(Assumptions!$D$47:$F$47,1,3)-INDEX(Assumptions!$D$45:$F$45,1,3))</f>
        <v>0.7280000000000002</v>
      </c>
      <c r="E190" s="54">
        <f>MAX(0,E189*INDEX(Assumptions!$D$47:$F$47,1,3)-INDEX(Assumptions!$D$45:$F$45,1,3))</f>
        <v>1.1270857142857142</v>
      </c>
      <c r="F190" s="54">
        <f>MAX(0,F189*INDEX(Assumptions!$D$47:$F$47,1,3)-INDEX(Assumptions!$D$45:$F$45,1,3))</f>
        <v>2.2848920576</v>
      </c>
      <c r="G190" s="54">
        <f>MAX(0,G189*INDEX(Assumptions!$D$47:$F$47,1,3)-INDEX(Assumptions!$D$45:$F$45,1,3))</f>
        <v>3.7579415132390412</v>
      </c>
      <c r="H190" s="54">
        <f>MAX(0,H189*INDEX(Assumptions!$D$47:$F$47,1,3)-INDEX(Assumptions!$D$45:$F$45,1,3))</f>
        <v>5.8824887475569048</v>
      </c>
      <c r="I190" s="54">
        <f>MAX(0,I189*INDEX(Assumptions!$D$47:$F$47,1,3)-INDEX(Assumptions!$D$45:$F$45,1,3))</f>
        <v>7.4479999999999986</v>
      </c>
      <c r="J190" s="54">
        <f>MAX(0,J189*INDEX(Assumptions!$D$47:$F$47,1,3)-INDEX(Assumptions!$D$45:$F$45,1,3))</f>
        <v>7.4764444444444429</v>
      </c>
      <c r="K190" s="54">
        <f>MAX(0,K189*INDEX(Assumptions!$D$47:$F$47,1,3)-INDEX(Assumptions!$D$45:$F$45,1,3))</f>
        <v>7.4991999999999983</v>
      </c>
      <c r="L190" s="54">
        <f>MAX(0,L189*INDEX(Assumptions!$D$47:$F$47,1,3)-INDEX(Assumptions!$D$45:$F$45,1,3))</f>
        <v>7.4991999999999983</v>
      </c>
      <c r="M190" s="54">
        <f>MAX(0,M189*INDEX(Assumptions!$D$47:$F$47,1,3)-INDEX(Assumptions!$D$45:$F$45,1,3))</f>
        <v>7.4991999999999983</v>
      </c>
      <c r="N190" s="54">
        <f>MAX(0,N189*INDEX(Assumptions!$D$47:$F$47,1,3)-INDEX(Assumptions!$D$45:$F$45,1,3))</f>
        <v>7.4991999999999983</v>
      </c>
    </row>
    <row r="191" spans="1:14" ht="15" customHeight="1" x14ac:dyDescent="0.3">
      <c r="A191" s="6" t="s">
        <v>869</v>
      </c>
      <c r="B191" s="6" t="s">
        <v>218</v>
      </c>
      <c r="C191" s="6" t="s">
        <v>211</v>
      </c>
      <c r="D191" s="13">
        <f>D175*(INDEX(Assumptions!$D$27:$F$27,1,3)+INDEX(Assumptions!$D$28:$F$28,1,3)+INDEX(Assumptions!$D$29:$F$29,1,3)+INDEX(Assumptions!$D$79:$F$79,1,3))</f>
        <v>4901122.0815195879</v>
      </c>
      <c r="E191" s="13">
        <f>E175*(INDEX(Assumptions!$D$27:$F$27,1,3)+INDEX(Assumptions!$D$28:$F$28,1,3)+INDEX(Assumptions!$D$29:$F$29,1,3)+INDEX(Assumptions!$D$79:$F$79,1,3))</f>
        <v>6739042.8620894337</v>
      </c>
      <c r="F191" s="13">
        <f>F175*(INDEX(Assumptions!$D$27:$F$27,1,3)+INDEX(Assumptions!$D$28:$F$28,1,3)+INDEX(Assumptions!$D$29:$F$29,1,3)+INDEX(Assumptions!$D$79:$F$79,1,3))</f>
        <v>10918278.672222001</v>
      </c>
      <c r="G191" s="13">
        <f>G175*(INDEX(Assumptions!$D$27:$F$27,1,3)+INDEX(Assumptions!$D$28:$F$28,1,3)+INDEX(Assumptions!$D$29:$F$29,1,3)+INDEX(Assumptions!$D$79:$F$79,1,3))</f>
        <v>18589965.093363028</v>
      </c>
      <c r="H191" s="13">
        <f>H175*(INDEX(Assumptions!$D$27:$F$27,1,3)+INDEX(Assumptions!$D$28:$F$28,1,3)+INDEX(Assumptions!$D$29:$F$29,1,3)+INDEX(Assumptions!$D$79:$F$79,1,3))</f>
        <v>26734989.021198899</v>
      </c>
      <c r="I191" s="13">
        <f>I175*(INDEX(Assumptions!$D$27:$F$27,1,3)+INDEX(Assumptions!$D$28:$F$28,1,3)+INDEX(Assumptions!$D$29:$F$29,1,3)+INDEX(Assumptions!$D$79:$F$79,1,3))</f>
        <v>32674147.210130587</v>
      </c>
      <c r="J191" s="13">
        <f>J175*(INDEX(Assumptions!$D$27:$F$27,1,3)+INDEX(Assumptions!$D$28:$F$28,1,3)+INDEX(Assumptions!$D$29:$F$29,1,3)+INDEX(Assumptions!$D$79:$F$79,1,3))</f>
        <v>32674147.210130587</v>
      </c>
      <c r="K191" s="13">
        <f>K175*(INDEX(Assumptions!$D$27:$F$27,1,3)+INDEX(Assumptions!$D$28:$F$28,1,3)+INDEX(Assumptions!$D$29:$F$29,1,3)+INDEX(Assumptions!$D$79:$F$79,1,3))</f>
        <v>32674147.210130587</v>
      </c>
      <c r="L191" s="13">
        <f>L175*(INDEX(Assumptions!$D$27:$F$27,1,3)+INDEX(Assumptions!$D$28:$F$28,1,3)+INDEX(Assumptions!$D$29:$F$29,1,3)+INDEX(Assumptions!$D$79:$F$79,1,3))</f>
        <v>32674147.210130587</v>
      </c>
      <c r="M191" s="13">
        <f>M175*(INDEX(Assumptions!$D$27:$F$27,1,3)+INDEX(Assumptions!$D$28:$F$28,1,3)+INDEX(Assumptions!$D$29:$F$29,1,3)+INDEX(Assumptions!$D$79:$F$79,1,3))</f>
        <v>32674147.210130587</v>
      </c>
      <c r="N191" s="13">
        <f>N175*(INDEX(Assumptions!$D$27:$F$27,1,3)+INDEX(Assumptions!$D$28:$F$28,1,3)+INDEX(Assumptions!$D$29:$F$29,1,3)+INDEX(Assumptions!$D$79:$F$79,1,3))</f>
        <v>32674147.210130587</v>
      </c>
    </row>
    <row r="192" spans="1:14" ht="15" customHeight="1" x14ac:dyDescent="0.3">
      <c r="A192" s="6" t="s">
        <v>870</v>
      </c>
      <c r="B192" s="6" t="s">
        <v>218</v>
      </c>
      <c r="C192" s="6" t="s">
        <v>211</v>
      </c>
      <c r="D192" s="13">
        <f>D175*INDEX(Assumptions!$D$29:$F$29,1,3)</f>
        <v>408265.92797783937</v>
      </c>
      <c r="E192" s="13">
        <f>E175*INDEX(Assumptions!$D$29:$F$29,1,3)</f>
        <v>561365.65096952918</v>
      </c>
      <c r="F192" s="13">
        <f>F175*INDEX(Assumptions!$D$29:$F$29,1,3)</f>
        <v>909498.09041551256</v>
      </c>
      <c r="G192" s="13">
        <f>G175*INDEX(Assumptions!$D$29:$F$29,1,3)</f>
        <v>1548553.4177031426</v>
      </c>
      <c r="H192" s="13">
        <f>H175*INDEX(Assumptions!$D$29:$F$29,1,3)</f>
        <v>2227037.996742357</v>
      </c>
      <c r="I192" s="13">
        <f>I175*INDEX(Assumptions!$D$29:$F$29,1,3)</f>
        <v>2721772.8531855959</v>
      </c>
      <c r="J192" s="13">
        <f>J175*INDEX(Assumptions!$D$29:$F$29,1,3)</f>
        <v>2721772.8531855959</v>
      </c>
      <c r="K192" s="13">
        <f>K175*INDEX(Assumptions!$D$29:$F$29,1,3)</f>
        <v>2721772.8531855959</v>
      </c>
      <c r="L192" s="13">
        <f>L175*INDEX(Assumptions!$D$29:$F$29,1,3)</f>
        <v>2721772.8531855959</v>
      </c>
      <c r="M192" s="13">
        <f>M175*INDEX(Assumptions!$D$29:$F$29,1,3)</f>
        <v>2721772.8531855959</v>
      </c>
      <c r="N192" s="13">
        <f>N175*INDEX(Assumptions!$D$29:$F$29,1,3)</f>
        <v>2721772.8531855959</v>
      </c>
    </row>
    <row r="193" spans="1:14" ht="15" customHeight="1" x14ac:dyDescent="0.3">
      <c r="A193" s="6" t="s">
        <v>871</v>
      </c>
      <c r="B193" s="6" t="s">
        <v>267</v>
      </c>
      <c r="C193" s="6" t="s">
        <v>211</v>
      </c>
      <c r="D193" s="71">
        <f t="shared" ref="D193:N193" si="47">IF(D191=0,0,D162/D191)</f>
        <v>0.1958735130511895</v>
      </c>
      <c r="E193" s="71">
        <f t="shared" si="47"/>
        <v>0.19587351305118947</v>
      </c>
      <c r="F193" s="71">
        <f t="shared" si="47"/>
        <v>0.18108348938098978</v>
      </c>
      <c r="G193" s="71">
        <f t="shared" si="47"/>
        <v>0.17166243314460655</v>
      </c>
      <c r="H193" s="71">
        <f t="shared" si="47"/>
        <v>0.1632712519769067</v>
      </c>
      <c r="I193" s="71">
        <f t="shared" si="47"/>
        <v>0.14760060873539738</v>
      </c>
      <c r="J193" s="71">
        <f t="shared" si="47"/>
        <v>0.16069021055613564</v>
      </c>
      <c r="K193" s="71">
        <f t="shared" si="47"/>
        <v>0.17292244345761557</v>
      </c>
      <c r="L193" s="71">
        <f t="shared" si="47"/>
        <v>0.17333557999491914</v>
      </c>
      <c r="M193" s="71">
        <f t="shared" si="47"/>
        <v>0.16198209950525191</v>
      </c>
      <c r="N193" s="71">
        <f t="shared" si="47"/>
        <v>0.1513722719876579</v>
      </c>
    </row>
    <row r="194" spans="1:14" ht="15" customHeight="1" x14ac:dyDescent="0.3">
      <c r="A194" s="6" t="s">
        <v>872</v>
      </c>
      <c r="B194" s="6" t="s">
        <v>218</v>
      </c>
      <c r="C194" s="6" t="s">
        <v>211</v>
      </c>
      <c r="D194" s="63">
        <f>0</f>
        <v>0</v>
      </c>
      <c r="E194" s="13">
        <f>E162+E172+'Acquisition Schedule'!G$20*(1-INDEX(Assumptions!$D$56:$F$56,1,3))*(1-INDEX(Assumptions!$D$20:$F$20,1,3))</f>
        <v>1680000</v>
      </c>
      <c r="F194" s="13">
        <f>F162+F172+'Acquisition Schedule'!H$20*(1-INDEX(Assumptions!$D$56:$F$56,1,3))*(1-INDEX(Assumptions!$D$20:$F$20,1,3))</f>
        <v>2498601.6</v>
      </c>
      <c r="G194" s="13">
        <f>G162+G172+'Acquisition Schedule'!I$20*(1-INDEX(Assumptions!$D$56:$F$56,1,3))*(1-INDEX(Assumptions!$D$20:$F$20,1,3))</f>
        <v>4601281.7703360002</v>
      </c>
      <c r="H194" s="13">
        <f>H162+H172+'Acquisition Schedule'!J$20*(1-INDEX(Assumptions!$D$56:$F$56,1,3))*(1-INDEX(Assumptions!$D$20:$F$20,1,3))</f>
        <v>5596676.2209672099</v>
      </c>
      <c r="I194" s="13">
        <f>I162+I172+'Acquisition Schedule'!K$20*(1-INDEX(Assumptions!$D$56:$F$56,1,3))*(1-INDEX(Assumptions!$D$20:$F$20,1,3))</f>
        <v>6760000</v>
      </c>
      <c r="J194" s="13">
        <f>J162+J172+'Acquisition Schedule'!L$20*(1-INDEX(Assumptions!$D$56:$F$56,1,3))*(1-INDEX(Assumptions!$D$20:$F$20,1,3))</f>
        <v>6760000</v>
      </c>
      <c r="K194" s="13">
        <f>K162+K172+'Acquisition Schedule'!M$20*(1-INDEX(Assumptions!$D$56:$F$56,1,3))*(1-INDEX(Assumptions!$D$20:$F$20,1,3))</f>
        <v>6760000</v>
      </c>
      <c r="L194" s="13">
        <f>L162+L172+'Acquisition Schedule'!N$20*(1-INDEX(Assumptions!$D$56:$F$56,1,3))*(1-INDEX(Assumptions!$D$20:$F$20,1,3))</f>
        <v>6400000</v>
      </c>
      <c r="M194" s="13">
        <f>M162+M172+'Acquisition Schedule'!O$20*(1-INDEX(Assumptions!$D$56:$F$56,1,3))*(1-INDEX(Assumptions!$D$20:$F$20,1,3))</f>
        <v>6400000</v>
      </c>
      <c r="N194" s="13">
        <f>N162+N172+'Acquisition Schedule'!P$20*(1-INDEX(Assumptions!$D$56:$F$56,1,3))*(1-INDEX(Assumptions!$D$20:$F$20,1,3))</f>
        <v>6400000</v>
      </c>
    </row>
  </sheetData>
  <pageMargins left="0.7" right="0.7" top="0.75" bottom="0.75" header="0.511811023622047" footer="0.511811023622047"/>
  <pageSetup paperSize="9"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317"/>
  <sheetViews>
    <sheetView showGridLines="0" zoomScaleNormal="100" workbookViewId="0">
      <pane xSplit="3" ySplit="6" topLeftCell="D7" activePane="bottomRight" state="frozen"/>
      <selection pane="topRight" activeCell="D1" sqref="D1"/>
      <selection pane="bottomLeft" activeCell="A7" sqref="A7"/>
      <selection pane="bottomRight"/>
    </sheetView>
  </sheetViews>
  <sheetFormatPr defaultColWidth="8.7109375" defaultRowHeight="12.75" x14ac:dyDescent="0.2"/>
  <cols>
    <col min="1" max="1" width="38" customWidth="1"/>
    <col min="2" max="2" width="17" customWidth="1"/>
    <col min="3" max="3" width="10" customWidth="1"/>
    <col min="4" max="6" width="12" customWidth="1"/>
    <col min="7" max="8" width="11" customWidth="1"/>
    <col min="9" max="10" width="12" customWidth="1"/>
    <col min="11" max="11" width="13" customWidth="1"/>
    <col min="12" max="13" width="11" customWidth="1"/>
    <col min="14" max="14" width="52" customWidth="1"/>
  </cols>
  <sheetData>
    <row r="1" spans="1:22" ht="15" customHeight="1" x14ac:dyDescent="0.3">
      <c r="A1" s="1" t="s">
        <v>875</v>
      </c>
      <c r="B1" s="2"/>
      <c r="C1" s="2"/>
      <c r="D1" s="2"/>
      <c r="E1" s="2"/>
      <c r="F1" s="2"/>
      <c r="G1" s="2"/>
      <c r="H1" s="2"/>
      <c r="I1" s="2"/>
      <c r="J1" s="2"/>
      <c r="K1" s="2"/>
      <c r="L1" s="2"/>
      <c r="M1" s="2"/>
      <c r="N1" s="2"/>
      <c r="O1" s="2"/>
      <c r="P1" s="2"/>
      <c r="Q1" s="2"/>
      <c r="R1" s="2"/>
      <c r="S1" s="2"/>
      <c r="T1" s="2"/>
      <c r="U1" s="2"/>
      <c r="V1" s="2"/>
    </row>
    <row r="2" spans="1:22" ht="15" customHeight="1" x14ac:dyDescent="0.3">
      <c r="A2" s="6" t="s">
        <v>876</v>
      </c>
      <c r="B2" s="2"/>
      <c r="C2" s="2"/>
      <c r="D2" s="2"/>
      <c r="E2" s="2"/>
      <c r="F2" s="2"/>
      <c r="G2" s="2"/>
      <c r="H2" s="2"/>
      <c r="I2" s="2"/>
      <c r="J2" s="2"/>
      <c r="K2" s="2"/>
      <c r="L2" s="2"/>
      <c r="M2" s="2"/>
      <c r="N2" s="2"/>
      <c r="O2" s="2"/>
      <c r="P2" s="2"/>
      <c r="Q2" s="2"/>
      <c r="R2" s="2"/>
      <c r="S2" s="2"/>
      <c r="T2" s="2"/>
      <c r="U2" s="2"/>
      <c r="V2" s="2"/>
    </row>
    <row r="3" spans="1:22" ht="15" customHeight="1" x14ac:dyDescent="0.3">
      <c r="A3" s="6" t="s">
        <v>877</v>
      </c>
      <c r="B3" s="2"/>
      <c r="C3" s="2"/>
      <c r="D3" s="2"/>
      <c r="E3" s="2"/>
      <c r="F3" s="2"/>
      <c r="G3" s="2"/>
      <c r="H3" s="2"/>
      <c r="I3" s="2"/>
      <c r="J3" s="2"/>
      <c r="K3" s="2"/>
      <c r="L3" s="2"/>
      <c r="M3" s="2"/>
      <c r="N3" s="2"/>
      <c r="O3" s="2"/>
      <c r="P3" s="2"/>
      <c r="Q3" s="2"/>
      <c r="R3" s="2"/>
      <c r="S3" s="2"/>
      <c r="T3" s="2"/>
      <c r="U3" s="2"/>
      <c r="V3" s="2"/>
    </row>
    <row r="4" spans="1:22" ht="15" customHeight="1" x14ac:dyDescent="0.3">
      <c r="A4" s="2"/>
      <c r="B4" s="2"/>
      <c r="C4" s="2"/>
      <c r="D4" s="2"/>
      <c r="E4" s="2"/>
      <c r="F4" s="2"/>
      <c r="G4" s="2"/>
      <c r="H4" s="2"/>
      <c r="I4" s="2"/>
      <c r="J4" s="2"/>
      <c r="K4" s="2"/>
      <c r="L4" s="2"/>
      <c r="M4" s="2"/>
      <c r="N4" s="2"/>
      <c r="O4" s="2"/>
      <c r="P4" s="2"/>
      <c r="Q4" s="2"/>
      <c r="R4" s="2"/>
      <c r="S4" s="2"/>
      <c r="T4" s="2"/>
      <c r="U4" s="2"/>
      <c r="V4" s="2"/>
    </row>
    <row r="5" spans="1:22" ht="15" customHeight="1" x14ac:dyDescent="0.3">
      <c r="A5" s="21" t="s">
        <v>878</v>
      </c>
      <c r="B5" s="10"/>
      <c r="C5" s="10"/>
      <c r="D5" s="10"/>
      <c r="E5" s="10"/>
      <c r="F5" s="10"/>
      <c r="G5" s="10"/>
      <c r="H5" s="10"/>
      <c r="I5" s="10"/>
      <c r="J5" s="10"/>
      <c r="K5" s="10"/>
      <c r="L5" s="10"/>
      <c r="M5" s="10"/>
      <c r="N5" s="10"/>
      <c r="O5" s="2"/>
      <c r="P5" s="2"/>
      <c r="Q5" s="2"/>
      <c r="R5" s="2"/>
      <c r="S5" s="2"/>
      <c r="T5" s="2"/>
      <c r="U5" s="2"/>
      <c r="V5" s="2"/>
    </row>
    <row r="6" spans="1:22" ht="15" customHeight="1" x14ac:dyDescent="0.3">
      <c r="A6" s="21" t="s">
        <v>879</v>
      </c>
      <c r="B6" s="21" t="s">
        <v>880</v>
      </c>
      <c r="C6" s="21" t="s">
        <v>285</v>
      </c>
      <c r="D6" s="21" t="s">
        <v>102</v>
      </c>
      <c r="E6" s="21" t="s">
        <v>881</v>
      </c>
      <c r="F6" s="21" t="s">
        <v>882</v>
      </c>
      <c r="G6" s="21" t="s">
        <v>286</v>
      </c>
      <c r="H6" s="21"/>
      <c r="I6" s="21"/>
      <c r="J6" s="21"/>
      <c r="K6" s="21"/>
      <c r="L6" s="21"/>
      <c r="M6" s="21"/>
      <c r="N6" s="21" t="s">
        <v>883</v>
      </c>
      <c r="O6" s="2"/>
      <c r="P6" s="2"/>
      <c r="Q6" s="2"/>
      <c r="R6" s="2"/>
      <c r="S6" s="2"/>
      <c r="T6" s="2"/>
      <c r="U6" s="2"/>
      <c r="V6" s="2"/>
    </row>
    <row r="7" spans="1:22" ht="15" customHeight="1" x14ac:dyDescent="0.3">
      <c r="A7" s="6" t="s">
        <v>884</v>
      </c>
      <c r="B7" s="6" t="s">
        <v>885</v>
      </c>
      <c r="C7" s="6" t="s">
        <v>886</v>
      </c>
      <c r="D7" s="64">
        <v>49</v>
      </c>
      <c r="E7" s="64">
        <v>45</v>
      </c>
      <c r="F7" s="64">
        <v>50</v>
      </c>
      <c r="G7" s="6" t="s">
        <v>220</v>
      </c>
      <c r="H7" s="2"/>
      <c r="I7" s="2"/>
      <c r="J7" s="2"/>
      <c r="K7" s="2"/>
      <c r="L7" s="2"/>
      <c r="M7" s="2"/>
      <c r="N7" s="6" t="s">
        <v>887</v>
      </c>
      <c r="O7" s="2"/>
      <c r="P7" s="2"/>
      <c r="Q7" s="2"/>
      <c r="R7" s="2"/>
      <c r="S7" s="2"/>
      <c r="T7" s="2"/>
      <c r="U7" s="2"/>
      <c r="V7" s="2"/>
    </row>
    <row r="8" spans="1:22" ht="15" customHeight="1" x14ac:dyDescent="0.3">
      <c r="A8" s="6" t="s">
        <v>888</v>
      </c>
      <c r="B8" s="6" t="s">
        <v>889</v>
      </c>
      <c r="C8" s="6" t="s">
        <v>890</v>
      </c>
      <c r="D8" s="64">
        <v>10</v>
      </c>
      <c r="E8" s="68">
        <v>8</v>
      </c>
      <c r="F8" s="64">
        <v>12</v>
      </c>
      <c r="G8" s="6" t="s">
        <v>217</v>
      </c>
      <c r="H8" s="2"/>
      <c r="I8" s="2"/>
      <c r="J8" s="2"/>
      <c r="K8" s="2"/>
      <c r="L8" s="2"/>
      <c r="M8" s="2"/>
      <c r="N8" s="6" t="s">
        <v>891</v>
      </c>
      <c r="O8" s="2"/>
      <c r="P8" s="2"/>
      <c r="Q8" s="2"/>
      <c r="R8" s="2"/>
      <c r="S8" s="2"/>
      <c r="T8" s="2"/>
      <c r="U8" s="2"/>
      <c r="V8" s="2"/>
    </row>
    <row r="9" spans="1:22" ht="15" customHeight="1" x14ac:dyDescent="0.3">
      <c r="A9" s="6" t="s">
        <v>892</v>
      </c>
      <c r="B9" s="6" t="s">
        <v>893</v>
      </c>
      <c r="C9" s="6" t="s">
        <v>894</v>
      </c>
      <c r="D9" s="64">
        <v>50</v>
      </c>
      <c r="E9" s="64">
        <v>40</v>
      </c>
      <c r="F9" s="64">
        <v>60</v>
      </c>
      <c r="G9" s="6" t="s">
        <v>217</v>
      </c>
      <c r="H9" s="2"/>
      <c r="I9" s="2"/>
      <c r="J9" s="2"/>
      <c r="K9" s="2"/>
      <c r="L9" s="2"/>
      <c r="M9" s="2"/>
      <c r="N9" s="6" t="s">
        <v>895</v>
      </c>
      <c r="O9" s="2"/>
      <c r="P9" s="2"/>
      <c r="Q9" s="2"/>
      <c r="R9" s="2"/>
      <c r="S9" s="2"/>
      <c r="T9" s="2"/>
      <c r="U9" s="2"/>
      <c r="V9" s="2"/>
    </row>
    <row r="10" spans="1:22" ht="15" customHeight="1" x14ac:dyDescent="0.3">
      <c r="A10" s="6" t="s">
        <v>896</v>
      </c>
      <c r="B10" s="6" t="s">
        <v>897</v>
      </c>
      <c r="C10" s="6" t="s">
        <v>265</v>
      </c>
      <c r="D10" s="68">
        <v>1</v>
      </c>
      <c r="E10" s="68">
        <v>0.9</v>
      </c>
      <c r="F10" s="68">
        <v>1.1499999999999999</v>
      </c>
      <c r="G10" s="6" t="s">
        <v>217</v>
      </c>
      <c r="H10" s="2"/>
      <c r="I10" s="2"/>
      <c r="J10" s="2"/>
      <c r="K10" s="2"/>
      <c r="L10" s="2"/>
      <c r="M10" s="2"/>
      <c r="N10" s="6" t="s">
        <v>898</v>
      </c>
      <c r="O10" s="2"/>
      <c r="P10" s="2"/>
      <c r="Q10" s="2"/>
      <c r="R10" s="2"/>
      <c r="S10" s="2"/>
      <c r="T10" s="2"/>
      <c r="U10" s="2"/>
      <c r="V10" s="2"/>
    </row>
    <row r="11" spans="1:22" ht="15" customHeight="1" x14ac:dyDescent="0.3">
      <c r="A11" s="6" t="s">
        <v>899</v>
      </c>
      <c r="B11" s="6" t="s">
        <v>900</v>
      </c>
      <c r="C11" s="6" t="s">
        <v>901</v>
      </c>
      <c r="D11" s="64">
        <v>10</v>
      </c>
      <c r="E11" s="68">
        <v>8</v>
      </c>
      <c r="F11" s="64">
        <v>12</v>
      </c>
      <c r="G11" s="6" t="s">
        <v>902</v>
      </c>
      <c r="H11" s="2"/>
      <c r="I11" s="2"/>
      <c r="J11" s="2"/>
      <c r="K11" s="2"/>
      <c r="L11" s="2"/>
      <c r="M11" s="2"/>
      <c r="N11" s="6" t="s">
        <v>903</v>
      </c>
      <c r="O11" s="2"/>
      <c r="P11" s="2"/>
      <c r="Q11" s="2"/>
      <c r="R11" s="2"/>
      <c r="S11" s="2"/>
      <c r="T11" s="2"/>
      <c r="U11" s="2"/>
      <c r="V11" s="2"/>
    </row>
    <row r="12" spans="1:22" ht="15" customHeight="1" x14ac:dyDescent="0.3">
      <c r="A12" s="6" t="s">
        <v>904</v>
      </c>
      <c r="B12" s="6" t="s">
        <v>905</v>
      </c>
      <c r="C12" s="6" t="s">
        <v>210</v>
      </c>
      <c r="D12" s="64">
        <v>5000</v>
      </c>
      <c r="E12" s="64">
        <v>5000</v>
      </c>
      <c r="F12" s="64">
        <v>5000</v>
      </c>
      <c r="G12" s="6" t="s">
        <v>217</v>
      </c>
      <c r="H12" s="2"/>
      <c r="I12" s="2"/>
      <c r="J12" s="2"/>
      <c r="K12" s="2"/>
      <c r="L12" s="2"/>
      <c r="M12" s="2"/>
      <c r="N12" s="6" t="s">
        <v>906</v>
      </c>
      <c r="O12" s="2"/>
      <c r="P12" s="2"/>
      <c r="Q12" s="2"/>
      <c r="R12" s="2"/>
      <c r="S12" s="2"/>
      <c r="T12" s="2"/>
      <c r="U12" s="2"/>
      <c r="V12" s="2"/>
    </row>
    <row r="13" spans="1:22" ht="15" customHeight="1" x14ac:dyDescent="0.3">
      <c r="A13" s="6" t="s">
        <v>907</v>
      </c>
      <c r="B13" s="6" t="s">
        <v>908</v>
      </c>
      <c r="C13" s="6" t="s">
        <v>886</v>
      </c>
      <c r="D13" s="64">
        <v>10000</v>
      </c>
      <c r="E13" s="64">
        <v>7500</v>
      </c>
      <c r="F13" s="64">
        <v>12500</v>
      </c>
      <c r="G13" s="6" t="s">
        <v>217</v>
      </c>
      <c r="H13" s="2"/>
      <c r="I13" s="2"/>
      <c r="J13" s="2"/>
      <c r="K13" s="2"/>
      <c r="L13" s="2"/>
      <c r="M13" s="2"/>
      <c r="N13" s="2"/>
      <c r="O13" s="2"/>
      <c r="P13" s="2"/>
      <c r="Q13" s="2"/>
      <c r="R13" s="2"/>
      <c r="S13" s="2"/>
      <c r="T13" s="2"/>
      <c r="U13" s="2"/>
      <c r="V13" s="2"/>
    </row>
    <row r="14" spans="1:22" ht="15" customHeight="1" x14ac:dyDescent="0.3">
      <c r="A14" s="6" t="s">
        <v>909</v>
      </c>
      <c r="B14" s="6" t="s">
        <v>910</v>
      </c>
      <c r="C14" s="6" t="s">
        <v>210</v>
      </c>
      <c r="D14" s="64">
        <v>10000</v>
      </c>
      <c r="E14" s="64">
        <v>7500</v>
      </c>
      <c r="F14" s="64">
        <v>15000</v>
      </c>
      <c r="G14" s="6" t="s">
        <v>217</v>
      </c>
      <c r="H14" s="2"/>
      <c r="I14" s="2"/>
      <c r="J14" s="2"/>
      <c r="K14" s="2"/>
      <c r="L14" s="2"/>
      <c r="M14" s="2"/>
      <c r="N14" s="6" t="s">
        <v>911</v>
      </c>
      <c r="O14" s="2"/>
      <c r="P14" s="2"/>
      <c r="Q14" s="2"/>
      <c r="R14" s="2"/>
      <c r="S14" s="2"/>
      <c r="T14" s="2"/>
      <c r="U14" s="2"/>
      <c r="V14" s="2"/>
    </row>
    <row r="15" spans="1:22" ht="15" customHeight="1" x14ac:dyDescent="0.3">
      <c r="A15" s="6" t="s">
        <v>912</v>
      </c>
      <c r="B15" s="6" t="s">
        <v>913</v>
      </c>
      <c r="C15" s="6" t="s">
        <v>901</v>
      </c>
      <c r="D15" s="64">
        <v>35</v>
      </c>
      <c r="E15" s="64">
        <v>30</v>
      </c>
      <c r="F15" s="64">
        <v>45</v>
      </c>
      <c r="G15" s="6" t="s">
        <v>217</v>
      </c>
      <c r="H15" s="2"/>
      <c r="I15" s="2"/>
      <c r="J15" s="2"/>
      <c r="K15" s="2"/>
      <c r="L15" s="2"/>
      <c r="M15" s="2"/>
      <c r="N15" s="2"/>
      <c r="O15" s="2"/>
      <c r="P15" s="2"/>
      <c r="Q15" s="2"/>
      <c r="R15" s="2"/>
      <c r="S15" s="2"/>
      <c r="T15" s="2"/>
      <c r="U15" s="2"/>
      <c r="V15" s="2"/>
    </row>
    <row r="16" spans="1:22" ht="15" customHeight="1" x14ac:dyDescent="0.3">
      <c r="A16" s="6" t="s">
        <v>914</v>
      </c>
      <c r="B16" s="6" t="s">
        <v>915</v>
      </c>
      <c r="C16" s="6" t="s">
        <v>916</v>
      </c>
      <c r="D16" s="68">
        <v>0.06</v>
      </c>
      <c r="E16" s="68">
        <v>0.05</v>
      </c>
      <c r="F16" s="68">
        <v>7.0000000000000007E-2</v>
      </c>
      <c r="G16" s="6" t="s">
        <v>217</v>
      </c>
      <c r="H16" s="2"/>
      <c r="I16" s="2"/>
      <c r="J16" s="2"/>
      <c r="K16" s="2"/>
      <c r="L16" s="2"/>
      <c r="M16" s="2"/>
      <c r="N16" s="6" t="s">
        <v>917</v>
      </c>
      <c r="O16" s="2"/>
      <c r="P16" s="2"/>
      <c r="Q16" s="2"/>
      <c r="R16" s="2"/>
      <c r="S16" s="2"/>
      <c r="T16" s="2"/>
      <c r="U16" s="2"/>
      <c r="V16" s="2"/>
    </row>
    <row r="17" spans="1:22" ht="15" customHeight="1" x14ac:dyDescent="0.3">
      <c r="A17" s="6" t="s">
        <v>918</v>
      </c>
      <c r="B17" s="6" t="s">
        <v>919</v>
      </c>
      <c r="C17" s="6" t="s">
        <v>886</v>
      </c>
      <c r="D17" s="64">
        <v>5000</v>
      </c>
      <c r="E17" s="64">
        <v>4000</v>
      </c>
      <c r="F17" s="64">
        <v>7500</v>
      </c>
      <c r="G17" s="6" t="s">
        <v>217</v>
      </c>
      <c r="H17" s="2"/>
      <c r="I17" s="2"/>
      <c r="J17" s="2"/>
      <c r="K17" s="2"/>
      <c r="L17" s="2"/>
      <c r="M17" s="2"/>
      <c r="N17" s="6" t="s">
        <v>920</v>
      </c>
      <c r="O17" s="2"/>
      <c r="P17" s="2"/>
      <c r="Q17" s="2"/>
      <c r="R17" s="2"/>
      <c r="S17" s="2"/>
      <c r="T17" s="2"/>
      <c r="U17" s="2"/>
      <c r="V17" s="2"/>
    </row>
    <row r="18" spans="1:22" ht="15" customHeight="1" x14ac:dyDescent="0.3">
      <c r="A18" s="6" t="s">
        <v>921</v>
      </c>
      <c r="B18" s="6" t="s">
        <v>922</v>
      </c>
      <c r="C18" s="6" t="s">
        <v>886</v>
      </c>
      <c r="D18" s="64">
        <v>3333</v>
      </c>
      <c r="E18" s="64">
        <v>2500</v>
      </c>
      <c r="F18" s="64">
        <v>5000</v>
      </c>
      <c r="G18" s="6" t="s">
        <v>217</v>
      </c>
      <c r="H18" s="2"/>
      <c r="I18" s="2"/>
      <c r="J18" s="2"/>
      <c r="K18" s="2"/>
      <c r="L18" s="2"/>
      <c r="M18" s="2"/>
      <c r="N18" s="6" t="s">
        <v>923</v>
      </c>
      <c r="O18" s="2"/>
      <c r="P18" s="2"/>
      <c r="Q18" s="2"/>
      <c r="R18" s="2"/>
      <c r="S18" s="2"/>
      <c r="T18" s="2"/>
      <c r="U18" s="2"/>
      <c r="V18" s="2"/>
    </row>
    <row r="19" spans="1:22" ht="15" customHeight="1" x14ac:dyDescent="0.3">
      <c r="A19" s="6" t="s">
        <v>924</v>
      </c>
      <c r="B19" s="6" t="s">
        <v>925</v>
      </c>
      <c r="C19" s="6" t="s">
        <v>886</v>
      </c>
      <c r="D19" s="64">
        <v>5000</v>
      </c>
      <c r="E19" s="64">
        <v>4000</v>
      </c>
      <c r="F19" s="64">
        <v>6500</v>
      </c>
      <c r="G19" s="6" t="s">
        <v>217</v>
      </c>
      <c r="H19" s="2"/>
      <c r="I19" s="2"/>
      <c r="J19" s="2"/>
      <c r="K19" s="2"/>
      <c r="L19" s="2"/>
      <c r="M19" s="2"/>
      <c r="N19" s="2"/>
      <c r="O19" s="2"/>
      <c r="P19" s="2"/>
      <c r="Q19" s="2"/>
      <c r="R19" s="2"/>
      <c r="S19" s="2"/>
      <c r="T19" s="2"/>
      <c r="U19" s="2"/>
      <c r="V19" s="2"/>
    </row>
    <row r="20" spans="1:22" ht="15" customHeight="1" x14ac:dyDescent="0.3">
      <c r="A20" s="6" t="s">
        <v>926</v>
      </c>
      <c r="B20" s="6" t="s">
        <v>927</v>
      </c>
      <c r="C20" s="6" t="s">
        <v>886</v>
      </c>
      <c r="D20" s="64">
        <v>2500</v>
      </c>
      <c r="E20" s="64">
        <v>2000</v>
      </c>
      <c r="F20" s="64">
        <v>3500</v>
      </c>
      <c r="G20" s="6" t="s">
        <v>217</v>
      </c>
      <c r="H20" s="2"/>
      <c r="I20" s="2"/>
      <c r="J20" s="2"/>
      <c r="K20" s="2"/>
      <c r="L20" s="2"/>
      <c r="M20" s="2"/>
      <c r="N20" s="6" t="s">
        <v>928</v>
      </c>
      <c r="O20" s="2"/>
      <c r="P20" s="2"/>
      <c r="Q20" s="2"/>
      <c r="R20" s="2"/>
      <c r="S20" s="2"/>
      <c r="T20" s="2"/>
      <c r="U20" s="2"/>
      <c r="V20" s="2"/>
    </row>
    <row r="21" spans="1:22" ht="15" customHeight="1" x14ac:dyDescent="0.3">
      <c r="A21" s="6" t="s">
        <v>929</v>
      </c>
      <c r="B21" s="6" t="s">
        <v>930</v>
      </c>
      <c r="C21" s="6" t="s">
        <v>886</v>
      </c>
      <c r="D21" s="64">
        <v>3750</v>
      </c>
      <c r="E21" s="64">
        <v>3000</v>
      </c>
      <c r="F21" s="64">
        <v>5000</v>
      </c>
      <c r="G21" s="6" t="s">
        <v>217</v>
      </c>
      <c r="H21" s="2"/>
      <c r="I21" s="2"/>
      <c r="J21" s="2"/>
      <c r="K21" s="2"/>
      <c r="L21" s="2"/>
      <c r="M21" s="2"/>
      <c r="N21" s="6" t="s">
        <v>931</v>
      </c>
      <c r="O21" s="2"/>
      <c r="P21" s="2"/>
      <c r="Q21" s="2"/>
      <c r="R21" s="2"/>
      <c r="S21" s="2"/>
      <c r="T21" s="2"/>
      <c r="U21" s="2"/>
      <c r="V21" s="2"/>
    </row>
    <row r="22" spans="1:22" ht="15" customHeight="1" x14ac:dyDescent="0.3">
      <c r="A22" s="6" t="s">
        <v>932</v>
      </c>
      <c r="B22" s="6" t="s">
        <v>933</v>
      </c>
      <c r="C22" s="6" t="s">
        <v>886</v>
      </c>
      <c r="D22" s="64">
        <v>4000</v>
      </c>
      <c r="E22" s="64">
        <v>3500</v>
      </c>
      <c r="F22" s="64">
        <v>5000</v>
      </c>
      <c r="G22" s="6" t="s">
        <v>217</v>
      </c>
      <c r="H22" s="2"/>
      <c r="I22" s="2"/>
      <c r="J22" s="2"/>
      <c r="K22" s="2"/>
      <c r="L22" s="2"/>
      <c r="M22" s="2"/>
      <c r="N22" s="2"/>
      <c r="O22" s="2"/>
      <c r="P22" s="2"/>
      <c r="Q22" s="2"/>
      <c r="R22" s="2"/>
      <c r="S22" s="2"/>
      <c r="T22" s="2"/>
      <c r="U22" s="2"/>
      <c r="V22" s="2"/>
    </row>
    <row r="23" spans="1:22" ht="15" customHeight="1" x14ac:dyDescent="0.3">
      <c r="A23" s="6" t="s">
        <v>934</v>
      </c>
      <c r="B23" s="6" t="s">
        <v>935</v>
      </c>
      <c r="C23" s="6" t="s">
        <v>886</v>
      </c>
      <c r="D23" s="64">
        <v>10000</v>
      </c>
      <c r="E23" s="64">
        <v>7500</v>
      </c>
      <c r="F23" s="64">
        <v>12500</v>
      </c>
      <c r="G23" s="6" t="s">
        <v>217</v>
      </c>
      <c r="H23" s="2"/>
      <c r="I23" s="2"/>
      <c r="J23" s="2"/>
      <c r="K23" s="2"/>
      <c r="L23" s="2"/>
      <c r="M23" s="2"/>
      <c r="N23" s="6" t="s">
        <v>936</v>
      </c>
      <c r="O23" s="2"/>
      <c r="P23" s="2"/>
      <c r="Q23" s="2"/>
      <c r="R23" s="2"/>
      <c r="S23" s="2"/>
      <c r="T23" s="2"/>
      <c r="U23" s="2"/>
      <c r="V23" s="2"/>
    </row>
    <row r="24" spans="1:22" ht="15" customHeight="1" x14ac:dyDescent="0.3">
      <c r="A24" s="6" t="s">
        <v>937</v>
      </c>
      <c r="B24" s="6" t="s">
        <v>938</v>
      </c>
      <c r="C24" s="6" t="s">
        <v>210</v>
      </c>
      <c r="D24" s="64">
        <v>5000</v>
      </c>
      <c r="E24" s="64">
        <v>5000</v>
      </c>
      <c r="F24" s="64">
        <v>5000</v>
      </c>
      <c r="G24" s="6" t="s">
        <v>217</v>
      </c>
      <c r="H24" s="2"/>
      <c r="I24" s="2"/>
      <c r="J24" s="2"/>
      <c r="K24" s="2"/>
      <c r="L24" s="2"/>
      <c r="M24" s="2"/>
      <c r="N24" s="6" t="s">
        <v>939</v>
      </c>
      <c r="O24" s="2"/>
      <c r="P24" s="2"/>
      <c r="Q24" s="2"/>
      <c r="R24" s="2"/>
      <c r="S24" s="2"/>
      <c r="T24" s="2"/>
      <c r="U24" s="2"/>
      <c r="V24" s="2"/>
    </row>
    <row r="25" spans="1:22" ht="15" customHeight="1" x14ac:dyDescent="0.3">
      <c r="A25" s="6" t="s">
        <v>940</v>
      </c>
      <c r="B25" s="6" t="s">
        <v>265</v>
      </c>
      <c r="C25" s="6" t="s">
        <v>222</v>
      </c>
      <c r="D25" s="64">
        <v>0.4</v>
      </c>
      <c r="E25" s="2"/>
      <c r="F25" s="2"/>
      <c r="G25" s="6" t="s">
        <v>222</v>
      </c>
      <c r="H25" s="72">
        <f>IF(Assumptions!$D$8=1,'Evidence &amp; Market'!$C$38,$D$25)</f>
        <v>0.4</v>
      </c>
      <c r="I25" s="2"/>
      <c r="J25" s="2"/>
      <c r="K25" s="2"/>
      <c r="L25" s="2"/>
      <c r="M25" s="2"/>
      <c r="N25" s="6" t="s">
        <v>941</v>
      </c>
      <c r="O25" s="2"/>
      <c r="P25" s="2"/>
      <c r="Q25" s="2"/>
      <c r="R25" s="2"/>
      <c r="S25" s="2"/>
      <c r="T25" s="2"/>
      <c r="U25" s="2"/>
      <c r="V25" s="2"/>
    </row>
    <row r="26" spans="1:22" ht="15" customHeight="1" x14ac:dyDescent="0.3">
      <c r="A26" s="21" t="s">
        <v>942</v>
      </c>
      <c r="B26" s="10"/>
      <c r="C26" s="10"/>
      <c r="D26" s="10"/>
      <c r="E26" s="10"/>
      <c r="F26" s="10"/>
      <c r="G26" s="10"/>
      <c r="H26" s="10"/>
      <c r="I26" s="10"/>
      <c r="J26" s="10"/>
      <c r="K26" s="10"/>
      <c r="L26" s="10"/>
      <c r="M26" s="10"/>
      <c r="N26" s="10"/>
      <c r="O26" s="2"/>
      <c r="P26" s="2"/>
      <c r="Q26" s="2"/>
      <c r="R26" s="2"/>
      <c r="S26" s="2"/>
      <c r="T26" s="2"/>
      <c r="U26" s="2"/>
      <c r="V26" s="2"/>
    </row>
    <row r="27" spans="1:22" ht="15" customHeight="1" x14ac:dyDescent="0.3">
      <c r="A27" s="6" t="s">
        <v>943</v>
      </c>
      <c r="B27" s="2"/>
      <c r="C27" s="2"/>
      <c r="D27" s="2"/>
      <c r="E27" s="2"/>
      <c r="F27" s="2"/>
      <c r="G27" s="2"/>
      <c r="H27" s="2"/>
      <c r="I27" s="2"/>
      <c r="J27" s="2"/>
      <c r="K27" s="2"/>
      <c r="L27" s="2"/>
      <c r="M27" s="2"/>
      <c r="N27" s="2"/>
      <c r="O27" s="2"/>
      <c r="P27" s="2"/>
      <c r="Q27" s="2"/>
      <c r="R27" s="2"/>
      <c r="S27" s="2"/>
      <c r="T27" s="2"/>
      <c r="U27" s="2"/>
      <c r="V27" s="2"/>
    </row>
    <row r="28" spans="1:22" ht="15" customHeight="1" x14ac:dyDescent="0.3">
      <c r="A28" s="21" t="s">
        <v>879</v>
      </c>
      <c r="B28" s="21" t="s">
        <v>944</v>
      </c>
      <c r="C28" s="21" t="s">
        <v>285</v>
      </c>
      <c r="D28" s="21" t="s">
        <v>102</v>
      </c>
      <c r="E28" s="21" t="s">
        <v>881</v>
      </c>
      <c r="F28" s="21" t="s">
        <v>882</v>
      </c>
      <c r="G28" s="21" t="s">
        <v>286</v>
      </c>
      <c r="H28" s="21"/>
      <c r="I28" s="21"/>
      <c r="J28" s="21"/>
      <c r="K28" s="21"/>
      <c r="L28" s="21"/>
      <c r="M28" s="21"/>
      <c r="N28" s="21" t="s">
        <v>492</v>
      </c>
      <c r="O28" s="2"/>
      <c r="P28" s="2"/>
      <c r="Q28" s="2"/>
      <c r="R28" s="2"/>
      <c r="S28" s="2"/>
      <c r="T28" s="2"/>
      <c r="U28" s="2"/>
      <c r="V28" s="2"/>
    </row>
    <row r="29" spans="1:22" ht="15" customHeight="1" x14ac:dyDescent="0.3">
      <c r="A29" s="6" t="s">
        <v>945</v>
      </c>
      <c r="B29" s="6" t="s">
        <v>946</v>
      </c>
      <c r="C29" s="6" t="s">
        <v>267</v>
      </c>
      <c r="D29" s="69">
        <v>6.2E-2</v>
      </c>
      <c r="E29" s="69">
        <v>6.2E-2</v>
      </c>
      <c r="F29" s="69">
        <v>6.2E-2</v>
      </c>
      <c r="G29" s="6" t="s">
        <v>326</v>
      </c>
      <c r="H29" s="2"/>
      <c r="I29" s="2"/>
      <c r="J29" s="2"/>
      <c r="K29" s="2"/>
      <c r="L29" s="2"/>
      <c r="M29" s="2"/>
      <c r="N29" s="6" t="s">
        <v>495</v>
      </c>
      <c r="O29" s="2"/>
      <c r="P29" s="2"/>
      <c r="Q29" s="2"/>
      <c r="R29" s="2"/>
      <c r="S29" s="2"/>
      <c r="T29" s="2"/>
      <c r="U29" s="2"/>
      <c r="V29" s="2"/>
    </row>
    <row r="30" spans="1:22" ht="15" customHeight="1" x14ac:dyDescent="0.3">
      <c r="A30" s="6" t="s">
        <v>947</v>
      </c>
      <c r="B30" s="6" t="s">
        <v>948</v>
      </c>
      <c r="C30" s="6" t="s">
        <v>218</v>
      </c>
      <c r="D30" s="64">
        <v>184500</v>
      </c>
      <c r="E30" s="64">
        <v>184500</v>
      </c>
      <c r="F30" s="64">
        <v>184500</v>
      </c>
      <c r="G30" s="6" t="s">
        <v>326</v>
      </c>
      <c r="H30" s="2"/>
      <c r="I30" s="2"/>
      <c r="J30" s="2"/>
      <c r="K30" s="2"/>
      <c r="L30" s="2"/>
      <c r="M30" s="2"/>
      <c r="N30" s="6" t="s">
        <v>949</v>
      </c>
      <c r="O30" s="2"/>
      <c r="P30" s="2"/>
      <c r="Q30" s="2"/>
      <c r="R30" s="2"/>
      <c r="S30" s="2"/>
      <c r="T30" s="2"/>
      <c r="U30" s="2"/>
      <c r="V30" s="2"/>
    </row>
    <row r="31" spans="1:22" ht="15" customHeight="1" x14ac:dyDescent="0.3">
      <c r="A31" s="6" t="s">
        <v>950</v>
      </c>
      <c r="B31" s="6" t="s">
        <v>951</v>
      </c>
      <c r="C31" s="6" t="s">
        <v>267</v>
      </c>
      <c r="D31" s="69">
        <v>1.4500000000000001E-2</v>
      </c>
      <c r="E31" s="69">
        <v>1.4500000000000001E-2</v>
      </c>
      <c r="F31" s="69">
        <v>1.4500000000000001E-2</v>
      </c>
      <c r="G31" s="6" t="s">
        <v>326</v>
      </c>
      <c r="H31" s="2"/>
      <c r="I31" s="2"/>
      <c r="J31" s="2"/>
      <c r="K31" s="2"/>
      <c r="L31" s="2"/>
      <c r="M31" s="2"/>
      <c r="N31" s="6" t="s">
        <v>952</v>
      </c>
      <c r="O31" s="2"/>
      <c r="P31" s="2"/>
      <c r="Q31" s="2"/>
      <c r="R31" s="2"/>
      <c r="S31" s="2"/>
      <c r="T31" s="2"/>
      <c r="U31" s="2"/>
      <c r="V31" s="2"/>
    </row>
    <row r="32" spans="1:22" ht="15" customHeight="1" x14ac:dyDescent="0.3">
      <c r="A32" s="6" t="s">
        <v>953</v>
      </c>
      <c r="B32" s="6" t="s">
        <v>954</v>
      </c>
      <c r="C32" s="6" t="s">
        <v>218</v>
      </c>
      <c r="D32" s="64">
        <v>42</v>
      </c>
      <c r="E32" s="64">
        <v>42</v>
      </c>
      <c r="F32" s="64">
        <v>42</v>
      </c>
      <c r="G32" s="6" t="s">
        <v>326</v>
      </c>
      <c r="H32" s="2"/>
      <c r="I32" s="2"/>
      <c r="J32" s="2"/>
      <c r="K32" s="2"/>
      <c r="L32" s="2"/>
      <c r="M32" s="2"/>
      <c r="N32" s="6" t="s">
        <v>955</v>
      </c>
      <c r="O32" s="2"/>
      <c r="P32" s="2"/>
      <c r="Q32" s="2"/>
      <c r="R32" s="2"/>
      <c r="S32" s="2"/>
      <c r="T32" s="2"/>
      <c r="U32" s="2"/>
      <c r="V32" s="2"/>
    </row>
    <row r="33" spans="1:26" ht="15" customHeight="1" x14ac:dyDescent="0.3">
      <c r="A33" s="6" t="s">
        <v>956</v>
      </c>
      <c r="B33" s="6" t="s">
        <v>957</v>
      </c>
      <c r="C33" s="6" t="s">
        <v>218</v>
      </c>
      <c r="D33" s="64">
        <v>250</v>
      </c>
      <c r="E33" s="64">
        <v>150</v>
      </c>
      <c r="F33" s="64">
        <v>400</v>
      </c>
      <c r="G33" s="6" t="s">
        <v>222</v>
      </c>
      <c r="H33" s="2"/>
      <c r="I33" s="2"/>
      <c r="J33" s="2"/>
      <c r="K33" s="2"/>
      <c r="L33" s="2"/>
      <c r="M33" s="2"/>
      <c r="N33" s="6" t="s">
        <v>958</v>
      </c>
      <c r="O33" s="2"/>
      <c r="P33" s="2"/>
      <c r="Q33" s="2"/>
      <c r="R33" s="2"/>
      <c r="S33" s="2"/>
      <c r="T33" s="2"/>
      <c r="U33" s="2"/>
      <c r="V33" s="2"/>
    </row>
    <row r="34" spans="1:26" ht="15" customHeight="1" x14ac:dyDescent="0.3">
      <c r="A34" s="6" t="s">
        <v>959</v>
      </c>
      <c r="B34" s="6" t="s">
        <v>960</v>
      </c>
      <c r="C34" s="6" t="s">
        <v>218</v>
      </c>
      <c r="D34" s="64">
        <v>18500</v>
      </c>
      <c r="E34" s="64">
        <v>15000</v>
      </c>
      <c r="F34" s="64">
        <v>20000</v>
      </c>
      <c r="G34" s="6" t="s">
        <v>220</v>
      </c>
      <c r="H34" s="2"/>
      <c r="I34" s="2"/>
      <c r="J34" s="2"/>
      <c r="K34" s="2"/>
      <c r="L34" s="2"/>
      <c r="M34" s="2"/>
      <c r="N34" s="6" t="s">
        <v>961</v>
      </c>
      <c r="O34" s="2"/>
      <c r="P34" s="2"/>
      <c r="Q34" s="2"/>
      <c r="R34" s="2"/>
      <c r="S34" s="2"/>
      <c r="T34" s="2"/>
      <c r="U34" s="2"/>
      <c r="V34" s="2"/>
    </row>
    <row r="35" spans="1:26" ht="15" customHeight="1" x14ac:dyDescent="0.3">
      <c r="A35" s="6" t="s">
        <v>962</v>
      </c>
      <c r="B35" s="6" t="s">
        <v>963</v>
      </c>
      <c r="C35" s="6" t="s">
        <v>267</v>
      </c>
      <c r="D35" s="69">
        <v>0.8</v>
      </c>
      <c r="E35" s="69">
        <v>0.75</v>
      </c>
      <c r="F35" s="69">
        <v>0.85</v>
      </c>
      <c r="G35" s="6" t="s">
        <v>326</v>
      </c>
      <c r="H35" s="2"/>
      <c r="I35" s="2"/>
      <c r="J35" s="2"/>
      <c r="K35" s="2"/>
      <c r="L35" s="2"/>
      <c r="M35" s="2"/>
      <c r="N35" s="6" t="s">
        <v>964</v>
      </c>
      <c r="O35" s="2"/>
      <c r="P35" s="2"/>
      <c r="Q35" s="2"/>
      <c r="R35" s="2"/>
      <c r="S35" s="2"/>
      <c r="T35" s="2"/>
      <c r="U35" s="2"/>
      <c r="V35" s="2"/>
    </row>
    <row r="36" spans="1:26" ht="15" customHeight="1" x14ac:dyDescent="0.3">
      <c r="A36" s="6" t="s">
        <v>965</v>
      </c>
      <c r="B36" s="6" t="s">
        <v>966</v>
      </c>
      <c r="C36" s="6" t="s">
        <v>267</v>
      </c>
      <c r="D36" s="69">
        <v>0.9</v>
      </c>
      <c r="E36" s="69">
        <v>0.85</v>
      </c>
      <c r="F36" s="69">
        <v>0.95</v>
      </c>
      <c r="G36" s="6" t="s">
        <v>211</v>
      </c>
      <c r="H36" s="2"/>
      <c r="I36" s="2"/>
      <c r="J36" s="2"/>
      <c r="K36" s="2"/>
      <c r="L36" s="2"/>
      <c r="M36" s="2"/>
      <c r="N36" s="6" t="s">
        <v>967</v>
      </c>
      <c r="O36" s="2"/>
      <c r="P36" s="2"/>
      <c r="Q36" s="2"/>
      <c r="R36" s="2"/>
      <c r="S36" s="2"/>
      <c r="T36" s="2"/>
      <c r="U36" s="2"/>
      <c r="V36" s="2"/>
    </row>
    <row r="37" spans="1:26" ht="15" customHeight="1" x14ac:dyDescent="0.3">
      <c r="A37" s="6" t="s">
        <v>968</v>
      </c>
      <c r="B37" s="6" t="s">
        <v>969</v>
      </c>
      <c r="C37" s="6" t="s">
        <v>265</v>
      </c>
      <c r="D37" s="68">
        <v>1.05</v>
      </c>
      <c r="E37" s="68">
        <v>1</v>
      </c>
      <c r="F37" s="68">
        <v>1.05</v>
      </c>
      <c r="G37" s="6" t="s">
        <v>222</v>
      </c>
      <c r="H37" s="2"/>
      <c r="I37" s="2"/>
      <c r="J37" s="2"/>
      <c r="K37" s="2"/>
      <c r="L37" s="2"/>
      <c r="M37" s="2"/>
      <c r="N37" s="6" t="s">
        <v>970</v>
      </c>
      <c r="O37" s="2"/>
      <c r="P37" s="2"/>
      <c r="Q37" s="2"/>
      <c r="R37" s="2"/>
      <c r="S37" s="2"/>
      <c r="T37" s="2"/>
      <c r="U37" s="2"/>
      <c r="V37" s="2"/>
    </row>
    <row r="38" spans="1:26" ht="15" customHeight="1" x14ac:dyDescent="0.3">
      <c r="A38" s="6" t="s">
        <v>971</v>
      </c>
      <c r="B38" s="6" t="s">
        <v>972</v>
      </c>
      <c r="C38" s="6" t="s">
        <v>267</v>
      </c>
      <c r="D38" s="69">
        <v>0.04</v>
      </c>
      <c r="E38" s="69">
        <v>0.03</v>
      </c>
      <c r="F38" s="69">
        <v>0.05</v>
      </c>
      <c r="G38" s="6" t="s">
        <v>222</v>
      </c>
      <c r="H38" s="2"/>
      <c r="I38" s="2"/>
      <c r="J38" s="2"/>
      <c r="K38" s="2"/>
      <c r="L38" s="2"/>
      <c r="M38" s="2"/>
      <c r="N38" s="6" t="s">
        <v>973</v>
      </c>
      <c r="O38" s="2"/>
      <c r="P38" s="2"/>
      <c r="Q38" s="2"/>
      <c r="R38" s="2"/>
      <c r="S38" s="2"/>
      <c r="T38" s="2"/>
      <c r="U38" s="2"/>
      <c r="V38" s="2"/>
    </row>
    <row r="39" spans="1:26" ht="15" customHeight="1" x14ac:dyDescent="0.3">
      <c r="A39" s="6" t="s">
        <v>974</v>
      </c>
      <c r="B39" s="6" t="s">
        <v>975</v>
      </c>
      <c r="C39" s="6" t="s">
        <v>218</v>
      </c>
      <c r="D39" s="64">
        <v>360000</v>
      </c>
      <c r="E39" s="64">
        <v>360000</v>
      </c>
      <c r="F39" s="64">
        <v>360000</v>
      </c>
      <c r="G39" s="6" t="s">
        <v>326</v>
      </c>
      <c r="H39" s="2"/>
      <c r="I39" s="2"/>
      <c r="J39" s="2"/>
      <c r="K39" s="2"/>
      <c r="L39" s="2"/>
      <c r="M39" s="2"/>
      <c r="N39" s="6" t="s">
        <v>976</v>
      </c>
      <c r="O39" s="2"/>
      <c r="P39" s="2"/>
      <c r="Q39" s="2"/>
      <c r="R39" s="2"/>
      <c r="S39" s="2"/>
      <c r="T39" s="2"/>
      <c r="U39" s="2"/>
      <c r="V39" s="2"/>
    </row>
    <row r="40" spans="1:26" ht="15" customHeight="1" x14ac:dyDescent="0.3">
      <c r="A40" s="6" t="s">
        <v>977</v>
      </c>
      <c r="B40" s="6" t="s">
        <v>511</v>
      </c>
      <c r="C40" s="6" t="s">
        <v>218</v>
      </c>
      <c r="D40" s="64">
        <v>1488</v>
      </c>
      <c r="E40" s="64">
        <v>1488</v>
      </c>
      <c r="F40" s="64">
        <v>1488</v>
      </c>
      <c r="G40" s="6" t="s">
        <v>326</v>
      </c>
      <c r="H40" s="2"/>
      <c r="I40" s="2"/>
      <c r="J40" s="2"/>
      <c r="K40" s="2"/>
      <c r="L40" s="2"/>
      <c r="M40" s="2"/>
      <c r="N40" s="6" t="s">
        <v>978</v>
      </c>
      <c r="O40" s="2"/>
      <c r="P40" s="2"/>
      <c r="Q40" s="2"/>
      <c r="R40" s="2"/>
      <c r="S40" s="2"/>
      <c r="T40" s="2"/>
      <c r="U40" s="2"/>
      <c r="V40" s="2"/>
    </row>
    <row r="41" spans="1:26" ht="15" customHeight="1" x14ac:dyDescent="0.3">
      <c r="A41" s="6" t="s">
        <v>979</v>
      </c>
      <c r="B41" s="6" t="s">
        <v>980</v>
      </c>
      <c r="C41" s="6" t="s">
        <v>218</v>
      </c>
      <c r="D41" s="64">
        <v>1000</v>
      </c>
      <c r="E41" s="64">
        <v>500</v>
      </c>
      <c r="F41" s="64">
        <v>2000</v>
      </c>
      <c r="G41" s="6" t="s">
        <v>222</v>
      </c>
      <c r="H41" s="2"/>
      <c r="I41" s="2"/>
      <c r="J41" s="2"/>
      <c r="K41" s="2"/>
      <c r="L41" s="2"/>
      <c r="M41" s="2"/>
      <c r="N41" s="6" t="s">
        <v>981</v>
      </c>
      <c r="O41" s="2"/>
      <c r="P41" s="2"/>
      <c r="Q41" s="2"/>
      <c r="R41" s="2"/>
      <c r="S41" s="2"/>
      <c r="T41" s="2"/>
      <c r="U41" s="2"/>
      <c r="V41" s="2"/>
    </row>
    <row r="42" spans="1:26" ht="15" customHeight="1" x14ac:dyDescent="0.3">
      <c r="A42" s="6" t="s">
        <v>982</v>
      </c>
      <c r="B42" s="6" t="s">
        <v>983</v>
      </c>
      <c r="C42" s="6" t="s">
        <v>218</v>
      </c>
      <c r="D42" s="63">
        <f>D34*D35*D36*D37</f>
        <v>13986</v>
      </c>
      <c r="E42" s="2"/>
      <c r="F42" s="2"/>
      <c r="G42" s="6" t="s">
        <v>984</v>
      </c>
      <c r="H42" s="2"/>
      <c r="I42" s="2"/>
      <c r="J42" s="2"/>
      <c r="K42" s="2"/>
      <c r="L42" s="2"/>
      <c r="M42" s="2"/>
      <c r="N42" s="6" t="s">
        <v>985</v>
      </c>
      <c r="O42" s="2"/>
      <c r="P42" s="2"/>
      <c r="Q42" s="2"/>
      <c r="R42" s="2"/>
      <c r="S42" s="2"/>
      <c r="T42" s="2"/>
      <c r="U42" s="2"/>
      <c r="V42" s="2"/>
    </row>
    <row r="43" spans="1:26" ht="15" customHeight="1" x14ac:dyDescent="0.3">
      <c r="A43" s="2"/>
      <c r="B43" s="2"/>
      <c r="C43" s="2"/>
      <c r="D43" s="2"/>
      <c r="E43" s="2"/>
      <c r="F43" s="2"/>
      <c r="G43" s="2"/>
      <c r="H43" s="2"/>
      <c r="I43" s="2"/>
      <c r="J43" s="2"/>
      <c r="K43" s="2"/>
      <c r="L43" s="2"/>
      <c r="M43" s="2"/>
      <c r="N43" s="2"/>
      <c r="O43" s="2"/>
      <c r="P43" s="2"/>
      <c r="Q43" s="2"/>
      <c r="R43" s="2"/>
      <c r="S43" s="2"/>
      <c r="T43" s="2"/>
      <c r="U43" s="2"/>
      <c r="V43" s="2"/>
    </row>
    <row r="44" spans="1:26" ht="15" customHeight="1" x14ac:dyDescent="0.3">
      <c r="A44" s="21" t="s">
        <v>986</v>
      </c>
      <c r="B44" s="10"/>
      <c r="C44" s="10"/>
      <c r="D44" s="10"/>
      <c r="E44" s="10"/>
      <c r="F44" s="10"/>
      <c r="G44" s="10"/>
      <c r="H44" s="10"/>
      <c r="I44" s="10"/>
      <c r="J44" s="10"/>
      <c r="K44" s="10"/>
      <c r="L44" s="10"/>
      <c r="M44" s="10"/>
      <c r="N44" s="10"/>
      <c r="O44" s="2"/>
      <c r="P44" s="2"/>
      <c r="Q44" s="2"/>
      <c r="R44" s="2"/>
      <c r="S44" s="2"/>
      <c r="T44" s="2"/>
      <c r="U44" s="2"/>
      <c r="V44" s="2"/>
    </row>
    <row r="45" spans="1:26" ht="15" customHeight="1" x14ac:dyDescent="0.3">
      <c r="A45" s="6" t="s">
        <v>987</v>
      </c>
      <c r="B45" s="2"/>
      <c r="C45" s="2"/>
      <c r="D45" s="2"/>
      <c r="E45" s="2"/>
      <c r="F45" s="2"/>
      <c r="G45" s="2"/>
      <c r="H45" s="2"/>
      <c r="I45" s="2"/>
      <c r="J45" s="2"/>
      <c r="K45" s="2"/>
      <c r="L45" s="2"/>
      <c r="M45" s="2"/>
      <c r="N45" s="2"/>
      <c r="O45" s="2"/>
      <c r="P45" s="2"/>
      <c r="Q45" s="2"/>
      <c r="R45" s="2"/>
      <c r="S45" s="2"/>
      <c r="T45" s="2"/>
      <c r="U45" s="2"/>
      <c r="V45" s="2"/>
    </row>
    <row r="46" spans="1:26" ht="15" customHeight="1" x14ac:dyDescent="0.3">
      <c r="A46" s="21" t="s">
        <v>988</v>
      </c>
      <c r="B46" s="21" t="s">
        <v>989</v>
      </c>
      <c r="C46" s="21" t="s">
        <v>880</v>
      </c>
      <c r="D46" s="21" t="s">
        <v>990</v>
      </c>
      <c r="E46" s="21" t="s">
        <v>991</v>
      </c>
      <c r="F46" s="21" t="s">
        <v>992</v>
      </c>
      <c r="G46" s="21" t="s">
        <v>993</v>
      </c>
      <c r="H46" s="21" t="s">
        <v>994</v>
      </c>
      <c r="I46" s="21" t="s">
        <v>995</v>
      </c>
      <c r="J46" s="21" t="s">
        <v>996</v>
      </c>
      <c r="K46" s="21" t="s">
        <v>997</v>
      </c>
      <c r="L46" s="21" t="s">
        <v>998</v>
      </c>
      <c r="M46" s="21" t="s">
        <v>286</v>
      </c>
      <c r="N46" s="21" t="s">
        <v>323</v>
      </c>
      <c r="O46" s="21" t="s">
        <v>999</v>
      </c>
      <c r="P46" s="21" t="s">
        <v>1000</v>
      </c>
      <c r="Q46" s="21" t="s">
        <v>1001</v>
      </c>
      <c r="R46" s="21" t="s">
        <v>1002</v>
      </c>
      <c r="S46" s="21" t="s">
        <v>1003</v>
      </c>
      <c r="T46" s="21" t="s">
        <v>1004</v>
      </c>
      <c r="U46" s="21" t="s">
        <v>1005</v>
      </c>
      <c r="V46" s="6" t="s">
        <v>1006</v>
      </c>
      <c r="W46" s="21" t="s">
        <v>1007</v>
      </c>
      <c r="X46" s="21" t="s">
        <v>1008</v>
      </c>
      <c r="Y46" s="21" t="s">
        <v>1009</v>
      </c>
      <c r="Z46" s="21" t="s">
        <v>1010</v>
      </c>
    </row>
    <row r="47" spans="1:26" ht="15" customHeight="1" x14ac:dyDescent="0.3">
      <c r="A47" s="6" t="s">
        <v>1011</v>
      </c>
      <c r="B47" s="6" t="s">
        <v>1012</v>
      </c>
      <c r="C47" s="6" t="s">
        <v>890</v>
      </c>
      <c r="D47" s="63">
        <f>D8</f>
        <v>10</v>
      </c>
      <c r="E47" s="64">
        <v>0</v>
      </c>
      <c r="F47" s="64">
        <v>120000</v>
      </c>
      <c r="G47" s="69">
        <v>0.15</v>
      </c>
      <c r="H47" s="63">
        <f t="shared" ref="H47:H60" si="0">F47*(1+G47)</f>
        <v>138000</v>
      </c>
      <c r="I47" s="63">
        <f t="shared" ref="I47:I60" si="1">H47+MIN(H47,$D$30)*$D$29+H47*$D$31+$D$32+$D$33+$D$42+MIN(F47,$D$39)*$D$38+$D$40+$D$41</f>
        <v>170123</v>
      </c>
      <c r="J47" s="6" t="s">
        <v>1013</v>
      </c>
      <c r="K47" s="6" t="s">
        <v>1014</v>
      </c>
      <c r="L47" s="6" t="s">
        <v>1015</v>
      </c>
      <c r="M47" s="6" t="s">
        <v>217</v>
      </c>
      <c r="N47" s="6" t="s">
        <v>1016</v>
      </c>
      <c r="O47" s="13">
        <f>D47*INDEX(Assumptions!$D$17:$F$17,1,2)</f>
        <v>2500</v>
      </c>
      <c r="P47" s="63">
        <f t="shared" ref="P47:P60" si="2">IF(L47="YES",1,0)</f>
        <v>1</v>
      </c>
      <c r="Q47" s="63">
        <f t="shared" ref="Q47:Q60" si="3">IF(J47="RETAIN LOCAL",1,0)</f>
        <v>1</v>
      </c>
      <c r="R47" s="63">
        <f t="shared" ref="R47:R60" si="4">IF(J47="CENTRALIZE",1,0)</f>
        <v>0</v>
      </c>
      <c r="S47" s="63">
        <f t="shared" ref="S47:S60" si="5">IF(J47="NO CREDIT",1,0)</f>
        <v>0</v>
      </c>
      <c r="T47" s="64">
        <v>0</v>
      </c>
      <c r="U47" s="64">
        <v>0</v>
      </c>
      <c r="V47" s="2"/>
      <c r="W47" s="84">
        <v>0</v>
      </c>
      <c r="X47" s="84">
        <v>1</v>
      </c>
      <c r="Y47" s="84">
        <v>0</v>
      </c>
      <c r="Z47" s="84">
        <v>1</v>
      </c>
    </row>
    <row r="48" spans="1:26" ht="15" customHeight="1" x14ac:dyDescent="0.3">
      <c r="A48" s="6" t="s">
        <v>1017</v>
      </c>
      <c r="B48" s="6" t="s">
        <v>1018</v>
      </c>
      <c r="C48" s="6" t="s">
        <v>894</v>
      </c>
      <c r="D48" s="63">
        <f>D9</f>
        <v>50</v>
      </c>
      <c r="E48" s="64">
        <v>0</v>
      </c>
      <c r="F48" s="64">
        <v>115000</v>
      </c>
      <c r="G48" s="69">
        <v>0.15</v>
      </c>
      <c r="H48" s="63">
        <f t="shared" si="0"/>
        <v>132250</v>
      </c>
      <c r="I48" s="63">
        <f t="shared" si="1"/>
        <v>163733.125</v>
      </c>
      <c r="J48" s="6" t="s">
        <v>1013</v>
      </c>
      <c r="K48" s="6" t="s">
        <v>1014</v>
      </c>
      <c r="L48" s="6" t="s">
        <v>1015</v>
      </c>
      <c r="M48" s="6" t="s">
        <v>217</v>
      </c>
      <c r="N48" s="6" t="s">
        <v>1019</v>
      </c>
      <c r="O48" s="13">
        <f>D48*INDEX(Assumptions!$D$17:$F$17,1,2)</f>
        <v>12500</v>
      </c>
      <c r="P48" s="63">
        <f t="shared" si="2"/>
        <v>1</v>
      </c>
      <c r="Q48" s="63">
        <f t="shared" si="3"/>
        <v>1</v>
      </c>
      <c r="R48" s="63">
        <f t="shared" si="4"/>
        <v>0</v>
      </c>
      <c r="S48" s="63">
        <f t="shared" si="5"/>
        <v>0</v>
      </c>
      <c r="T48" s="64">
        <v>0</v>
      </c>
      <c r="U48" s="64">
        <v>0</v>
      </c>
      <c r="V48" s="2"/>
      <c r="W48" s="84">
        <v>0</v>
      </c>
      <c r="X48" s="84">
        <v>1</v>
      </c>
      <c r="Y48" s="84">
        <v>0</v>
      </c>
      <c r="Z48" s="84">
        <v>1</v>
      </c>
    </row>
    <row r="49" spans="1:26" ht="15" customHeight="1" x14ac:dyDescent="0.3">
      <c r="A49" s="6" t="s">
        <v>1020</v>
      </c>
      <c r="B49" s="6" t="s">
        <v>1021</v>
      </c>
      <c r="C49" s="6" t="s">
        <v>886</v>
      </c>
      <c r="D49" s="63">
        <f>D13</f>
        <v>10000</v>
      </c>
      <c r="E49" s="85">
        <f>$D$12</f>
        <v>5000</v>
      </c>
      <c r="F49" s="64">
        <v>148000</v>
      </c>
      <c r="G49" s="69">
        <v>0.2</v>
      </c>
      <c r="H49" s="63">
        <f t="shared" si="0"/>
        <v>177600</v>
      </c>
      <c r="I49" s="63">
        <f t="shared" si="1"/>
        <v>213872.40000000002</v>
      </c>
      <c r="J49" s="6" t="s">
        <v>1013</v>
      </c>
      <c r="K49" s="6" t="s">
        <v>1014</v>
      </c>
      <c r="L49" s="6" t="s">
        <v>1015</v>
      </c>
      <c r="M49" s="6" t="s">
        <v>217</v>
      </c>
      <c r="N49" s="6" t="s">
        <v>1022</v>
      </c>
      <c r="O49" s="63">
        <f>D49</f>
        <v>10000</v>
      </c>
      <c r="P49" s="63">
        <f t="shared" si="2"/>
        <v>1</v>
      </c>
      <c r="Q49" s="63">
        <f t="shared" si="3"/>
        <v>1</v>
      </c>
      <c r="R49" s="63">
        <f t="shared" si="4"/>
        <v>0</v>
      </c>
      <c r="S49" s="63">
        <f t="shared" si="5"/>
        <v>0</v>
      </c>
      <c r="T49" s="64">
        <v>0</v>
      </c>
      <c r="U49" s="64">
        <v>0</v>
      </c>
      <c r="V49" s="2"/>
      <c r="W49" s="84">
        <v>0</v>
      </c>
      <c r="X49" s="84">
        <v>1</v>
      </c>
      <c r="Y49" s="84">
        <v>0</v>
      </c>
      <c r="Z49" s="84">
        <v>1</v>
      </c>
    </row>
    <row r="50" spans="1:26" ht="15" customHeight="1" x14ac:dyDescent="0.3">
      <c r="A50" s="6" t="s">
        <v>1023</v>
      </c>
      <c r="B50" s="6" t="s">
        <v>1024</v>
      </c>
      <c r="C50" s="6" t="s">
        <v>1025</v>
      </c>
      <c r="D50" s="64">
        <v>0</v>
      </c>
      <c r="E50" s="64">
        <v>0</v>
      </c>
      <c r="F50" s="64">
        <v>237500</v>
      </c>
      <c r="G50" s="69">
        <v>0.27500000000000002</v>
      </c>
      <c r="H50" s="63">
        <f t="shared" si="0"/>
        <v>302812.5</v>
      </c>
      <c r="I50" s="63">
        <f t="shared" si="1"/>
        <v>344908.28125</v>
      </c>
      <c r="J50" s="6" t="s">
        <v>1026</v>
      </c>
      <c r="K50" s="6" t="s">
        <v>1014</v>
      </c>
      <c r="L50" s="6" t="s">
        <v>1027</v>
      </c>
      <c r="M50" s="6" t="s">
        <v>217</v>
      </c>
      <c r="N50" s="6" t="s">
        <v>1028</v>
      </c>
      <c r="O50" s="63">
        <f>0</f>
        <v>0</v>
      </c>
      <c r="P50" s="63">
        <f t="shared" si="2"/>
        <v>0</v>
      </c>
      <c r="Q50" s="63">
        <f t="shared" si="3"/>
        <v>0</v>
      </c>
      <c r="R50" s="63">
        <f t="shared" si="4"/>
        <v>0</v>
      </c>
      <c r="S50" s="63">
        <f t="shared" si="5"/>
        <v>1</v>
      </c>
      <c r="T50" s="64">
        <v>1</v>
      </c>
      <c r="U50" s="64">
        <v>0</v>
      </c>
      <c r="V50" s="2"/>
      <c r="W50" s="84">
        <v>0</v>
      </c>
      <c r="X50" s="84">
        <v>1</v>
      </c>
      <c r="Y50" s="84">
        <v>0</v>
      </c>
      <c r="Z50" s="84">
        <v>1</v>
      </c>
    </row>
    <row r="51" spans="1:26" ht="15" customHeight="1" x14ac:dyDescent="0.3">
      <c r="A51" s="6" t="s">
        <v>1029</v>
      </c>
      <c r="B51" s="6" t="s">
        <v>1030</v>
      </c>
      <c r="C51" s="6" t="s">
        <v>1031</v>
      </c>
      <c r="D51" s="63">
        <f>D14</f>
        <v>10000</v>
      </c>
      <c r="E51" s="85">
        <f>$D$14</f>
        <v>10000</v>
      </c>
      <c r="F51" s="64">
        <v>280000</v>
      </c>
      <c r="G51" s="69">
        <v>0.32500000000000001</v>
      </c>
      <c r="H51" s="63">
        <f t="shared" si="0"/>
        <v>371000</v>
      </c>
      <c r="I51" s="63">
        <f t="shared" si="1"/>
        <v>415784.5</v>
      </c>
      <c r="J51" s="6" t="s">
        <v>1032</v>
      </c>
      <c r="K51" s="6" t="s">
        <v>1033</v>
      </c>
      <c r="L51" s="6" t="s">
        <v>1027</v>
      </c>
      <c r="M51" s="6" t="s">
        <v>217</v>
      </c>
      <c r="N51" s="6" t="s">
        <v>1034</v>
      </c>
      <c r="O51" s="63">
        <f>0</f>
        <v>0</v>
      </c>
      <c r="P51" s="63">
        <f t="shared" si="2"/>
        <v>0</v>
      </c>
      <c r="Q51" s="63">
        <f t="shared" si="3"/>
        <v>0</v>
      </c>
      <c r="R51" s="63">
        <f t="shared" si="4"/>
        <v>1</v>
      </c>
      <c r="S51" s="63">
        <f t="shared" si="5"/>
        <v>0</v>
      </c>
      <c r="T51" s="64">
        <v>1</v>
      </c>
      <c r="U51" s="64">
        <v>0</v>
      </c>
      <c r="V51" s="2"/>
      <c r="W51" s="84">
        <v>0</v>
      </c>
      <c r="X51" s="84">
        <v>1</v>
      </c>
      <c r="Y51" s="84">
        <v>0</v>
      </c>
      <c r="Z51" s="84">
        <v>1</v>
      </c>
    </row>
    <row r="52" spans="1:26" ht="15" customHeight="1" x14ac:dyDescent="0.3">
      <c r="A52" s="6" t="s">
        <v>1035</v>
      </c>
      <c r="B52" s="6" t="s">
        <v>1036</v>
      </c>
      <c r="C52" s="6" t="s">
        <v>901</v>
      </c>
      <c r="D52" s="63">
        <f>D15</f>
        <v>35</v>
      </c>
      <c r="E52" s="64">
        <v>0</v>
      </c>
      <c r="F52" s="64">
        <v>130000</v>
      </c>
      <c r="G52" s="69">
        <v>0.15</v>
      </c>
      <c r="H52" s="63">
        <f t="shared" si="0"/>
        <v>149500</v>
      </c>
      <c r="I52" s="63">
        <f t="shared" si="1"/>
        <v>182902.75</v>
      </c>
      <c r="J52" s="6" t="s">
        <v>1032</v>
      </c>
      <c r="K52" s="6" t="s">
        <v>1033</v>
      </c>
      <c r="L52" s="6" t="s">
        <v>1027</v>
      </c>
      <c r="M52" s="6" t="s">
        <v>217</v>
      </c>
      <c r="N52" s="6" t="s">
        <v>1037</v>
      </c>
      <c r="O52" s="13">
        <f>D52*INDEX(Assumptions!$D$17:$F$17,1,2)</f>
        <v>8750</v>
      </c>
      <c r="P52" s="63">
        <f t="shared" si="2"/>
        <v>0</v>
      </c>
      <c r="Q52" s="63">
        <f t="shared" si="3"/>
        <v>0</v>
      </c>
      <c r="R52" s="63">
        <f t="shared" si="4"/>
        <v>1</v>
      </c>
      <c r="S52" s="63">
        <f t="shared" si="5"/>
        <v>0</v>
      </c>
      <c r="T52" s="64">
        <v>0</v>
      </c>
      <c r="U52" s="64">
        <v>0</v>
      </c>
      <c r="V52" s="2"/>
      <c r="W52" s="84">
        <v>15000</v>
      </c>
      <c r="X52" s="84">
        <v>1</v>
      </c>
      <c r="Y52" s="84">
        <v>1</v>
      </c>
      <c r="Z52" s="84">
        <v>1</v>
      </c>
    </row>
    <row r="53" spans="1:26" ht="15" customHeight="1" x14ac:dyDescent="0.3">
      <c r="A53" s="6" t="s">
        <v>1038</v>
      </c>
      <c r="B53" s="6" t="s">
        <v>1039</v>
      </c>
      <c r="C53" s="6" t="s">
        <v>901</v>
      </c>
      <c r="D53" s="63">
        <f>D11</f>
        <v>10</v>
      </c>
      <c r="E53" s="64">
        <v>0</v>
      </c>
      <c r="F53" s="64">
        <v>75000</v>
      </c>
      <c r="G53" s="69">
        <v>0.08</v>
      </c>
      <c r="H53" s="63">
        <f t="shared" si="0"/>
        <v>81000</v>
      </c>
      <c r="I53" s="63">
        <f t="shared" si="1"/>
        <v>106962.5</v>
      </c>
      <c r="J53" s="6" t="s">
        <v>1032</v>
      </c>
      <c r="K53" s="6" t="s">
        <v>1033</v>
      </c>
      <c r="L53" s="6" t="s">
        <v>1027</v>
      </c>
      <c r="M53" s="6" t="s">
        <v>217</v>
      </c>
      <c r="N53" s="6" t="s">
        <v>1040</v>
      </c>
      <c r="O53" s="13">
        <f>D53*INDEX(Assumptions!$D$17:$F$17,1,2)</f>
        <v>2500</v>
      </c>
      <c r="P53" s="63">
        <f t="shared" si="2"/>
        <v>0</v>
      </c>
      <c r="Q53" s="63">
        <f t="shared" si="3"/>
        <v>0</v>
      </c>
      <c r="R53" s="63">
        <f t="shared" si="4"/>
        <v>1</v>
      </c>
      <c r="S53" s="63">
        <f t="shared" si="5"/>
        <v>0</v>
      </c>
      <c r="T53" s="64">
        <v>0</v>
      </c>
      <c r="U53" s="64">
        <v>0</v>
      </c>
      <c r="V53" s="2"/>
      <c r="W53" s="84">
        <v>6000</v>
      </c>
      <c r="X53" s="84">
        <v>1</v>
      </c>
      <c r="Y53" s="84">
        <v>1</v>
      </c>
      <c r="Z53" s="84">
        <v>1</v>
      </c>
    </row>
    <row r="54" spans="1:26" ht="15" customHeight="1" x14ac:dyDescent="0.3">
      <c r="A54" s="6" t="s">
        <v>1041</v>
      </c>
      <c r="B54" s="6" t="s">
        <v>1042</v>
      </c>
      <c r="C54" s="6" t="s">
        <v>916</v>
      </c>
      <c r="D54" s="63">
        <f t="shared" ref="D54:D59" si="6">D16</f>
        <v>0.06</v>
      </c>
      <c r="E54" s="64">
        <v>0</v>
      </c>
      <c r="F54" s="64">
        <v>60000</v>
      </c>
      <c r="G54" s="69">
        <v>0.08</v>
      </c>
      <c r="H54" s="63">
        <f t="shared" si="0"/>
        <v>64800.000000000007</v>
      </c>
      <c r="I54" s="63">
        <f t="shared" si="1"/>
        <v>88923.200000000012</v>
      </c>
      <c r="J54" s="6" t="s">
        <v>1032</v>
      </c>
      <c r="K54" s="6" t="s">
        <v>1033</v>
      </c>
      <c r="L54" s="6" t="s">
        <v>1027</v>
      </c>
      <c r="M54" s="6" t="s">
        <v>217</v>
      </c>
      <c r="N54" s="6" t="s">
        <v>1043</v>
      </c>
      <c r="O54" s="13">
        <f>INDEX(Assumptions!$D$17:$F$17,1,2)/D54</f>
        <v>4166.666666666667</v>
      </c>
      <c r="P54" s="63">
        <f t="shared" si="2"/>
        <v>0</v>
      </c>
      <c r="Q54" s="63">
        <f t="shared" si="3"/>
        <v>0</v>
      </c>
      <c r="R54" s="63">
        <f t="shared" si="4"/>
        <v>1</v>
      </c>
      <c r="S54" s="63">
        <f t="shared" si="5"/>
        <v>0</v>
      </c>
      <c r="T54" s="64">
        <v>0</v>
      </c>
      <c r="U54" s="64">
        <v>0</v>
      </c>
      <c r="V54" s="2"/>
      <c r="W54" s="84">
        <v>10000</v>
      </c>
      <c r="X54" s="84">
        <v>1</v>
      </c>
      <c r="Y54" s="84">
        <v>1</v>
      </c>
      <c r="Z54" s="84">
        <v>1</v>
      </c>
    </row>
    <row r="55" spans="1:26" ht="15" customHeight="1" x14ac:dyDescent="0.3">
      <c r="A55" s="6" t="s">
        <v>1044</v>
      </c>
      <c r="B55" s="6" t="s">
        <v>1045</v>
      </c>
      <c r="C55" s="6" t="s">
        <v>886</v>
      </c>
      <c r="D55" s="63">
        <f t="shared" si="6"/>
        <v>5000</v>
      </c>
      <c r="E55" s="85">
        <f>$D$14</f>
        <v>10000</v>
      </c>
      <c r="F55" s="64">
        <v>130000</v>
      </c>
      <c r="G55" s="69">
        <v>0.15</v>
      </c>
      <c r="H55" s="63">
        <f t="shared" si="0"/>
        <v>149500</v>
      </c>
      <c r="I55" s="63">
        <f t="shared" si="1"/>
        <v>182902.75</v>
      </c>
      <c r="J55" s="6" t="s">
        <v>1032</v>
      </c>
      <c r="K55" s="6" t="s">
        <v>1033</v>
      </c>
      <c r="L55" s="6" t="s">
        <v>1027</v>
      </c>
      <c r="M55" s="6" t="s">
        <v>217</v>
      </c>
      <c r="N55" s="6" t="s">
        <v>1046</v>
      </c>
      <c r="O55" s="63">
        <f t="shared" ref="O55:O60" si="7">D55</f>
        <v>5000</v>
      </c>
      <c r="P55" s="63">
        <f t="shared" si="2"/>
        <v>0</v>
      </c>
      <c r="Q55" s="63">
        <f t="shared" si="3"/>
        <v>0</v>
      </c>
      <c r="R55" s="63">
        <f t="shared" si="4"/>
        <v>1</v>
      </c>
      <c r="S55" s="63">
        <f t="shared" si="5"/>
        <v>0</v>
      </c>
      <c r="T55" s="64">
        <v>0</v>
      </c>
      <c r="U55" s="64">
        <v>5000</v>
      </c>
      <c r="V55" s="2"/>
      <c r="W55" s="84">
        <v>12500</v>
      </c>
      <c r="X55" s="84">
        <v>1000000</v>
      </c>
      <c r="Y55" s="84">
        <v>0</v>
      </c>
      <c r="Z55" s="84">
        <v>1</v>
      </c>
    </row>
    <row r="56" spans="1:26" ht="15" customHeight="1" x14ac:dyDescent="0.3">
      <c r="A56" s="6" t="s">
        <v>1047</v>
      </c>
      <c r="B56" s="6" t="s">
        <v>1048</v>
      </c>
      <c r="C56" s="6" t="s">
        <v>886</v>
      </c>
      <c r="D56" s="63">
        <f t="shared" si="6"/>
        <v>3333</v>
      </c>
      <c r="E56" s="85">
        <f>$D$24</f>
        <v>5000</v>
      </c>
      <c r="F56" s="64">
        <v>110000</v>
      </c>
      <c r="G56" s="69">
        <v>0.15</v>
      </c>
      <c r="H56" s="63">
        <f t="shared" si="0"/>
        <v>126499.99999999999</v>
      </c>
      <c r="I56" s="63">
        <f t="shared" si="1"/>
        <v>157343.24999999997</v>
      </c>
      <c r="J56" s="6" t="s">
        <v>1032</v>
      </c>
      <c r="K56" s="6" t="s">
        <v>1033</v>
      </c>
      <c r="L56" s="6" t="s">
        <v>1015</v>
      </c>
      <c r="M56" s="6" t="s">
        <v>217</v>
      </c>
      <c r="N56" s="6" t="s">
        <v>1049</v>
      </c>
      <c r="O56" s="63">
        <f t="shared" si="7"/>
        <v>3333</v>
      </c>
      <c r="P56" s="63">
        <f t="shared" si="2"/>
        <v>1</v>
      </c>
      <c r="Q56" s="63">
        <f t="shared" si="3"/>
        <v>0</v>
      </c>
      <c r="R56" s="63">
        <f t="shared" si="4"/>
        <v>1</v>
      </c>
      <c r="S56" s="63">
        <f t="shared" si="5"/>
        <v>0</v>
      </c>
      <c r="T56" s="64">
        <v>1</v>
      </c>
      <c r="U56" s="64">
        <v>5000</v>
      </c>
      <c r="V56" s="2"/>
      <c r="W56" s="84">
        <v>6000</v>
      </c>
      <c r="X56" s="84">
        <v>1</v>
      </c>
      <c r="Y56" s="84">
        <v>0</v>
      </c>
      <c r="Z56" s="84">
        <v>1</v>
      </c>
    </row>
    <row r="57" spans="1:26" ht="15" customHeight="1" x14ac:dyDescent="0.3">
      <c r="A57" s="6" t="s">
        <v>1050</v>
      </c>
      <c r="B57" s="6" t="s">
        <v>1051</v>
      </c>
      <c r="C57" s="6" t="s">
        <v>886</v>
      </c>
      <c r="D57" s="63">
        <f t="shared" si="6"/>
        <v>5000</v>
      </c>
      <c r="E57" s="64">
        <v>0</v>
      </c>
      <c r="F57" s="64">
        <v>110000</v>
      </c>
      <c r="G57" s="69">
        <v>0.15</v>
      </c>
      <c r="H57" s="63">
        <f t="shared" si="0"/>
        <v>126499.99999999999</v>
      </c>
      <c r="I57" s="63">
        <f t="shared" si="1"/>
        <v>157343.24999999997</v>
      </c>
      <c r="J57" s="6" t="s">
        <v>1026</v>
      </c>
      <c r="K57" s="6" t="s">
        <v>1033</v>
      </c>
      <c r="L57" s="6" t="s">
        <v>1027</v>
      </c>
      <c r="M57" s="6" t="s">
        <v>217</v>
      </c>
      <c r="N57" s="6" t="s">
        <v>1052</v>
      </c>
      <c r="O57" s="63">
        <f t="shared" si="7"/>
        <v>5000</v>
      </c>
      <c r="P57" s="63">
        <f t="shared" si="2"/>
        <v>0</v>
      </c>
      <c r="Q57" s="63">
        <f t="shared" si="3"/>
        <v>0</v>
      </c>
      <c r="R57" s="63">
        <f t="shared" si="4"/>
        <v>0</v>
      </c>
      <c r="S57" s="63">
        <f t="shared" si="5"/>
        <v>1</v>
      </c>
      <c r="T57" s="64">
        <v>1</v>
      </c>
      <c r="U57" s="64">
        <v>5000</v>
      </c>
      <c r="V57" s="2"/>
      <c r="W57" s="84">
        <v>0</v>
      </c>
      <c r="X57" s="84">
        <v>1</v>
      </c>
      <c r="Y57" s="84">
        <v>0</v>
      </c>
      <c r="Z57" s="84">
        <v>1</v>
      </c>
    </row>
    <row r="58" spans="1:26" ht="15" customHeight="1" x14ac:dyDescent="0.3">
      <c r="A58" s="6" t="s">
        <v>1053</v>
      </c>
      <c r="B58" s="6" t="s">
        <v>927</v>
      </c>
      <c r="C58" s="6" t="s">
        <v>886</v>
      </c>
      <c r="D58" s="63">
        <f t="shared" si="6"/>
        <v>2500</v>
      </c>
      <c r="E58" s="85">
        <f>$D$24</f>
        <v>5000</v>
      </c>
      <c r="F58" s="64">
        <v>125000</v>
      </c>
      <c r="G58" s="69">
        <v>0.15</v>
      </c>
      <c r="H58" s="63">
        <f t="shared" si="0"/>
        <v>143750</v>
      </c>
      <c r="I58" s="63">
        <f t="shared" si="1"/>
        <v>176512.875</v>
      </c>
      <c r="J58" s="6" t="s">
        <v>1032</v>
      </c>
      <c r="K58" s="6" t="s">
        <v>1033</v>
      </c>
      <c r="L58" s="6" t="s">
        <v>1027</v>
      </c>
      <c r="M58" s="6" t="s">
        <v>217</v>
      </c>
      <c r="N58" s="6" t="s">
        <v>1054</v>
      </c>
      <c r="O58" s="63">
        <f t="shared" si="7"/>
        <v>2500</v>
      </c>
      <c r="P58" s="63">
        <f t="shared" si="2"/>
        <v>0</v>
      </c>
      <c r="Q58" s="63">
        <f t="shared" si="3"/>
        <v>0</v>
      </c>
      <c r="R58" s="63">
        <f t="shared" si="4"/>
        <v>1</v>
      </c>
      <c r="S58" s="63">
        <f t="shared" si="5"/>
        <v>0</v>
      </c>
      <c r="T58" s="64">
        <v>1</v>
      </c>
      <c r="U58" s="64">
        <v>5000</v>
      </c>
      <c r="V58" s="2"/>
      <c r="W58" s="84">
        <v>6000</v>
      </c>
      <c r="X58" s="84">
        <v>1</v>
      </c>
      <c r="Y58" s="84">
        <v>0</v>
      </c>
      <c r="Z58" s="84">
        <v>1</v>
      </c>
    </row>
    <row r="59" spans="1:26" ht="15" customHeight="1" x14ac:dyDescent="0.3">
      <c r="A59" s="6" t="s">
        <v>1055</v>
      </c>
      <c r="B59" s="6" t="s">
        <v>930</v>
      </c>
      <c r="C59" s="6" t="s">
        <v>886</v>
      </c>
      <c r="D59" s="63">
        <f t="shared" si="6"/>
        <v>3750</v>
      </c>
      <c r="E59" s="85">
        <f>$D$14</f>
        <v>10000</v>
      </c>
      <c r="F59" s="64">
        <v>125000</v>
      </c>
      <c r="G59" s="69">
        <v>0.15</v>
      </c>
      <c r="H59" s="63">
        <f t="shared" si="0"/>
        <v>143750</v>
      </c>
      <c r="I59" s="63">
        <f t="shared" si="1"/>
        <v>176512.875</v>
      </c>
      <c r="J59" s="6" t="s">
        <v>1032</v>
      </c>
      <c r="K59" s="6" t="s">
        <v>1033</v>
      </c>
      <c r="L59" s="6" t="s">
        <v>1015</v>
      </c>
      <c r="M59" s="6" t="s">
        <v>217</v>
      </c>
      <c r="N59" s="6" t="s">
        <v>1056</v>
      </c>
      <c r="O59" s="63">
        <f t="shared" si="7"/>
        <v>3750</v>
      </c>
      <c r="P59" s="63">
        <f t="shared" si="2"/>
        <v>1</v>
      </c>
      <c r="Q59" s="63">
        <f t="shared" si="3"/>
        <v>0</v>
      </c>
      <c r="R59" s="63">
        <f t="shared" si="4"/>
        <v>1</v>
      </c>
      <c r="S59" s="63">
        <f t="shared" si="5"/>
        <v>0</v>
      </c>
      <c r="T59" s="64">
        <v>1</v>
      </c>
      <c r="U59" s="64">
        <v>10000</v>
      </c>
      <c r="V59" s="2"/>
      <c r="W59" s="84">
        <v>8000</v>
      </c>
      <c r="X59" s="84">
        <v>1</v>
      </c>
      <c r="Y59" s="84">
        <v>0</v>
      </c>
      <c r="Z59" s="84">
        <v>1</v>
      </c>
    </row>
    <row r="60" spans="1:26" ht="15" customHeight="1" x14ac:dyDescent="0.3">
      <c r="A60" s="6" t="s">
        <v>1057</v>
      </c>
      <c r="B60" s="6" t="s">
        <v>1058</v>
      </c>
      <c r="C60" s="6" t="s">
        <v>886</v>
      </c>
      <c r="D60" s="63">
        <f>D23</f>
        <v>10000</v>
      </c>
      <c r="E60" s="64">
        <v>0</v>
      </c>
      <c r="F60" s="64">
        <v>120000</v>
      </c>
      <c r="G60" s="69">
        <v>0.15</v>
      </c>
      <c r="H60" s="63">
        <f t="shared" si="0"/>
        <v>138000</v>
      </c>
      <c r="I60" s="63">
        <f t="shared" si="1"/>
        <v>170123</v>
      </c>
      <c r="J60" s="6" t="s">
        <v>1013</v>
      </c>
      <c r="K60" s="6" t="s">
        <v>1014</v>
      </c>
      <c r="L60" s="6" t="s">
        <v>1015</v>
      </c>
      <c r="M60" s="6" t="s">
        <v>217</v>
      </c>
      <c r="N60" s="6" t="s">
        <v>1059</v>
      </c>
      <c r="O60" s="63">
        <f t="shared" si="7"/>
        <v>10000</v>
      </c>
      <c r="P60" s="63">
        <f t="shared" si="2"/>
        <v>1</v>
      </c>
      <c r="Q60" s="63">
        <f t="shared" si="3"/>
        <v>1</v>
      </c>
      <c r="R60" s="63">
        <f t="shared" si="4"/>
        <v>0</v>
      </c>
      <c r="S60" s="63">
        <f t="shared" si="5"/>
        <v>0</v>
      </c>
      <c r="T60" s="64">
        <v>1</v>
      </c>
      <c r="U60" s="64">
        <v>10000</v>
      </c>
      <c r="V60" s="2"/>
      <c r="W60" s="84">
        <v>0</v>
      </c>
      <c r="X60" s="84">
        <v>1</v>
      </c>
      <c r="Y60" s="84">
        <v>0</v>
      </c>
      <c r="Z60" s="84">
        <v>1</v>
      </c>
    </row>
    <row r="61" spans="1:26" ht="15" customHeight="1" x14ac:dyDescent="0.3">
      <c r="A61" s="6" t="s">
        <v>1060</v>
      </c>
      <c r="B61" s="6" t="s">
        <v>265</v>
      </c>
      <c r="C61" s="2"/>
      <c r="D61" s="2"/>
      <c r="E61" s="2"/>
      <c r="F61" s="2"/>
      <c r="G61" s="2"/>
      <c r="H61" s="2"/>
      <c r="I61" s="80">
        <f>SUM(I47:I60)/SUM(H47:H60)</f>
        <v>1.2062329576774666</v>
      </c>
      <c r="J61" s="2"/>
      <c r="K61" s="2"/>
      <c r="L61" s="2"/>
      <c r="M61" s="2"/>
      <c r="N61" s="6" t="s">
        <v>1061</v>
      </c>
      <c r="O61" s="2"/>
      <c r="P61" s="2"/>
      <c r="Q61" s="2"/>
      <c r="R61" s="2"/>
      <c r="S61" s="2"/>
      <c r="T61" s="2"/>
      <c r="U61" s="2"/>
      <c r="V61" s="2"/>
      <c r="W61" s="2" t="s">
        <v>1062</v>
      </c>
      <c r="X61" s="2" t="s">
        <v>1063</v>
      </c>
      <c r="Y61" s="2" t="s">
        <v>1064</v>
      </c>
      <c r="Z61" s="2" t="s">
        <v>1065</v>
      </c>
    </row>
    <row r="62" spans="1:26" ht="15" customHeight="1" x14ac:dyDescent="0.3">
      <c r="A62" s="2"/>
      <c r="B62" s="2"/>
      <c r="C62" s="2"/>
      <c r="D62" s="2"/>
      <c r="E62" s="2"/>
      <c r="F62" s="2"/>
      <c r="G62" s="2"/>
      <c r="H62" s="2"/>
      <c r="I62" s="2"/>
      <c r="J62" s="2"/>
      <c r="K62" s="2"/>
      <c r="L62" s="2"/>
      <c r="M62" s="2"/>
      <c r="N62" s="2"/>
      <c r="O62" s="2"/>
      <c r="P62" s="2"/>
      <c r="Q62" s="2"/>
      <c r="R62" s="2"/>
      <c r="S62" s="2"/>
      <c r="T62" s="2"/>
      <c r="U62" s="2"/>
      <c r="V62" s="2"/>
    </row>
    <row r="63" spans="1:26" ht="15" customHeight="1" x14ac:dyDescent="0.3">
      <c r="A63" s="21" t="s">
        <v>1066</v>
      </c>
      <c r="B63" s="10"/>
      <c r="C63" s="10"/>
      <c r="D63" s="10"/>
      <c r="E63" s="10"/>
      <c r="F63" s="10"/>
      <c r="G63" s="10"/>
      <c r="H63" s="10"/>
      <c r="I63" s="10"/>
      <c r="J63" s="10"/>
      <c r="K63" s="10"/>
      <c r="L63" s="10"/>
      <c r="M63" s="10"/>
      <c r="N63" s="10"/>
      <c r="O63" s="2"/>
      <c r="P63" s="2"/>
      <c r="Q63" s="2"/>
      <c r="R63" s="2"/>
      <c r="S63" s="2"/>
      <c r="T63" s="2"/>
      <c r="U63" s="2"/>
      <c r="V63" s="2"/>
    </row>
    <row r="64" spans="1:26" ht="15" customHeight="1" x14ac:dyDescent="0.3">
      <c r="A64" s="6" t="s">
        <v>1067</v>
      </c>
      <c r="B64" s="2"/>
      <c r="C64" s="2"/>
      <c r="D64" s="2"/>
      <c r="E64" s="2"/>
      <c r="F64" s="2"/>
      <c r="G64" s="2"/>
      <c r="H64" s="2"/>
      <c r="I64" s="2"/>
      <c r="J64" s="2"/>
      <c r="K64" s="2"/>
      <c r="L64" s="2"/>
      <c r="M64" s="2"/>
      <c r="N64" s="2"/>
      <c r="O64" s="2"/>
      <c r="P64" s="2"/>
      <c r="Q64" s="2"/>
      <c r="R64" s="2"/>
      <c r="S64" s="2"/>
      <c r="T64" s="2"/>
      <c r="U64" s="2"/>
      <c r="V64" s="2"/>
    </row>
    <row r="65" spans="1:22" ht="15" customHeight="1" x14ac:dyDescent="0.3">
      <c r="A65" s="21" t="s">
        <v>988</v>
      </c>
      <c r="B65" s="21" t="s">
        <v>1068</v>
      </c>
      <c r="C65" s="21" t="s">
        <v>1069</v>
      </c>
      <c r="D65" s="21"/>
      <c r="E65" s="21"/>
      <c r="F65" s="21" t="s">
        <v>992</v>
      </c>
      <c r="G65" s="21" t="s">
        <v>993</v>
      </c>
      <c r="H65" s="21" t="s">
        <v>994</v>
      </c>
      <c r="I65" s="21" t="s">
        <v>995</v>
      </c>
      <c r="J65" s="21" t="s">
        <v>319</v>
      </c>
      <c r="K65" s="21" t="s">
        <v>1070</v>
      </c>
      <c r="L65" s="21"/>
      <c r="M65" s="21" t="s">
        <v>286</v>
      </c>
      <c r="N65" s="21" t="s">
        <v>323</v>
      </c>
      <c r="O65" s="2"/>
      <c r="P65" s="2"/>
      <c r="Q65" s="2"/>
      <c r="R65" s="2"/>
      <c r="S65" s="2"/>
      <c r="T65" s="2"/>
      <c r="U65" s="2"/>
      <c r="V65" s="2"/>
    </row>
    <row r="66" spans="1:22" ht="15" customHeight="1" x14ac:dyDescent="0.3">
      <c r="A66" s="6" t="s">
        <v>1071</v>
      </c>
      <c r="B66" s="6" t="s">
        <v>1072</v>
      </c>
      <c r="C66" s="64">
        <v>0</v>
      </c>
      <c r="D66" s="2"/>
      <c r="E66" s="2"/>
      <c r="F66" s="64">
        <v>257692</v>
      </c>
      <c r="G66" s="69">
        <v>0</v>
      </c>
      <c r="H66" s="63">
        <f t="shared" ref="H66:H74" si="8">F66*(1+G66)</f>
        <v>257692</v>
      </c>
      <c r="I66" s="63">
        <f t="shared" ref="I66:I74" si="9">H66+MIN(H66,$D$30)*$D$29+H66*$D$31+$D$32+$D$33+$D$42+MIN(F66,$D$39)*$D$38+$D$40+$D$41</f>
        <v>299941.21399999998</v>
      </c>
      <c r="J66" s="6" t="s">
        <v>1073</v>
      </c>
      <c r="K66" s="69">
        <v>1</v>
      </c>
      <c r="L66" s="2"/>
      <c r="M66" s="6" t="s">
        <v>217</v>
      </c>
      <c r="N66" s="6" t="s">
        <v>1074</v>
      </c>
      <c r="O66" s="2"/>
      <c r="P66" s="2"/>
      <c r="Q66" s="2"/>
      <c r="R66" s="2"/>
      <c r="S66" s="2"/>
      <c r="T66" s="2"/>
      <c r="U66" s="2"/>
      <c r="V66" s="2"/>
    </row>
    <row r="67" spans="1:22" ht="15" customHeight="1" x14ac:dyDescent="0.3">
      <c r="A67" s="6" t="s">
        <v>1075</v>
      </c>
      <c r="B67" s="6" t="s">
        <v>1076</v>
      </c>
      <c r="C67" s="64">
        <v>0</v>
      </c>
      <c r="D67" s="2"/>
      <c r="E67" s="2"/>
      <c r="F67" s="64">
        <v>257692</v>
      </c>
      <c r="G67" s="69">
        <v>0</v>
      </c>
      <c r="H67" s="63">
        <f t="shared" si="8"/>
        <v>257692</v>
      </c>
      <c r="I67" s="63">
        <f t="shared" si="9"/>
        <v>299941.21399999998</v>
      </c>
      <c r="J67" s="6" t="s">
        <v>1073</v>
      </c>
      <c r="K67" s="69">
        <v>1</v>
      </c>
      <c r="L67" s="2"/>
      <c r="M67" s="6" t="s">
        <v>217</v>
      </c>
      <c r="N67" s="6" t="s">
        <v>1077</v>
      </c>
      <c r="O67" s="2"/>
      <c r="P67" s="2"/>
      <c r="Q67" s="2"/>
      <c r="R67" s="2"/>
      <c r="S67" s="2"/>
      <c r="T67" s="2"/>
      <c r="U67" s="2"/>
      <c r="V67" s="2"/>
    </row>
    <row r="68" spans="1:22" ht="15" customHeight="1" x14ac:dyDescent="0.3">
      <c r="A68" s="6" t="s">
        <v>1078</v>
      </c>
      <c r="B68" s="6" t="s">
        <v>1079</v>
      </c>
      <c r="C68" s="64">
        <v>10000</v>
      </c>
      <c r="D68" s="2"/>
      <c r="E68" s="2"/>
      <c r="F68" s="64">
        <v>169231</v>
      </c>
      <c r="G68" s="69">
        <v>0</v>
      </c>
      <c r="H68" s="63">
        <f t="shared" si="8"/>
        <v>169231</v>
      </c>
      <c r="I68" s="63">
        <f t="shared" si="9"/>
        <v>205712.41149999999</v>
      </c>
      <c r="J68" s="6" t="s">
        <v>1073</v>
      </c>
      <c r="K68" s="69">
        <v>1</v>
      </c>
      <c r="L68" s="2"/>
      <c r="M68" s="6" t="s">
        <v>217</v>
      </c>
      <c r="N68" s="6" t="s">
        <v>1080</v>
      </c>
      <c r="O68" s="2"/>
      <c r="P68" s="2"/>
      <c r="Q68" s="2"/>
      <c r="R68" s="2"/>
      <c r="S68" s="2"/>
      <c r="T68" s="2"/>
      <c r="U68" s="2"/>
      <c r="V68" s="2"/>
    </row>
    <row r="69" spans="1:22" ht="15" customHeight="1" x14ac:dyDescent="0.3">
      <c r="A69" s="6" t="s">
        <v>1081</v>
      </c>
      <c r="B69" s="6" t="s">
        <v>1082</v>
      </c>
      <c r="C69" s="64">
        <v>0</v>
      </c>
      <c r="D69" s="2"/>
      <c r="E69" s="2"/>
      <c r="F69" s="64">
        <v>146154</v>
      </c>
      <c r="G69" s="69">
        <v>0</v>
      </c>
      <c r="H69" s="63">
        <f t="shared" si="8"/>
        <v>146154</v>
      </c>
      <c r="I69" s="63">
        <f t="shared" si="9"/>
        <v>179946.94100000002</v>
      </c>
      <c r="J69" s="6" t="s">
        <v>1073</v>
      </c>
      <c r="K69" s="69">
        <v>1</v>
      </c>
      <c r="L69" s="2"/>
      <c r="M69" s="6" t="s">
        <v>217</v>
      </c>
      <c r="N69" s="6" t="s">
        <v>1083</v>
      </c>
      <c r="O69" s="2"/>
      <c r="P69" s="2"/>
      <c r="Q69" s="2"/>
      <c r="R69" s="2"/>
      <c r="S69" s="2"/>
      <c r="T69" s="2"/>
      <c r="U69" s="2"/>
      <c r="V69" s="2"/>
    </row>
    <row r="70" spans="1:22" ht="15" customHeight="1" x14ac:dyDescent="0.3">
      <c r="A70" s="6" t="s">
        <v>1084</v>
      </c>
      <c r="B70" s="6" t="s">
        <v>1085</v>
      </c>
      <c r="C70" s="64">
        <v>5000</v>
      </c>
      <c r="D70" s="2"/>
      <c r="E70" s="2"/>
      <c r="F70" s="64">
        <v>103846</v>
      </c>
      <c r="G70" s="69">
        <v>0</v>
      </c>
      <c r="H70" s="63">
        <f t="shared" si="8"/>
        <v>103846</v>
      </c>
      <c r="I70" s="63">
        <f t="shared" si="9"/>
        <v>132710.05900000001</v>
      </c>
      <c r="J70" s="6" t="s">
        <v>1073</v>
      </c>
      <c r="K70" s="69">
        <v>1</v>
      </c>
      <c r="L70" s="2"/>
      <c r="M70" s="6" t="s">
        <v>217</v>
      </c>
      <c r="N70" s="6" t="s">
        <v>1086</v>
      </c>
      <c r="O70" s="2"/>
      <c r="P70" s="2"/>
      <c r="Q70" s="2"/>
      <c r="R70" s="2"/>
      <c r="S70" s="2"/>
      <c r="T70" s="2"/>
      <c r="U70" s="2"/>
      <c r="V70" s="2"/>
    </row>
    <row r="71" spans="1:22" ht="15" customHeight="1" x14ac:dyDescent="0.3">
      <c r="A71" s="6" t="s">
        <v>1087</v>
      </c>
      <c r="B71" s="6" t="s">
        <v>1088</v>
      </c>
      <c r="C71" s="64">
        <v>5000</v>
      </c>
      <c r="D71" s="2"/>
      <c r="E71" s="2"/>
      <c r="F71" s="64">
        <v>216667</v>
      </c>
      <c r="G71" s="69">
        <v>0</v>
      </c>
      <c r="H71" s="63">
        <f t="shared" si="8"/>
        <v>216667</v>
      </c>
      <c r="I71" s="63">
        <f t="shared" si="9"/>
        <v>256680.35149999999</v>
      </c>
      <c r="J71" s="6" t="s">
        <v>1073</v>
      </c>
      <c r="K71" s="69">
        <v>1</v>
      </c>
      <c r="L71" s="2"/>
      <c r="M71" s="6" t="s">
        <v>217</v>
      </c>
      <c r="N71" s="6" t="s">
        <v>1089</v>
      </c>
      <c r="O71" s="2"/>
      <c r="P71" s="2"/>
      <c r="Q71" s="2"/>
      <c r="R71" s="2"/>
      <c r="S71" s="2"/>
      <c r="T71" s="2"/>
      <c r="U71" s="2"/>
      <c r="V71" s="2"/>
    </row>
    <row r="72" spans="1:22" ht="15" customHeight="1" x14ac:dyDescent="0.3">
      <c r="A72" s="6" t="s">
        <v>1090</v>
      </c>
      <c r="B72" s="6" t="s">
        <v>1091</v>
      </c>
      <c r="C72" s="64">
        <v>0</v>
      </c>
      <c r="D72" s="2"/>
      <c r="E72" s="2"/>
      <c r="F72" s="64">
        <v>110769</v>
      </c>
      <c r="G72" s="69">
        <v>0.25</v>
      </c>
      <c r="H72" s="63">
        <f t="shared" si="8"/>
        <v>138461.25</v>
      </c>
      <c r="I72" s="63">
        <f t="shared" si="9"/>
        <v>170250.295625</v>
      </c>
      <c r="J72" s="6" t="s">
        <v>1073</v>
      </c>
      <c r="K72" s="69">
        <v>1</v>
      </c>
      <c r="L72" s="2"/>
      <c r="M72" s="6" t="s">
        <v>217</v>
      </c>
      <c r="N72" s="6" t="s">
        <v>1092</v>
      </c>
      <c r="O72" s="2"/>
      <c r="P72" s="2"/>
      <c r="Q72" s="2"/>
      <c r="R72" s="2"/>
      <c r="S72" s="2"/>
      <c r="T72" s="2"/>
      <c r="U72" s="2"/>
      <c r="V72" s="2"/>
    </row>
    <row r="73" spans="1:22" ht="15" customHeight="1" x14ac:dyDescent="0.3">
      <c r="A73" s="6" t="s">
        <v>1093</v>
      </c>
      <c r="B73" s="6" t="s">
        <v>1094</v>
      </c>
      <c r="C73" s="64">
        <v>0</v>
      </c>
      <c r="D73" s="2"/>
      <c r="E73" s="2"/>
      <c r="F73" s="64">
        <v>74786</v>
      </c>
      <c r="G73" s="69">
        <v>0.08</v>
      </c>
      <c r="H73" s="63">
        <f t="shared" si="8"/>
        <v>80768.88</v>
      </c>
      <c r="I73" s="63">
        <f t="shared" si="9"/>
        <v>106705.13932</v>
      </c>
      <c r="J73" s="6" t="s">
        <v>1073</v>
      </c>
      <c r="K73" s="69">
        <v>1</v>
      </c>
      <c r="L73" s="2"/>
      <c r="M73" s="6" t="s">
        <v>217</v>
      </c>
      <c r="N73" s="6" t="s">
        <v>1095</v>
      </c>
      <c r="O73" s="2"/>
      <c r="P73" s="2"/>
      <c r="Q73" s="2"/>
      <c r="R73" s="2"/>
      <c r="S73" s="2"/>
      <c r="T73" s="2"/>
      <c r="U73" s="2"/>
      <c r="V73" s="2"/>
    </row>
    <row r="74" spans="1:22" ht="15" customHeight="1" x14ac:dyDescent="0.3">
      <c r="A74" s="6" t="s">
        <v>1096</v>
      </c>
      <c r="B74" s="6" t="s">
        <v>1097</v>
      </c>
      <c r="C74" s="64">
        <v>999999</v>
      </c>
      <c r="D74" s="2"/>
      <c r="E74" s="2"/>
      <c r="F74" s="64">
        <v>237500</v>
      </c>
      <c r="G74" s="69">
        <v>0.27500000000000002</v>
      </c>
      <c r="H74" s="63">
        <f t="shared" si="8"/>
        <v>302812.5</v>
      </c>
      <c r="I74" s="63">
        <f t="shared" si="9"/>
        <v>344908.28125</v>
      </c>
      <c r="J74" s="6" t="s">
        <v>1098</v>
      </c>
      <c r="K74" s="69">
        <v>0</v>
      </c>
      <c r="L74" s="2"/>
      <c r="M74" s="6" t="s">
        <v>217</v>
      </c>
      <c r="N74" s="6" t="s">
        <v>1099</v>
      </c>
      <c r="O74" s="2"/>
      <c r="P74" s="2"/>
      <c r="Q74" s="2"/>
      <c r="R74" s="2"/>
      <c r="S74" s="2"/>
      <c r="T74" s="2"/>
      <c r="U74" s="2"/>
      <c r="V74" s="2"/>
    </row>
    <row r="75" spans="1:22" ht="15" customHeight="1" x14ac:dyDescent="0.3">
      <c r="A75" s="2"/>
      <c r="B75" s="2"/>
      <c r="C75" s="2"/>
      <c r="D75" s="2"/>
      <c r="E75" s="2"/>
      <c r="F75" s="2"/>
      <c r="G75" s="2"/>
      <c r="H75" s="2"/>
      <c r="I75" s="2"/>
      <c r="J75" s="2"/>
      <c r="K75" s="2"/>
      <c r="L75" s="2"/>
      <c r="M75" s="2"/>
      <c r="N75" s="2"/>
      <c r="O75" s="2"/>
      <c r="P75" s="2"/>
      <c r="Q75" s="2"/>
      <c r="R75" s="2"/>
      <c r="S75" s="2"/>
      <c r="T75" s="2"/>
      <c r="U75" s="2"/>
      <c r="V75" s="2"/>
    </row>
    <row r="76" spans="1:22" ht="15" customHeight="1" x14ac:dyDescent="0.3">
      <c r="A76" s="21" t="s">
        <v>1100</v>
      </c>
      <c r="B76" s="10"/>
      <c r="C76" s="10"/>
      <c r="D76" s="10"/>
      <c r="E76" s="10"/>
      <c r="F76" s="10"/>
      <c r="G76" s="10"/>
      <c r="H76" s="10"/>
      <c r="I76" s="10"/>
      <c r="J76" s="10"/>
      <c r="K76" s="10"/>
      <c r="L76" s="10"/>
      <c r="M76" s="10"/>
      <c r="N76" s="10"/>
      <c r="O76" s="2"/>
      <c r="P76" s="2"/>
      <c r="Q76" s="2"/>
      <c r="R76" s="2"/>
      <c r="S76" s="2"/>
      <c r="T76" s="2"/>
      <c r="U76" s="2"/>
      <c r="V76" s="2"/>
    </row>
    <row r="77" spans="1:22" ht="15" customHeight="1" x14ac:dyDescent="0.3">
      <c r="A77" s="6" t="s">
        <v>1101</v>
      </c>
      <c r="B77" s="2"/>
      <c r="C77" s="2"/>
      <c r="D77" s="2"/>
      <c r="E77" s="2"/>
      <c r="F77" s="2"/>
      <c r="G77" s="2"/>
      <c r="H77" s="2"/>
      <c r="I77" s="2"/>
      <c r="J77" s="2"/>
      <c r="K77" s="2"/>
      <c r="L77" s="2"/>
      <c r="M77" s="2"/>
      <c r="N77" s="2"/>
      <c r="O77" s="2"/>
      <c r="P77" s="2"/>
      <c r="Q77" s="2"/>
      <c r="R77" s="2"/>
      <c r="S77" s="2"/>
      <c r="T77" s="2"/>
      <c r="U77" s="2"/>
      <c r="V77" s="2"/>
    </row>
    <row r="78" spans="1:22" ht="15" customHeight="1" x14ac:dyDescent="0.3">
      <c r="A78" s="21" t="s">
        <v>879</v>
      </c>
      <c r="B78" s="21" t="s">
        <v>880</v>
      </c>
      <c r="C78" s="21" t="s">
        <v>285</v>
      </c>
      <c r="D78" s="21" t="s">
        <v>1102</v>
      </c>
      <c r="E78" s="21"/>
      <c r="F78" s="21" t="s">
        <v>992</v>
      </c>
      <c r="G78" s="21" t="s">
        <v>993</v>
      </c>
      <c r="H78" s="21" t="s">
        <v>994</v>
      </c>
      <c r="I78" s="21" t="s">
        <v>995</v>
      </c>
      <c r="J78" s="21"/>
      <c r="K78" s="21"/>
      <c r="L78" s="21"/>
      <c r="M78" s="21" t="s">
        <v>286</v>
      </c>
      <c r="N78" s="21" t="s">
        <v>323</v>
      </c>
      <c r="O78" s="2"/>
      <c r="P78" s="2"/>
      <c r="Q78" s="2"/>
      <c r="R78" s="2"/>
      <c r="S78" s="2"/>
      <c r="T78" s="2"/>
      <c r="U78" s="2"/>
      <c r="V78" s="2"/>
    </row>
    <row r="79" spans="1:22" ht="15" customHeight="1" x14ac:dyDescent="0.3">
      <c r="A79" s="6" t="s">
        <v>1103</v>
      </c>
      <c r="B79" s="6" t="s">
        <v>1104</v>
      </c>
      <c r="C79" s="6" t="s">
        <v>1105</v>
      </c>
      <c r="D79" s="64">
        <v>8</v>
      </c>
      <c r="E79" s="2"/>
      <c r="F79" s="64">
        <v>120000</v>
      </c>
      <c r="G79" s="69">
        <v>0.15</v>
      </c>
      <c r="H79" s="63">
        <f>F79*(1+G79)</f>
        <v>138000</v>
      </c>
      <c r="I79" s="63">
        <f>H79+MIN(H79,$D$30)*$D$29+H79*$D$31+$D$32+$D$33+$D$42+MIN(F79,$D$39)*$D$38+$D$40+$D$41</f>
        <v>170123</v>
      </c>
      <c r="J79" s="2"/>
      <c r="K79" s="2"/>
      <c r="L79" s="2"/>
      <c r="M79" s="6" t="s">
        <v>217</v>
      </c>
      <c r="N79" s="6" t="s">
        <v>1106</v>
      </c>
      <c r="O79" s="2"/>
      <c r="P79" s="2"/>
      <c r="Q79" s="2"/>
      <c r="R79" s="2"/>
      <c r="S79" s="2"/>
      <c r="T79" s="2"/>
      <c r="U79" s="2"/>
      <c r="V79" s="2"/>
    </row>
    <row r="80" spans="1:22" ht="15" customHeight="1" x14ac:dyDescent="0.3">
      <c r="A80" s="6" t="s">
        <v>1107</v>
      </c>
      <c r="B80" s="6" t="s">
        <v>1108</v>
      </c>
      <c r="C80" s="6" t="s">
        <v>1105</v>
      </c>
      <c r="D80" s="64">
        <v>4</v>
      </c>
      <c r="E80" s="2"/>
      <c r="F80" s="64">
        <v>90000</v>
      </c>
      <c r="G80" s="69">
        <v>0.08</v>
      </c>
      <c r="H80" s="63">
        <f>F80*(1+G80)</f>
        <v>97200</v>
      </c>
      <c r="I80" s="63">
        <f>H80+MIN(H80,$D$30)*$D$29+H80*$D$31+$D$32+$D$33+$D$42+MIN(F80,$D$39)*$D$38+$D$40+$D$41</f>
        <v>125001.79999999999</v>
      </c>
      <c r="J80" s="2"/>
      <c r="K80" s="2"/>
      <c r="L80" s="2"/>
      <c r="M80" s="6" t="s">
        <v>217</v>
      </c>
      <c r="N80" s="6" t="s">
        <v>1109</v>
      </c>
      <c r="O80" s="2"/>
      <c r="P80" s="2"/>
      <c r="Q80" s="2"/>
      <c r="R80" s="2"/>
      <c r="S80" s="2"/>
      <c r="T80" s="2"/>
      <c r="U80" s="2"/>
      <c r="V80" s="2"/>
    </row>
    <row r="81" spans="1:22" ht="15" customHeight="1" x14ac:dyDescent="0.3">
      <c r="A81" s="6" t="s">
        <v>1110</v>
      </c>
      <c r="B81" s="6" t="s">
        <v>1111</v>
      </c>
      <c r="C81" s="6" t="s">
        <v>1105</v>
      </c>
      <c r="D81" s="64">
        <v>12</v>
      </c>
      <c r="E81" s="2"/>
      <c r="F81" s="64">
        <v>125000</v>
      </c>
      <c r="G81" s="69">
        <v>0.15</v>
      </c>
      <c r="H81" s="63">
        <f>F81*(1+G81)</f>
        <v>143750</v>
      </c>
      <c r="I81" s="63">
        <f>H81+MIN(H81,$D$30)*$D$29+H81*$D$31+$D$32+$D$33+$D$42+MIN(F81,$D$39)*$D$38+$D$40+$D$41</f>
        <v>176512.875</v>
      </c>
      <c r="J81" s="2"/>
      <c r="K81" s="2"/>
      <c r="L81" s="2"/>
      <c r="M81" s="6" t="s">
        <v>217</v>
      </c>
      <c r="N81" s="6" t="s">
        <v>1112</v>
      </c>
      <c r="O81" s="2"/>
      <c r="P81" s="2"/>
      <c r="Q81" s="2"/>
      <c r="R81" s="2"/>
      <c r="S81" s="2"/>
      <c r="T81" s="2"/>
      <c r="U81" s="2"/>
      <c r="V81" s="2"/>
    </row>
    <row r="82" spans="1:22" ht="15" customHeight="1" x14ac:dyDescent="0.3">
      <c r="A82" s="6" t="s">
        <v>1113</v>
      </c>
      <c r="B82" s="6" t="s">
        <v>1114</v>
      </c>
      <c r="C82" s="6" t="s">
        <v>1105</v>
      </c>
      <c r="D82" s="64">
        <v>12</v>
      </c>
      <c r="E82" s="2"/>
      <c r="F82" s="64">
        <v>148000</v>
      </c>
      <c r="G82" s="69">
        <v>0.2</v>
      </c>
      <c r="H82" s="63">
        <f>F82*(1+G82)</f>
        <v>177600</v>
      </c>
      <c r="I82" s="63">
        <f>H82+MIN(H82,$D$30)*$D$29+H82*$D$31+$D$32+$D$33+$D$42+MIN(F82,$D$39)*$D$38+$D$40+$D$41</f>
        <v>213872.40000000002</v>
      </c>
      <c r="J82" s="2"/>
      <c r="K82" s="2"/>
      <c r="L82" s="2"/>
      <c r="M82" s="6" t="s">
        <v>217</v>
      </c>
      <c r="N82" s="6" t="s">
        <v>1115</v>
      </c>
      <c r="O82" s="2"/>
      <c r="P82" s="2"/>
      <c r="Q82" s="2"/>
      <c r="R82" s="2"/>
      <c r="S82" s="2"/>
      <c r="T82" s="2"/>
      <c r="U82" s="2"/>
      <c r="V82" s="2"/>
    </row>
    <row r="83" spans="1:22" ht="15" customHeight="1" x14ac:dyDescent="0.3">
      <c r="A83" s="2"/>
      <c r="B83" s="2"/>
      <c r="C83" s="2"/>
      <c r="D83" s="2"/>
      <c r="E83" s="2"/>
      <c r="F83" s="2"/>
      <c r="G83" s="2"/>
      <c r="H83" s="2"/>
      <c r="I83" s="2"/>
      <c r="J83" s="2"/>
      <c r="K83" s="2"/>
      <c r="L83" s="2"/>
      <c r="M83" s="2"/>
      <c r="N83" s="2"/>
      <c r="O83" s="2"/>
      <c r="P83" s="2"/>
      <c r="Q83" s="2"/>
      <c r="R83" s="2"/>
      <c r="S83" s="2"/>
      <c r="T83" s="2"/>
      <c r="U83" s="2"/>
      <c r="V83" s="2"/>
    </row>
    <row r="84" spans="1:22" ht="15" customHeight="1" x14ac:dyDescent="0.3">
      <c r="A84" s="21" t="s">
        <v>1116</v>
      </c>
      <c r="B84" s="10"/>
      <c r="C84" s="10"/>
      <c r="D84" s="10"/>
      <c r="E84" s="10"/>
      <c r="F84" s="10"/>
      <c r="G84" s="10"/>
      <c r="H84" s="10"/>
      <c r="I84" s="10"/>
      <c r="J84" s="10"/>
      <c r="K84" s="10"/>
      <c r="L84" s="10"/>
      <c r="M84" s="10"/>
      <c r="N84" s="10"/>
      <c r="O84" s="2"/>
      <c r="P84" s="2"/>
      <c r="Q84" s="2"/>
      <c r="R84" s="2"/>
      <c r="S84" s="2"/>
      <c r="T84" s="2"/>
      <c r="U84" s="2"/>
      <c r="V84" s="2"/>
    </row>
    <row r="85" spans="1:22" ht="15" customHeight="1" x14ac:dyDescent="0.3">
      <c r="A85" s="6" t="s">
        <v>1117</v>
      </c>
      <c r="B85" s="2"/>
      <c r="C85" s="2"/>
      <c r="D85" s="2"/>
      <c r="E85" s="2"/>
      <c r="F85" s="2"/>
      <c r="G85" s="2"/>
      <c r="H85" s="2"/>
      <c r="I85" s="2"/>
      <c r="J85" s="2"/>
      <c r="K85" s="2"/>
      <c r="L85" s="2"/>
      <c r="M85" s="2"/>
      <c r="N85" s="2"/>
      <c r="O85" s="2"/>
      <c r="P85" s="2"/>
      <c r="Q85" s="2"/>
      <c r="R85" s="2"/>
      <c r="S85" s="2"/>
      <c r="T85" s="2"/>
      <c r="U85" s="2"/>
      <c r="V85" s="2"/>
    </row>
    <row r="86" spans="1:22" ht="15" customHeight="1" x14ac:dyDescent="0.3">
      <c r="A86" s="21" t="s">
        <v>988</v>
      </c>
      <c r="B86" s="21" t="s">
        <v>1118</v>
      </c>
      <c r="C86" s="21" t="s">
        <v>285</v>
      </c>
      <c r="D86" s="21" t="s">
        <v>1119</v>
      </c>
      <c r="E86" s="21"/>
      <c r="F86" s="21" t="s">
        <v>992</v>
      </c>
      <c r="G86" s="21" t="s">
        <v>993</v>
      </c>
      <c r="H86" s="21" t="s">
        <v>994</v>
      </c>
      <c r="I86" s="21" t="s">
        <v>995</v>
      </c>
      <c r="J86" s="21" t="s">
        <v>996</v>
      </c>
      <c r="K86" s="21"/>
      <c r="L86" s="21"/>
      <c r="M86" s="21" t="s">
        <v>286</v>
      </c>
      <c r="N86" s="21" t="s">
        <v>323</v>
      </c>
      <c r="O86" s="2"/>
      <c r="P86" s="2"/>
      <c r="Q86" s="2"/>
      <c r="R86" s="2"/>
      <c r="S86" s="2"/>
      <c r="T86" s="2"/>
      <c r="U86" s="2"/>
      <c r="V86" s="2"/>
    </row>
    <row r="87" spans="1:22" ht="15" customHeight="1" x14ac:dyDescent="0.3">
      <c r="A87" s="6" t="s">
        <v>1120</v>
      </c>
      <c r="B87" s="6" t="s">
        <v>1121</v>
      </c>
      <c r="C87" s="6" t="s">
        <v>1122</v>
      </c>
      <c r="D87" s="64">
        <v>7000</v>
      </c>
      <c r="E87" s="2"/>
      <c r="F87" s="64">
        <v>74786</v>
      </c>
      <c r="G87" s="69">
        <v>0</v>
      </c>
      <c r="H87" s="63">
        <f>F87*(1+G87)</f>
        <v>74786</v>
      </c>
      <c r="I87" s="63">
        <f>H87+MIN(H87,$D$30)*$D$29+H87*$D$31+$D$32+$D$33+$D$42+MIN(F87,$D$39)*$D$38+$D$40+$D$41</f>
        <v>100264.569</v>
      </c>
      <c r="J87" s="6" t="s">
        <v>1123</v>
      </c>
      <c r="K87" s="2"/>
      <c r="L87" s="2"/>
      <c r="M87" s="6" t="s">
        <v>222</v>
      </c>
      <c r="N87" s="2"/>
      <c r="O87" s="2"/>
      <c r="P87" s="2"/>
      <c r="Q87" s="2"/>
      <c r="R87" s="2"/>
      <c r="S87" s="2"/>
      <c r="T87" s="2"/>
      <c r="U87" s="2"/>
      <c r="V87" s="2"/>
    </row>
    <row r="88" spans="1:22" ht="15" customHeight="1" x14ac:dyDescent="0.3">
      <c r="A88" s="6" t="s">
        <v>1124</v>
      </c>
      <c r="B88" s="6" t="s">
        <v>1125</v>
      </c>
      <c r="C88" s="6" t="s">
        <v>1122</v>
      </c>
      <c r="D88" s="64">
        <v>6000</v>
      </c>
      <c r="E88" s="2"/>
      <c r="F88" s="64">
        <v>64103</v>
      </c>
      <c r="G88" s="69">
        <v>0</v>
      </c>
      <c r="H88" s="63">
        <f>F88*(1+G88)</f>
        <v>64103</v>
      </c>
      <c r="I88" s="63">
        <f>H88+MIN(H88,$D$30)*$D$29+H88*$D$31+$D$32+$D$33+$D$42+MIN(F88,$D$39)*$D$38+$D$40+$D$41</f>
        <v>88336.999499999991</v>
      </c>
      <c r="J88" s="6" t="s">
        <v>1123</v>
      </c>
      <c r="K88" s="2"/>
      <c r="L88" s="2"/>
      <c r="M88" s="6" t="s">
        <v>222</v>
      </c>
      <c r="N88" s="2"/>
      <c r="O88" s="2"/>
      <c r="P88" s="2"/>
      <c r="Q88" s="2"/>
      <c r="R88" s="2"/>
      <c r="S88" s="2"/>
      <c r="T88" s="2"/>
      <c r="U88" s="2"/>
      <c r="V88" s="2"/>
    </row>
    <row r="89" spans="1:22" ht="15" customHeight="1" x14ac:dyDescent="0.3">
      <c r="A89" s="6" t="s">
        <v>1126</v>
      </c>
      <c r="B89" s="6" t="s">
        <v>1127</v>
      </c>
      <c r="C89" s="6" t="s">
        <v>1122</v>
      </c>
      <c r="D89" s="64">
        <v>12000</v>
      </c>
      <c r="E89" s="2"/>
      <c r="F89" s="64">
        <v>123626</v>
      </c>
      <c r="G89" s="69">
        <v>0</v>
      </c>
      <c r="H89" s="63">
        <f>F89*(1+G89)</f>
        <v>123626</v>
      </c>
      <c r="I89" s="63">
        <f>H89+MIN(H89,$D$30)*$D$29+H89*$D$31+$D$32+$D$33+$D$42+MIN(F89,$D$39)*$D$38+$D$40+$D$41</f>
        <v>154794.429</v>
      </c>
      <c r="J89" s="6" t="s">
        <v>1128</v>
      </c>
      <c r="K89" s="2"/>
      <c r="L89" s="2"/>
      <c r="M89" s="6" t="s">
        <v>222</v>
      </c>
      <c r="N89" s="2"/>
      <c r="O89" s="2"/>
      <c r="P89" s="2"/>
      <c r="Q89" s="2"/>
      <c r="R89" s="2"/>
      <c r="S89" s="2"/>
      <c r="T89" s="2"/>
      <c r="U89" s="2"/>
      <c r="V89" s="2"/>
    </row>
    <row r="90" spans="1:22" ht="15" customHeight="1" x14ac:dyDescent="0.3">
      <c r="A90" s="2"/>
      <c r="B90" s="2"/>
      <c r="C90" s="2"/>
      <c r="D90" s="2"/>
      <c r="E90" s="2"/>
      <c r="F90" s="2"/>
      <c r="G90" s="2"/>
      <c r="H90" s="2"/>
      <c r="I90" s="2"/>
      <c r="J90" s="2"/>
      <c r="K90" s="2"/>
      <c r="L90" s="2"/>
      <c r="M90" s="2"/>
      <c r="N90" s="2"/>
      <c r="O90" s="2"/>
      <c r="P90" s="2"/>
      <c r="Q90" s="2"/>
      <c r="R90" s="2"/>
      <c r="S90" s="2"/>
      <c r="T90" s="2"/>
      <c r="U90" s="2"/>
      <c r="V90" s="2"/>
    </row>
    <row r="91" spans="1:22" ht="15" customHeight="1" x14ac:dyDescent="0.3">
      <c r="A91" s="21" t="s">
        <v>1129</v>
      </c>
      <c r="B91" s="10"/>
      <c r="C91" s="10"/>
      <c r="D91" s="10"/>
      <c r="E91" s="10"/>
      <c r="F91" s="10"/>
      <c r="G91" s="10"/>
      <c r="H91" s="10"/>
      <c r="I91" s="10"/>
      <c r="J91" s="10"/>
      <c r="K91" s="10"/>
      <c r="L91" s="10"/>
      <c r="M91" s="10"/>
      <c r="N91" s="10"/>
      <c r="O91" s="2"/>
      <c r="P91" s="2"/>
      <c r="Q91" s="2"/>
      <c r="R91" s="2"/>
      <c r="S91" s="2"/>
      <c r="T91" s="2"/>
      <c r="U91" s="2"/>
      <c r="V91" s="2"/>
    </row>
    <row r="92" spans="1:22" ht="15" customHeight="1" x14ac:dyDescent="0.3">
      <c r="A92" s="6" t="s">
        <v>1130</v>
      </c>
      <c r="B92" s="2"/>
      <c r="C92" s="2"/>
      <c r="D92" s="2"/>
      <c r="E92" s="2"/>
      <c r="F92" s="2"/>
      <c r="G92" s="2"/>
      <c r="H92" s="2"/>
      <c r="I92" s="2"/>
      <c r="J92" s="2"/>
      <c r="K92" s="2"/>
      <c r="L92" s="2"/>
      <c r="M92" s="2"/>
      <c r="N92" s="2"/>
      <c r="O92" s="2"/>
      <c r="P92" s="2"/>
      <c r="Q92" s="2"/>
      <c r="R92" s="2"/>
      <c r="S92" s="2"/>
      <c r="T92" s="2"/>
      <c r="U92" s="2"/>
      <c r="V92" s="2"/>
    </row>
    <row r="93" spans="1:22" ht="15" customHeight="1" x14ac:dyDescent="0.3">
      <c r="A93" s="21" t="s">
        <v>988</v>
      </c>
      <c r="B93" s="21" t="s">
        <v>1068</v>
      </c>
      <c r="C93" s="21" t="s">
        <v>880</v>
      </c>
      <c r="D93" s="21" t="s">
        <v>1102</v>
      </c>
      <c r="E93" s="21" t="s">
        <v>1131</v>
      </c>
      <c r="F93" s="21" t="s">
        <v>992</v>
      </c>
      <c r="G93" s="21" t="s">
        <v>993</v>
      </c>
      <c r="H93" s="21" t="s">
        <v>994</v>
      </c>
      <c r="I93" s="21" t="s">
        <v>995</v>
      </c>
      <c r="J93" s="21"/>
      <c r="K93" s="21"/>
      <c r="L93" s="21"/>
      <c r="M93" s="21" t="s">
        <v>286</v>
      </c>
      <c r="N93" s="21" t="s">
        <v>323</v>
      </c>
      <c r="O93" s="2"/>
      <c r="P93" s="2"/>
      <c r="Q93" s="2"/>
      <c r="R93" s="2"/>
      <c r="S93" s="2"/>
      <c r="T93" s="2"/>
      <c r="U93" s="2"/>
      <c r="V93" s="2"/>
    </row>
    <row r="94" spans="1:22" ht="15" customHeight="1" x14ac:dyDescent="0.3">
      <c r="A94" s="6" t="s">
        <v>1132</v>
      </c>
      <c r="B94" s="6" t="s">
        <v>1133</v>
      </c>
      <c r="C94" s="6" t="s">
        <v>1134</v>
      </c>
      <c r="D94" s="64">
        <v>1</v>
      </c>
      <c r="E94" s="6" t="s">
        <v>1135</v>
      </c>
      <c r="F94" s="64">
        <v>65000</v>
      </c>
      <c r="G94" s="69">
        <v>0</v>
      </c>
      <c r="H94" s="63">
        <f t="shared" ref="H94:H99" si="10">F94*(1+G94)</f>
        <v>65000</v>
      </c>
      <c r="I94" s="63">
        <f t="shared" ref="I94:I99" si="11">H94+MIN(H94,$D$30)*$D$29+H94*$D$31+$D$32+$D$33+$D$42+MIN(F94,$D$39)*$D$38+$D$40+$D$41</f>
        <v>89338.5</v>
      </c>
      <c r="J94" s="2"/>
      <c r="K94" s="2"/>
      <c r="L94" s="2"/>
      <c r="M94" s="6" t="s">
        <v>1136</v>
      </c>
      <c r="N94" s="6" t="s">
        <v>1137</v>
      </c>
      <c r="O94" s="63">
        <f t="shared" ref="O94:O99" si="12">IF(E94="P",1,0)</f>
        <v>1</v>
      </c>
      <c r="P94" s="2"/>
      <c r="Q94" s="2"/>
      <c r="R94" s="2"/>
      <c r="S94" s="2"/>
      <c r="T94" s="2"/>
      <c r="U94" s="2"/>
      <c r="V94" s="2"/>
    </row>
    <row r="95" spans="1:22" ht="15" customHeight="1" x14ac:dyDescent="0.3">
      <c r="A95" s="6" t="s">
        <v>1138</v>
      </c>
      <c r="B95" s="6" t="s">
        <v>1139</v>
      </c>
      <c r="C95" s="6" t="s">
        <v>1134</v>
      </c>
      <c r="D95" s="64">
        <v>1</v>
      </c>
      <c r="E95" s="6" t="s">
        <v>1135</v>
      </c>
      <c r="F95" s="64">
        <v>46000</v>
      </c>
      <c r="G95" s="69">
        <v>0</v>
      </c>
      <c r="H95" s="63">
        <f t="shared" si="10"/>
        <v>46000</v>
      </c>
      <c r="I95" s="63">
        <f t="shared" si="11"/>
        <v>68125</v>
      </c>
      <c r="J95" s="2"/>
      <c r="K95" s="2"/>
      <c r="L95" s="2"/>
      <c r="M95" s="6" t="s">
        <v>1136</v>
      </c>
      <c r="N95" s="6" t="s">
        <v>1137</v>
      </c>
      <c r="O95" s="63">
        <f t="shared" si="12"/>
        <v>1</v>
      </c>
      <c r="P95" s="2"/>
      <c r="Q95" s="2"/>
      <c r="R95" s="2"/>
      <c r="S95" s="2"/>
      <c r="T95" s="2"/>
      <c r="U95" s="2"/>
      <c r="V95" s="2"/>
    </row>
    <row r="96" spans="1:22" ht="15" customHeight="1" x14ac:dyDescent="0.3">
      <c r="A96" s="6" t="s">
        <v>1140</v>
      </c>
      <c r="B96" s="6" t="s">
        <v>1141</v>
      </c>
      <c r="C96" s="6" t="s">
        <v>1142</v>
      </c>
      <c r="D96" s="64">
        <v>250</v>
      </c>
      <c r="E96" s="6" t="s">
        <v>1143</v>
      </c>
      <c r="F96" s="64">
        <v>42000</v>
      </c>
      <c r="G96" s="69">
        <v>0</v>
      </c>
      <c r="H96" s="63">
        <f t="shared" si="10"/>
        <v>42000</v>
      </c>
      <c r="I96" s="63">
        <f t="shared" si="11"/>
        <v>63659</v>
      </c>
      <c r="J96" s="2"/>
      <c r="K96" s="2"/>
      <c r="L96" s="2"/>
      <c r="M96" s="6" t="s">
        <v>1136</v>
      </c>
      <c r="N96" s="6" t="s">
        <v>1137</v>
      </c>
      <c r="O96" s="63">
        <f t="shared" si="12"/>
        <v>0</v>
      </c>
      <c r="P96" s="2"/>
      <c r="Q96" s="2"/>
      <c r="R96" s="2"/>
      <c r="S96" s="2"/>
      <c r="T96" s="2"/>
      <c r="U96" s="2"/>
      <c r="V96" s="2"/>
    </row>
    <row r="97" spans="1:22" ht="15" customHeight="1" x14ac:dyDescent="0.3">
      <c r="A97" s="6" t="s">
        <v>1144</v>
      </c>
      <c r="B97" s="6" t="s">
        <v>1145</v>
      </c>
      <c r="C97" s="6" t="s">
        <v>1134</v>
      </c>
      <c r="D97" s="64">
        <v>1</v>
      </c>
      <c r="E97" s="6" t="s">
        <v>1135</v>
      </c>
      <c r="F97" s="64">
        <v>60000</v>
      </c>
      <c r="G97" s="69">
        <v>0</v>
      </c>
      <c r="H97" s="63">
        <f t="shared" si="10"/>
        <v>60000</v>
      </c>
      <c r="I97" s="63">
        <f t="shared" si="11"/>
        <v>83756</v>
      </c>
      <c r="J97" s="2"/>
      <c r="K97" s="2"/>
      <c r="L97" s="2"/>
      <c r="M97" s="6" t="s">
        <v>1136</v>
      </c>
      <c r="N97" s="6" t="s">
        <v>1137</v>
      </c>
      <c r="O97" s="63">
        <f t="shared" si="12"/>
        <v>1</v>
      </c>
      <c r="P97" s="2"/>
      <c r="Q97" s="2"/>
      <c r="R97" s="2"/>
      <c r="S97" s="2"/>
      <c r="T97" s="2"/>
      <c r="U97" s="2"/>
      <c r="V97" s="2"/>
    </row>
    <row r="98" spans="1:22" ht="15" customHeight="1" x14ac:dyDescent="0.3">
      <c r="A98" s="6" t="s">
        <v>1146</v>
      </c>
      <c r="B98" s="6" t="s">
        <v>1147</v>
      </c>
      <c r="C98" s="6" t="s">
        <v>1142</v>
      </c>
      <c r="D98" s="64">
        <v>200</v>
      </c>
      <c r="E98" s="6" t="s">
        <v>1143</v>
      </c>
      <c r="F98" s="64">
        <v>48000</v>
      </c>
      <c r="G98" s="69">
        <v>0</v>
      </c>
      <c r="H98" s="63">
        <f t="shared" si="10"/>
        <v>48000</v>
      </c>
      <c r="I98" s="63">
        <f t="shared" si="11"/>
        <v>70358</v>
      </c>
      <c r="J98" s="2"/>
      <c r="K98" s="2"/>
      <c r="L98" s="2"/>
      <c r="M98" s="6" t="s">
        <v>1136</v>
      </c>
      <c r="N98" s="6" t="s">
        <v>1137</v>
      </c>
      <c r="O98" s="63">
        <f t="shared" si="12"/>
        <v>0</v>
      </c>
      <c r="P98" s="2"/>
      <c r="Q98" s="2"/>
      <c r="R98" s="2"/>
      <c r="S98" s="2"/>
      <c r="T98" s="2"/>
      <c r="U98" s="2"/>
      <c r="V98" s="2"/>
    </row>
    <row r="99" spans="1:22" ht="15" customHeight="1" x14ac:dyDescent="0.3">
      <c r="A99" s="6" t="s">
        <v>1148</v>
      </c>
      <c r="B99" s="6" t="s">
        <v>1149</v>
      </c>
      <c r="C99" s="6" t="s">
        <v>1142</v>
      </c>
      <c r="D99" s="64">
        <v>350</v>
      </c>
      <c r="E99" s="6" t="s">
        <v>1143</v>
      </c>
      <c r="F99" s="64">
        <v>37000</v>
      </c>
      <c r="G99" s="69">
        <v>0</v>
      </c>
      <c r="H99" s="63">
        <f t="shared" si="10"/>
        <v>37000</v>
      </c>
      <c r="I99" s="63">
        <f t="shared" si="11"/>
        <v>58076.5</v>
      </c>
      <c r="J99" s="2"/>
      <c r="K99" s="2"/>
      <c r="L99" s="2"/>
      <c r="M99" s="6" t="s">
        <v>1136</v>
      </c>
      <c r="N99" s="6" t="s">
        <v>1137</v>
      </c>
      <c r="O99" s="63">
        <f t="shared" si="12"/>
        <v>0</v>
      </c>
      <c r="P99" s="2"/>
      <c r="Q99" s="2"/>
      <c r="R99" s="2"/>
      <c r="S99" s="2"/>
      <c r="T99" s="2"/>
      <c r="U99" s="2"/>
      <c r="V99" s="2"/>
    </row>
    <row r="100" spans="1:22" ht="15" customHeight="1" x14ac:dyDescent="0.3">
      <c r="A100" s="2"/>
      <c r="B100" s="2"/>
      <c r="C100" s="2"/>
      <c r="D100" s="2"/>
      <c r="E100" s="2"/>
      <c r="F100" s="2"/>
      <c r="G100" s="2"/>
      <c r="H100" s="2"/>
      <c r="I100" s="2"/>
      <c r="J100" s="2"/>
      <c r="K100" s="2"/>
      <c r="L100" s="2"/>
      <c r="M100" s="2"/>
      <c r="N100" s="2"/>
      <c r="O100" s="2"/>
      <c r="P100" s="2"/>
      <c r="Q100" s="2"/>
      <c r="R100" s="2"/>
      <c r="S100" s="2"/>
      <c r="T100" s="2"/>
      <c r="U100" s="2"/>
      <c r="V100" s="2"/>
    </row>
    <row r="101" spans="1:22" ht="15" customHeight="1" x14ac:dyDescent="0.3">
      <c r="A101" s="21" t="s">
        <v>1150</v>
      </c>
      <c r="B101" s="10"/>
      <c r="C101" s="10"/>
      <c r="D101" s="10"/>
      <c r="E101" s="10"/>
      <c r="F101" s="10"/>
      <c r="G101" s="10"/>
      <c r="H101" s="10"/>
      <c r="I101" s="10"/>
      <c r="J101" s="10"/>
      <c r="K101" s="10"/>
      <c r="L101" s="10"/>
      <c r="M101" s="10"/>
      <c r="N101" s="10"/>
      <c r="O101" s="2"/>
      <c r="P101" s="2"/>
      <c r="Q101" s="2"/>
      <c r="R101" s="2"/>
      <c r="S101" s="2"/>
      <c r="T101" s="2"/>
      <c r="U101" s="2"/>
      <c r="V101" s="2"/>
    </row>
    <row r="102" spans="1:22" ht="15" customHeight="1" x14ac:dyDescent="0.3">
      <c r="A102" s="6" t="s">
        <v>1151</v>
      </c>
      <c r="B102" s="6" t="s">
        <v>265</v>
      </c>
      <c r="C102" s="2"/>
      <c r="D102" s="86">
        <f>IF(SUMPRODUCT($R$47:$R$60,--($W$47:$W$60&gt;0),$O$47:$O$60)=0,1,SUMPRODUCT($R$47:$R$60,--($W$47:$W$60&gt;0),$W$47:$W$60)/SUMPRODUCT($R$47:$R$60,--($W$47:$W$60&gt;0),$O$47:$O$60))</f>
        <v>2.116690185446505</v>
      </c>
      <c r="E102" s="2"/>
      <c r="F102" s="2"/>
      <c r="G102" s="6" t="s">
        <v>211</v>
      </c>
      <c r="H102" s="2"/>
      <c r="I102" s="2"/>
      <c r="J102" s="2"/>
      <c r="K102" s="2"/>
      <c r="L102" s="2"/>
      <c r="M102" s="2"/>
      <c r="N102" s="6" t="s">
        <v>1152</v>
      </c>
      <c r="O102" s="2"/>
      <c r="P102" s="2"/>
      <c r="Q102" s="2"/>
      <c r="R102" s="2"/>
      <c r="S102" s="2"/>
      <c r="T102" s="2"/>
      <c r="U102" s="2"/>
      <c r="V102" s="2"/>
    </row>
    <row r="103" spans="1:22" ht="15" customHeight="1" x14ac:dyDescent="0.3">
      <c r="A103" s="6" t="s">
        <v>1153</v>
      </c>
      <c r="B103" s="6" t="s">
        <v>265</v>
      </c>
      <c r="C103" s="2"/>
      <c r="D103" s="86">
        <f>IF(K$183=0,0,K$179/K$183)</f>
        <v>1.4388963012428375</v>
      </c>
      <c r="E103" s="2"/>
      <c r="F103" s="2"/>
      <c r="G103" s="6" t="s">
        <v>211</v>
      </c>
      <c r="H103" s="2"/>
      <c r="I103" s="2"/>
      <c r="J103" s="2"/>
      <c r="K103" s="2"/>
      <c r="L103" s="2"/>
      <c r="M103" s="2"/>
      <c r="N103" s="6" t="s">
        <v>1154</v>
      </c>
      <c r="O103" s="2"/>
      <c r="P103" s="2"/>
      <c r="Q103" s="2"/>
      <c r="R103" s="2"/>
      <c r="S103" s="2"/>
      <c r="T103" s="2"/>
      <c r="U103" s="2"/>
      <c r="V103" s="2"/>
    </row>
    <row r="104" spans="1:22" ht="15" customHeight="1" x14ac:dyDescent="0.3">
      <c r="A104" s="21" t="s">
        <v>1155</v>
      </c>
      <c r="B104" s="10"/>
      <c r="C104" s="10"/>
      <c r="D104" s="10"/>
      <c r="E104" s="10"/>
      <c r="F104" s="10"/>
      <c r="G104" s="10"/>
      <c r="H104" s="10"/>
      <c r="I104" s="10"/>
      <c r="J104" s="10"/>
      <c r="K104" s="10"/>
      <c r="L104" s="10"/>
      <c r="M104" s="10"/>
      <c r="N104" s="10"/>
      <c r="O104" s="2"/>
      <c r="P104" s="2"/>
      <c r="Q104" s="2"/>
      <c r="R104" s="2"/>
      <c r="S104" s="2"/>
      <c r="T104" s="2"/>
      <c r="U104" s="2"/>
      <c r="V104" s="2"/>
    </row>
    <row r="105" spans="1:22" ht="15" customHeight="1" x14ac:dyDescent="0.3">
      <c r="A105" s="6" t="s">
        <v>1156</v>
      </c>
      <c r="B105" s="2"/>
      <c r="C105" s="2"/>
      <c r="D105" s="2"/>
      <c r="E105" s="2"/>
      <c r="F105" s="2"/>
      <c r="G105" s="2"/>
      <c r="H105" s="2"/>
      <c r="I105" s="2"/>
      <c r="J105" s="2"/>
      <c r="K105" s="2"/>
      <c r="L105" s="2"/>
      <c r="M105" s="2"/>
      <c r="N105" s="2"/>
      <c r="O105" s="2"/>
      <c r="P105" s="2"/>
      <c r="Q105" s="2"/>
      <c r="R105" s="2"/>
      <c r="S105" s="2"/>
      <c r="T105" s="2"/>
      <c r="U105" s="2"/>
      <c r="V105" s="2"/>
    </row>
    <row r="106" spans="1:22" ht="15" customHeight="1" x14ac:dyDescent="0.3">
      <c r="A106" s="21" t="s">
        <v>702</v>
      </c>
      <c r="B106" s="21" t="s">
        <v>705</v>
      </c>
      <c r="C106" s="21" t="s">
        <v>704</v>
      </c>
      <c r="D106" s="21" t="s">
        <v>285</v>
      </c>
      <c r="E106" s="21" t="s">
        <v>1157</v>
      </c>
      <c r="F106" s="21" t="s">
        <v>722</v>
      </c>
      <c r="G106" s="21" t="s">
        <v>1158</v>
      </c>
      <c r="H106" s="21" t="s">
        <v>1159</v>
      </c>
      <c r="I106" s="21" t="s">
        <v>1160</v>
      </c>
      <c r="J106" s="21" t="s">
        <v>1161</v>
      </c>
      <c r="K106" s="21" t="s">
        <v>1162</v>
      </c>
      <c r="L106" s="21" t="s">
        <v>1163</v>
      </c>
      <c r="M106" s="21" t="s">
        <v>1164</v>
      </c>
      <c r="N106" s="21" t="s">
        <v>1165</v>
      </c>
      <c r="O106" s="21" t="s">
        <v>1166</v>
      </c>
      <c r="P106" s="21" t="s">
        <v>1167</v>
      </c>
      <c r="Q106" s="21" t="s">
        <v>1168</v>
      </c>
      <c r="R106" s="21" t="s">
        <v>1169</v>
      </c>
      <c r="S106" s="21" t="s">
        <v>1170</v>
      </c>
      <c r="T106" s="21" t="s">
        <v>1171</v>
      </c>
      <c r="U106" s="21" t="s">
        <v>1172</v>
      </c>
      <c r="V106" s="2"/>
    </row>
    <row r="107" spans="1:22" ht="15" customHeight="1" x14ac:dyDescent="0.3">
      <c r="A107" s="44" t="str">
        <f>'Acquisition Schedule'!$A$6</f>
        <v>ANCHOR</v>
      </c>
      <c r="B107" s="13">
        <f>'Acquisition Schedule'!$E$6</f>
        <v>0</v>
      </c>
      <c r="C107" s="44" t="str">
        <f>'Acquisition Schedule'!$D$6</f>
        <v>Clustered</v>
      </c>
      <c r="D107" s="13">
        <f>'Acquisition Schedule'!$I$6</f>
        <v>7812.5</v>
      </c>
      <c r="E107" s="15">
        <f>'Acquisition Schedule'!$J$6</f>
        <v>31.25</v>
      </c>
      <c r="F107" s="12">
        <f>'Acquisition Schedule'!$V$6</f>
        <v>1</v>
      </c>
      <c r="G107" s="63">
        <f t="shared" ref="G107:G115" si="13">SUMPRODUCT(($D107&gt;=$E$47:$E$60)*($Q$47:$Q$60)*($T$47:$T$60+($O$47:$O$60&gt;0)*-INT(-(($D107-$U$47:$U$60)*($D107&gt;$U$47:$U$60)/(($O$47:$O$60)+($O$47:$O$60=0))*(1+$P$47:$P$60*($F107-1)))*$X$47:$X$60)/$X$47:$X$60))</f>
        <v>7</v>
      </c>
      <c r="H107" s="63">
        <f t="shared" ref="H107:H115" si="14">SUMPRODUCT(($D107&gt;=$E$47:$E$60)*($Q$47:$Q$60)*($T$47:$T$60+($O$47:$O$60&gt;0)*-INT(-(($D107-$U$47:$U$60)*($D107&gt;$U$47:$U$60)/(($O$47:$O$60)+($O$47:$O$60=0))*(1+$P$47:$P$60*($F107-1)))*$X$47:$X$60)/$X$47:$X$60),$I$47:$I$60)*$S107</f>
        <v>1074149.4283969798</v>
      </c>
      <c r="I107" s="63">
        <f t="shared" ref="I107:I115" si="15">SUMPRODUCT(($D107&gt;=$E$47:$E$60)*($R$47:$R$60)*($T$47:$T$60+($O$47:$O$60&gt;0)*-INT(-(($D107-$U$47:$U$60)*($D107&gt;$U$47:$U$60)/(($O$47:$O$60)+($O$47:$O$60=0))*(1+$P$47:$P$60*($F107-1)))*$X$47:$X$60)/$X$47:$X$60))</f>
        <v>12</v>
      </c>
      <c r="J107" s="63">
        <f t="shared" ref="J107:J115" si="16">SUMPRODUCT(($D107&gt;=$E$47:$E$60)*($R$47:$R$60)*($T$47:$T$60+($O$47:$O$60&gt;0)*-INT(-(($D107-$U$47:$U$60)*($D107&gt;$U$47:$U$60)/(($O$47:$O$60)+($O$47:$O$60=0))*(1+$P$47:$P$60*($F107-1)))*$X$47:$X$60)/$X$47:$X$60),$I$47:$I$60)*$S107</f>
        <v>1427998.6581920725</v>
      </c>
      <c r="K107" s="63">
        <f t="shared" ref="K107:K115" si="17">SUMPRODUCT(($D107&gt;=$E$47:$E$60)*($S$47:$S$60)*($T$47:$T$60+($O$47:$O$60&gt;0)*-INT(-(($D107-$U$47:$U$60)*($D107&gt;$U$47:$U$60)/(($O$47:$O$60)+($O$47:$O$60=0))*(1+$P$47:$P$60*($F107-1)))*$X$47:$X$60)/$X$47:$X$60))</f>
        <v>3</v>
      </c>
      <c r="L107" s="63">
        <f t="shared" ref="L107:L115" si="18">SUMPRODUCT(($D107&gt;=$E$47:$E$60)*($S$47:$S$60)*($T$47:$T$60+($O$47:$O$60&gt;0)*-INT(-(($D107-$U$47:$U$60)*($D107&gt;$U$47:$U$60)/(($O$47:$O$60)+($O$47:$O$60=0))*(1+$P$47:$P$60*($F107-1)))*$X$47:$X$60)/$X$47:$X$60),$I$47:$I$60)*$S107</f>
        <v>576853.53959812585</v>
      </c>
      <c r="M107" s="63">
        <f t="shared" ref="M107:M115" si="19">H107+J107+L107</f>
        <v>3079001.6261871783</v>
      </c>
      <c r="N107" s="13">
        <f>'Acquisition Schedule'!$G$6-'Acquisition Schedule'!$F$6</f>
        <v>4105335.5015829047</v>
      </c>
      <c r="O107" s="71">
        <f t="shared" ref="O107:O115" si="20">IF(N107=0,0,M107/N107)</f>
        <v>0.74999999999999989</v>
      </c>
      <c r="P107" s="63">
        <f t="shared" ref="P107:P115" si="21">ABS(H107+J107+L107-M107)</f>
        <v>0</v>
      </c>
      <c r="Q107" s="63">
        <f t="shared" ref="Q107:Q115" si="22">SUMPRODUCT((($D107&gt;=$E$47:$E$60)*($T$47:$T$60+($O$47:$O$60&gt;0)*-INT(-(($D107-$U$47:$U$60)*($D107&gt;$U$47:$U$60)/(($O$47:$O$60)+($O$47:$O$60=0))*(1+$P$47:$P$60*($F107-1)))*$X$47:$X$60)/$X$47:$X$60)),$I$47:$I$60)</f>
        <v>3520639.5812499998</v>
      </c>
      <c r="R107" s="13">
        <f>$N107*INDEX(Assumptions!$D$31:$F$31,1,2)</f>
        <v>3079001.6261871783</v>
      </c>
      <c r="S107" s="71">
        <f t="shared" ref="S107:S115" si="23">IF($Q107=0,1,$R107/$Q107)</f>
        <v>0.87455746466782081</v>
      </c>
      <c r="T107" s="63">
        <f t="shared" ref="T107:T115" si="24">SUMPRODUCT((($D107&gt;=$E$47:$E$60)*($T$47:$T$60+($O$47:$O$60&gt;0)*-INT(-(($D107-$U$47:$U$60)*($D107&gt;$U$47:$U$60)/(($O$47:$O$60)+($O$47:$O$60=0))*(1+$P$47:$P$60*($F107-1)))*$X$47:$X$60)/$X$47:$X$60)),($H$47:$H$60+($H$47:$H$60-($H$47:$H$60&gt;$D$30)*($H$47:$H$60-$D$30))*$D$29+$H$47:$H$60*$D$31+($F$47:$F$60-($F$47:$F$60&gt;$D$39)*($F$47:$F$60-$D$39))*$D$38))</f>
        <v>3151787.5812499998</v>
      </c>
      <c r="U107" s="71">
        <f t="shared" ref="U107:U115" si="25">IF($T107=0,1,($R107-($G107+$I107+$K107)*($D$32+$D$33+$D$42+$D$40+$D$41))/$T107)</f>
        <v>0.85987699244386651</v>
      </c>
      <c r="V107" s="2"/>
    </row>
    <row r="108" spans="1:22" ht="15" customHeight="1" x14ac:dyDescent="0.3">
      <c r="A108" s="44" t="str">
        <f>'Acquisition Schedule'!$A$7</f>
        <v>TK01</v>
      </c>
      <c r="B108" s="13">
        <f>'Acquisition Schedule'!$E$7</f>
        <v>1</v>
      </c>
      <c r="C108" s="44" t="str">
        <f>'Acquisition Schedule'!$D$7</f>
        <v>Infill</v>
      </c>
      <c r="D108" s="13">
        <f>'Acquisition Schedule'!$I$7</f>
        <v>5859.375</v>
      </c>
      <c r="E108" s="15">
        <f>'Acquisition Schedule'!$J$7</f>
        <v>23.4375</v>
      </c>
      <c r="F108" s="12">
        <f>'Acquisition Schedule'!$V$7</f>
        <v>0.9</v>
      </c>
      <c r="G108" s="63">
        <f t="shared" si="13"/>
        <v>6</v>
      </c>
      <c r="H108" s="63">
        <f t="shared" si="14"/>
        <v>796667.80972017825</v>
      </c>
      <c r="I108" s="63">
        <f t="shared" si="15"/>
        <v>10</v>
      </c>
      <c r="J108" s="63">
        <f t="shared" si="16"/>
        <v>1015958.1771173049</v>
      </c>
      <c r="K108" s="63">
        <f t="shared" si="17"/>
        <v>3</v>
      </c>
      <c r="L108" s="63">
        <f t="shared" si="18"/>
        <v>496625.23280290031</v>
      </c>
      <c r="M108" s="63">
        <f t="shared" si="19"/>
        <v>2309251.2196403835</v>
      </c>
      <c r="N108" s="13">
        <f>'Acquisition Schedule'!$G$7-'Acquisition Schedule'!$F$7</f>
        <v>3079001.6261871783</v>
      </c>
      <c r="O108" s="71">
        <f t="shared" si="20"/>
        <v>0.74999999999999989</v>
      </c>
      <c r="P108" s="63">
        <f t="shared" si="21"/>
        <v>0</v>
      </c>
      <c r="Q108" s="63">
        <f t="shared" si="22"/>
        <v>3067041.2062499998</v>
      </c>
      <c r="R108" s="13">
        <f>$N108*INDEX(Assumptions!$D$31:$F$31,1,2)</f>
        <v>2309251.2196403835</v>
      </c>
      <c r="S108" s="71">
        <f t="shared" si="23"/>
        <v>0.75292474549562749</v>
      </c>
      <c r="T108" s="63">
        <f t="shared" si="24"/>
        <v>2748487.2062499998</v>
      </c>
      <c r="U108" s="71">
        <f t="shared" si="25"/>
        <v>0.72428833400191261</v>
      </c>
      <c r="V108" s="2"/>
    </row>
    <row r="109" spans="1:22" ht="15" customHeight="1" x14ac:dyDescent="0.3">
      <c r="A109" s="44" t="str">
        <f>'Acquisition Schedule'!$A$8</f>
        <v>TK02</v>
      </c>
      <c r="B109" s="13">
        <f>'Acquisition Schedule'!$E$8</f>
        <v>2</v>
      </c>
      <c r="C109" s="44" t="str">
        <f>'Acquisition Schedule'!$D$8</f>
        <v>Infill</v>
      </c>
      <c r="D109" s="13">
        <f>'Acquisition Schedule'!$I$8</f>
        <v>5859.375</v>
      </c>
      <c r="E109" s="15">
        <f>'Acquisition Schedule'!$J$8</f>
        <v>23.4375</v>
      </c>
      <c r="F109" s="12">
        <f>'Acquisition Schedule'!$V$8</f>
        <v>0.9</v>
      </c>
      <c r="G109" s="63">
        <f t="shared" si="13"/>
        <v>6</v>
      </c>
      <c r="H109" s="63">
        <f t="shared" si="14"/>
        <v>796667.80972017825</v>
      </c>
      <c r="I109" s="63">
        <f t="shared" si="15"/>
        <v>10</v>
      </c>
      <c r="J109" s="63">
        <f t="shared" si="16"/>
        <v>1015958.1771173049</v>
      </c>
      <c r="K109" s="63">
        <f t="shared" si="17"/>
        <v>3</v>
      </c>
      <c r="L109" s="63">
        <f t="shared" si="18"/>
        <v>496625.23280290031</v>
      </c>
      <c r="M109" s="63">
        <f t="shared" si="19"/>
        <v>2309251.2196403835</v>
      </c>
      <c r="N109" s="13">
        <f>'Acquisition Schedule'!$G$8-'Acquisition Schedule'!$F$8</f>
        <v>3079001.6261871783</v>
      </c>
      <c r="O109" s="71">
        <f t="shared" si="20"/>
        <v>0.74999999999999989</v>
      </c>
      <c r="P109" s="63">
        <f t="shared" si="21"/>
        <v>0</v>
      </c>
      <c r="Q109" s="63">
        <f t="shared" si="22"/>
        <v>3067041.2062499998</v>
      </c>
      <c r="R109" s="13">
        <f>$N109*INDEX(Assumptions!$D$31:$F$31,1,2)</f>
        <v>2309251.2196403835</v>
      </c>
      <c r="S109" s="71">
        <f t="shared" si="23"/>
        <v>0.75292474549562749</v>
      </c>
      <c r="T109" s="63">
        <f t="shared" si="24"/>
        <v>2748487.2062499998</v>
      </c>
      <c r="U109" s="71">
        <f t="shared" si="25"/>
        <v>0.72428833400191261</v>
      </c>
      <c r="V109" s="2"/>
    </row>
    <row r="110" spans="1:22" ht="15" customHeight="1" x14ac:dyDescent="0.3">
      <c r="A110" s="44" t="str">
        <f>'Acquisition Schedule'!$A$9</f>
        <v>TK03</v>
      </c>
      <c r="B110" s="13">
        <f>'Acquisition Schedule'!$E$9</f>
        <v>3</v>
      </c>
      <c r="C110" s="44" t="str">
        <f>'Acquisition Schedule'!$D$9</f>
        <v>Clustered</v>
      </c>
      <c r="D110" s="13">
        <f>'Acquisition Schedule'!$I$9</f>
        <v>5859.375</v>
      </c>
      <c r="E110" s="15">
        <f>'Acquisition Schedule'!$J$9</f>
        <v>23.4375</v>
      </c>
      <c r="F110" s="12">
        <f>'Acquisition Schedule'!$V$9</f>
        <v>1</v>
      </c>
      <c r="G110" s="63">
        <f t="shared" si="13"/>
        <v>6</v>
      </c>
      <c r="H110" s="63">
        <f t="shared" si="14"/>
        <v>796667.80972017825</v>
      </c>
      <c r="I110" s="63">
        <f t="shared" si="15"/>
        <v>10</v>
      </c>
      <c r="J110" s="63">
        <f t="shared" si="16"/>
        <v>1015958.1771173049</v>
      </c>
      <c r="K110" s="63">
        <f t="shared" si="17"/>
        <v>3</v>
      </c>
      <c r="L110" s="63">
        <f t="shared" si="18"/>
        <v>496625.23280290031</v>
      </c>
      <c r="M110" s="63">
        <f t="shared" si="19"/>
        <v>2309251.2196403835</v>
      </c>
      <c r="N110" s="13">
        <f>'Acquisition Schedule'!$G$9-'Acquisition Schedule'!$F$9</f>
        <v>3079001.6261871783</v>
      </c>
      <c r="O110" s="71">
        <f t="shared" si="20"/>
        <v>0.74999999999999989</v>
      </c>
      <c r="P110" s="63">
        <f t="shared" si="21"/>
        <v>0</v>
      </c>
      <c r="Q110" s="63">
        <f t="shared" si="22"/>
        <v>3067041.2062499998</v>
      </c>
      <c r="R110" s="13">
        <f>$N110*INDEX(Assumptions!$D$31:$F$31,1,2)</f>
        <v>2309251.2196403835</v>
      </c>
      <c r="S110" s="71">
        <f t="shared" si="23"/>
        <v>0.75292474549562749</v>
      </c>
      <c r="T110" s="63">
        <f t="shared" si="24"/>
        <v>2748487.2062499998</v>
      </c>
      <c r="U110" s="71">
        <f t="shared" si="25"/>
        <v>0.72428833400191261</v>
      </c>
      <c r="V110" s="2"/>
    </row>
    <row r="111" spans="1:22" ht="15" customHeight="1" x14ac:dyDescent="0.3">
      <c r="A111" s="44" t="str">
        <f>'Acquisition Schedule'!$A$10</f>
        <v>TK04</v>
      </c>
      <c r="B111" s="13">
        <f>'Acquisition Schedule'!$E$10</f>
        <v>3</v>
      </c>
      <c r="C111" s="44" t="str">
        <f>'Acquisition Schedule'!$D$10</f>
        <v>Extension</v>
      </c>
      <c r="D111" s="13">
        <f>'Acquisition Schedule'!$I$10</f>
        <v>9765.625</v>
      </c>
      <c r="E111" s="15">
        <f>'Acquisition Schedule'!$J$10</f>
        <v>39.0625</v>
      </c>
      <c r="F111" s="12">
        <f>'Acquisition Schedule'!$V$10</f>
        <v>1.1499999999999999</v>
      </c>
      <c r="G111" s="63">
        <f t="shared" si="13"/>
        <v>9</v>
      </c>
      <c r="H111" s="63">
        <f t="shared" si="14"/>
        <v>1431771.9627009351</v>
      </c>
      <c r="I111" s="63">
        <f t="shared" si="15"/>
        <v>15</v>
      </c>
      <c r="J111" s="63">
        <f t="shared" si="16"/>
        <v>1831209.0824789933</v>
      </c>
      <c r="K111" s="63">
        <f t="shared" si="17"/>
        <v>3</v>
      </c>
      <c r="L111" s="63">
        <f t="shared" si="18"/>
        <v>585770.98755404388</v>
      </c>
      <c r="M111" s="63">
        <f t="shared" si="19"/>
        <v>3848752.0327339727</v>
      </c>
      <c r="N111" s="13">
        <f>'Acquisition Schedule'!$G$10-'Acquisition Schedule'!$F$10</f>
        <v>5131669.3769786302</v>
      </c>
      <c r="O111" s="71">
        <f t="shared" si="20"/>
        <v>0.75</v>
      </c>
      <c r="P111" s="63">
        <f t="shared" si="21"/>
        <v>0</v>
      </c>
      <c r="Q111" s="63">
        <f t="shared" si="22"/>
        <v>4333804.1812500004</v>
      </c>
      <c r="R111" s="13">
        <f>$N111*INDEX(Assumptions!$D$31:$F$31,1,2)</f>
        <v>3848752.0327339727</v>
      </c>
      <c r="S111" s="71">
        <f t="shared" si="23"/>
        <v>0.88807705003964343</v>
      </c>
      <c r="T111" s="63">
        <f t="shared" si="24"/>
        <v>3881122.1812499999</v>
      </c>
      <c r="U111" s="71">
        <f t="shared" si="25"/>
        <v>0.875022705840246</v>
      </c>
      <c r="V111" s="2"/>
    </row>
    <row r="112" spans="1:22" ht="15" customHeight="1" x14ac:dyDescent="0.3">
      <c r="A112" s="44" t="str">
        <f>'Acquisition Schedule'!$A$11</f>
        <v>TK05</v>
      </c>
      <c r="B112" s="13">
        <f>'Acquisition Schedule'!$E$11</f>
        <v>4</v>
      </c>
      <c r="C112" s="44" t="str">
        <f>'Acquisition Schedule'!$D$11</f>
        <v>Infill</v>
      </c>
      <c r="D112" s="13">
        <f>'Acquisition Schedule'!$I$11</f>
        <v>5859.375</v>
      </c>
      <c r="E112" s="15">
        <f>'Acquisition Schedule'!$J$11</f>
        <v>23.4375</v>
      </c>
      <c r="F112" s="12">
        <f>'Acquisition Schedule'!$V$11</f>
        <v>0.9</v>
      </c>
      <c r="G112" s="63">
        <f t="shared" si="13"/>
        <v>6</v>
      </c>
      <c r="H112" s="63">
        <f t="shared" si="14"/>
        <v>796667.80972017825</v>
      </c>
      <c r="I112" s="63">
        <f t="shared" si="15"/>
        <v>10</v>
      </c>
      <c r="J112" s="63">
        <f t="shared" si="16"/>
        <v>1015958.1771173049</v>
      </c>
      <c r="K112" s="63">
        <f t="shared" si="17"/>
        <v>3</v>
      </c>
      <c r="L112" s="63">
        <f t="shared" si="18"/>
        <v>496625.23280290031</v>
      </c>
      <c r="M112" s="63">
        <f t="shared" si="19"/>
        <v>2309251.2196403835</v>
      </c>
      <c r="N112" s="13">
        <f>'Acquisition Schedule'!$G$11-'Acquisition Schedule'!$F$11</f>
        <v>3079001.6261871783</v>
      </c>
      <c r="O112" s="71">
        <f t="shared" si="20"/>
        <v>0.74999999999999989</v>
      </c>
      <c r="P112" s="63">
        <f t="shared" si="21"/>
        <v>0</v>
      </c>
      <c r="Q112" s="63">
        <f t="shared" si="22"/>
        <v>3067041.2062499998</v>
      </c>
      <c r="R112" s="13">
        <f>$N112*INDEX(Assumptions!$D$31:$F$31,1,2)</f>
        <v>2309251.2196403835</v>
      </c>
      <c r="S112" s="71">
        <f t="shared" si="23"/>
        <v>0.75292474549562749</v>
      </c>
      <c r="T112" s="63">
        <f t="shared" si="24"/>
        <v>2748487.2062499998</v>
      </c>
      <c r="U112" s="71">
        <f t="shared" si="25"/>
        <v>0.72428833400191261</v>
      </c>
      <c r="V112" s="2"/>
    </row>
    <row r="113" spans="1:22" ht="15" customHeight="1" x14ac:dyDescent="0.3">
      <c r="A113" s="44" t="str">
        <f>'Acquisition Schedule'!$A$12</f>
        <v>TK06</v>
      </c>
      <c r="B113" s="13">
        <f>'Acquisition Schedule'!$E$12</f>
        <v>5</v>
      </c>
      <c r="C113" s="44" t="str">
        <f>'Acquisition Schedule'!$D$12</f>
        <v>Clustered</v>
      </c>
      <c r="D113" s="13">
        <f>'Acquisition Schedule'!$I$12</f>
        <v>5859.375</v>
      </c>
      <c r="E113" s="15">
        <f>'Acquisition Schedule'!$J$12</f>
        <v>23.4375</v>
      </c>
      <c r="F113" s="12">
        <f>'Acquisition Schedule'!$V$12</f>
        <v>1</v>
      </c>
      <c r="G113" s="63">
        <f t="shared" si="13"/>
        <v>6</v>
      </c>
      <c r="H113" s="63">
        <f t="shared" si="14"/>
        <v>796667.80972017825</v>
      </c>
      <c r="I113" s="63">
        <f t="shared" si="15"/>
        <v>10</v>
      </c>
      <c r="J113" s="63">
        <f t="shared" si="16"/>
        <v>1015958.1771173049</v>
      </c>
      <c r="K113" s="63">
        <f t="shared" si="17"/>
        <v>3</v>
      </c>
      <c r="L113" s="63">
        <f t="shared" si="18"/>
        <v>496625.23280290031</v>
      </c>
      <c r="M113" s="63">
        <f t="shared" si="19"/>
        <v>2309251.2196403835</v>
      </c>
      <c r="N113" s="13">
        <f>'Acquisition Schedule'!$G$12-'Acquisition Schedule'!$F$12</f>
        <v>3079001.6261871783</v>
      </c>
      <c r="O113" s="71">
        <f t="shared" si="20"/>
        <v>0.74999999999999989</v>
      </c>
      <c r="P113" s="63">
        <f t="shared" si="21"/>
        <v>0</v>
      </c>
      <c r="Q113" s="63">
        <f t="shared" si="22"/>
        <v>3067041.2062499998</v>
      </c>
      <c r="R113" s="13">
        <f>$N113*INDEX(Assumptions!$D$31:$F$31,1,2)</f>
        <v>2309251.2196403835</v>
      </c>
      <c r="S113" s="71">
        <f t="shared" si="23"/>
        <v>0.75292474549562749</v>
      </c>
      <c r="T113" s="63">
        <f t="shared" si="24"/>
        <v>2748487.2062499998</v>
      </c>
      <c r="U113" s="71">
        <f t="shared" si="25"/>
        <v>0.72428833400191261</v>
      </c>
      <c r="V113" s="2"/>
    </row>
    <row r="114" spans="1:22" ht="15" customHeight="1" x14ac:dyDescent="0.3">
      <c r="A114" s="44" t="str">
        <f>'Acquisition Schedule'!$A$13</f>
        <v>TK07</v>
      </c>
      <c r="B114" s="13">
        <f>'Acquisition Schedule'!$E$13</f>
        <v>6</v>
      </c>
      <c r="C114" s="44" t="str">
        <f>'Acquisition Schedule'!$D$13</f>
        <v>Infill</v>
      </c>
      <c r="D114" s="13">
        <f>'Acquisition Schedule'!$I$13</f>
        <v>5859.375</v>
      </c>
      <c r="E114" s="15">
        <f>'Acquisition Schedule'!$J$13</f>
        <v>23.4375</v>
      </c>
      <c r="F114" s="12">
        <f>'Acquisition Schedule'!$V$13</f>
        <v>0.9</v>
      </c>
      <c r="G114" s="63">
        <f t="shared" si="13"/>
        <v>6</v>
      </c>
      <c r="H114" s="63">
        <f t="shared" si="14"/>
        <v>796667.80972017825</v>
      </c>
      <c r="I114" s="63">
        <f t="shared" si="15"/>
        <v>10</v>
      </c>
      <c r="J114" s="63">
        <f t="shared" si="16"/>
        <v>1015958.1771173049</v>
      </c>
      <c r="K114" s="63">
        <f t="shared" si="17"/>
        <v>3</v>
      </c>
      <c r="L114" s="63">
        <f t="shared" si="18"/>
        <v>496625.23280290031</v>
      </c>
      <c r="M114" s="63">
        <f t="shared" si="19"/>
        <v>2309251.2196403835</v>
      </c>
      <c r="N114" s="13">
        <f>'Acquisition Schedule'!$G$13-'Acquisition Schedule'!$F$13</f>
        <v>3079001.6261871783</v>
      </c>
      <c r="O114" s="71">
        <f t="shared" si="20"/>
        <v>0.74999999999999989</v>
      </c>
      <c r="P114" s="63">
        <f t="shared" si="21"/>
        <v>0</v>
      </c>
      <c r="Q114" s="63">
        <f t="shared" si="22"/>
        <v>3067041.2062499998</v>
      </c>
      <c r="R114" s="13">
        <f>$N114*INDEX(Assumptions!$D$31:$F$31,1,2)</f>
        <v>2309251.2196403835</v>
      </c>
      <c r="S114" s="71">
        <f t="shared" si="23"/>
        <v>0.75292474549562749</v>
      </c>
      <c r="T114" s="63">
        <f t="shared" si="24"/>
        <v>2748487.2062499998</v>
      </c>
      <c r="U114" s="71">
        <f t="shared" si="25"/>
        <v>0.72428833400191261</v>
      </c>
      <c r="V114" s="2"/>
    </row>
    <row r="115" spans="1:22" ht="15" customHeight="1" x14ac:dyDescent="0.3">
      <c r="A115" s="44" t="str">
        <f>'Acquisition Schedule'!$A$14</f>
        <v>TK08</v>
      </c>
      <c r="B115" s="13">
        <f>'Acquisition Schedule'!$E$14</f>
        <v>7</v>
      </c>
      <c r="C115" s="44" t="str">
        <f>'Acquisition Schedule'!$D$14</f>
        <v>Infill</v>
      </c>
      <c r="D115" s="13">
        <f>'Acquisition Schedule'!$I$14</f>
        <v>5859.375</v>
      </c>
      <c r="E115" s="15">
        <f>'Acquisition Schedule'!$J$14</f>
        <v>23.4375</v>
      </c>
      <c r="F115" s="12">
        <f>'Acquisition Schedule'!$V$14</f>
        <v>0.9</v>
      </c>
      <c r="G115" s="63">
        <f t="shared" si="13"/>
        <v>6</v>
      </c>
      <c r="H115" s="63">
        <f t="shared" si="14"/>
        <v>796667.80972017825</v>
      </c>
      <c r="I115" s="63">
        <f t="shared" si="15"/>
        <v>10</v>
      </c>
      <c r="J115" s="63">
        <f t="shared" si="16"/>
        <v>1015958.1771173049</v>
      </c>
      <c r="K115" s="63">
        <f t="shared" si="17"/>
        <v>3</v>
      </c>
      <c r="L115" s="63">
        <f t="shared" si="18"/>
        <v>496625.23280290031</v>
      </c>
      <c r="M115" s="63">
        <f t="shared" si="19"/>
        <v>2309251.2196403835</v>
      </c>
      <c r="N115" s="13">
        <f>'Acquisition Schedule'!$G$14-'Acquisition Schedule'!$F$14</f>
        <v>3079001.6261871783</v>
      </c>
      <c r="O115" s="71">
        <f t="shared" si="20"/>
        <v>0.74999999999999989</v>
      </c>
      <c r="P115" s="63">
        <f t="shared" si="21"/>
        <v>0</v>
      </c>
      <c r="Q115" s="63">
        <f t="shared" si="22"/>
        <v>3067041.2062499998</v>
      </c>
      <c r="R115" s="13">
        <f>$N115*INDEX(Assumptions!$D$31:$F$31,1,2)</f>
        <v>2309251.2196403835</v>
      </c>
      <c r="S115" s="71">
        <f t="shared" si="23"/>
        <v>0.75292474549562749</v>
      </c>
      <c r="T115" s="63">
        <f t="shared" si="24"/>
        <v>2748487.2062499998</v>
      </c>
      <c r="U115" s="71">
        <f t="shared" si="25"/>
        <v>0.72428833400191261</v>
      </c>
      <c r="V115" s="2"/>
    </row>
    <row r="116" spans="1:22" ht="15" customHeight="1" x14ac:dyDescent="0.3">
      <c r="A116" s="1" t="s">
        <v>1173</v>
      </c>
      <c r="B116" s="2"/>
      <c r="C116" s="2"/>
      <c r="D116" s="40">
        <f>SUM(D107:D115)</f>
        <v>58593.75</v>
      </c>
      <c r="E116" s="40">
        <f>SUM(E107:E115)</f>
        <v>234.375</v>
      </c>
      <c r="F116" s="2"/>
      <c r="G116" s="40">
        <f t="shared" ref="G116:N116" si="26">SUM(G107:G115)</f>
        <v>58</v>
      </c>
      <c r="H116" s="40">
        <f t="shared" si="26"/>
        <v>8082596.0591391623</v>
      </c>
      <c r="I116" s="40">
        <f t="shared" si="26"/>
        <v>97</v>
      </c>
      <c r="J116" s="40">
        <f t="shared" si="26"/>
        <v>10370914.980492199</v>
      </c>
      <c r="K116" s="40">
        <f t="shared" si="26"/>
        <v>27</v>
      </c>
      <c r="L116" s="40">
        <f t="shared" si="26"/>
        <v>4639001.156772472</v>
      </c>
      <c r="M116" s="40">
        <f t="shared" si="26"/>
        <v>23092512.196403831</v>
      </c>
      <c r="N116" s="40">
        <f t="shared" si="26"/>
        <v>30790016.261871785</v>
      </c>
      <c r="O116" s="87">
        <f>MAX(O107:O115)</f>
        <v>0.75</v>
      </c>
      <c r="P116" s="40">
        <f>MAX(P107:P115)</f>
        <v>0</v>
      </c>
      <c r="Q116" s="40">
        <f>SUM(Q107:Q115)</f>
        <v>29323732.206250004</v>
      </c>
      <c r="R116" s="40">
        <f>SUM(R107:R115)</f>
        <v>23092512.196403831</v>
      </c>
      <c r="S116" s="87">
        <f>IF(Q116=0,1,R116/Q116)</f>
        <v>0.78750249231514724</v>
      </c>
      <c r="T116" s="40">
        <f>SUM(T107:T115)</f>
        <v>26272320.206250001</v>
      </c>
      <c r="U116" s="87">
        <f>IF(T116=0,1,(R116-(G116+I116+K116)*($D$32+$D$33+$D$42+$D$40+$D$41))/T116)</f>
        <v>0.76282186114784767</v>
      </c>
      <c r="V116" s="2"/>
    </row>
    <row r="117" spans="1:22" ht="15" customHeight="1" x14ac:dyDescent="0.3">
      <c r="A117" s="6" t="s">
        <v>1174</v>
      </c>
      <c r="B117" s="6" t="s">
        <v>267</v>
      </c>
      <c r="C117" s="2"/>
      <c r="D117" s="71">
        <f>IF(N116=0,0,M116/N116)</f>
        <v>0.74999999999999978</v>
      </c>
      <c r="E117" s="2"/>
      <c r="F117" s="2"/>
      <c r="G117" s="2"/>
      <c r="H117" s="2"/>
      <c r="I117" s="2"/>
      <c r="J117" s="2"/>
      <c r="K117" s="2"/>
      <c r="L117" s="2"/>
      <c r="M117" s="2"/>
      <c r="N117" s="2"/>
      <c r="O117" s="2"/>
      <c r="P117" s="2"/>
      <c r="Q117" s="2"/>
      <c r="R117" s="2"/>
      <c r="S117" s="2"/>
      <c r="T117" s="2"/>
      <c r="U117" s="2"/>
      <c r="V117" s="2"/>
    </row>
    <row r="118" spans="1:22" ht="15" customHeight="1" x14ac:dyDescent="0.3">
      <c r="A118" s="1" t="s">
        <v>1175</v>
      </c>
      <c r="B118" s="6" t="s">
        <v>218</v>
      </c>
      <c r="C118" s="6" t="s">
        <v>211</v>
      </c>
      <c r="D118" s="21" t="s">
        <v>1176</v>
      </c>
      <c r="E118" s="21" t="s">
        <v>738</v>
      </c>
      <c r="F118" s="21" t="s">
        <v>739</v>
      </c>
      <c r="G118" s="21" t="s">
        <v>740</v>
      </c>
      <c r="H118" s="21" t="s">
        <v>741</v>
      </c>
      <c r="I118" s="21" t="s">
        <v>742</v>
      </c>
      <c r="J118" s="21" t="s">
        <v>743</v>
      </c>
      <c r="K118" s="21" t="s">
        <v>744</v>
      </c>
      <c r="L118" s="2"/>
      <c r="M118" s="2"/>
      <c r="N118" s="2"/>
      <c r="O118" s="2"/>
      <c r="P118" s="2"/>
      <c r="Q118" s="2"/>
      <c r="R118" s="2"/>
      <c r="S118" s="2"/>
      <c r="T118" s="2"/>
      <c r="U118" s="2"/>
      <c r="V118" s="2"/>
    </row>
    <row r="119" spans="1:22" ht="15" customHeight="1" x14ac:dyDescent="0.3">
      <c r="A119" s="6" t="s">
        <v>1177</v>
      </c>
      <c r="B119" s="6" t="s">
        <v>1178</v>
      </c>
      <c r="C119" s="6" t="s">
        <v>211</v>
      </c>
      <c r="D119" s="63">
        <f>SUMIFS($H$107:$H$115,$B$107:$B$115,0)</f>
        <v>1074149.4283969798</v>
      </c>
      <c r="E119" s="63">
        <f>SUMIFS($H$107:$H$115,$B$107:$B$115,1)</f>
        <v>796667.80972017825</v>
      </c>
      <c r="F119" s="63">
        <f>SUMIFS($H$107:$H$115,$B$107:$B$115,2)</f>
        <v>796667.80972017825</v>
      </c>
      <c r="G119" s="63">
        <f>SUMIFS($H$107:$H$115,$B$107:$B$115,3)</f>
        <v>2228439.7724211132</v>
      </c>
      <c r="H119" s="63">
        <f>SUMIFS($H$107:$H$115,$B$107:$B$115,4)</f>
        <v>796667.80972017825</v>
      </c>
      <c r="I119" s="63">
        <f>SUMIFS($H$107:$H$115,$B$107:$B$115,5)</f>
        <v>796667.80972017825</v>
      </c>
      <c r="J119" s="63">
        <f>SUMIFS($H$107:$H$115,$B$107:$B$115,6)</f>
        <v>796667.80972017825</v>
      </c>
      <c r="K119" s="63">
        <f>SUMIFS($H$107:$H$115,$B$107:$B$115,7)</f>
        <v>796667.80972017825</v>
      </c>
      <c r="L119" s="2"/>
      <c r="M119" s="2"/>
      <c r="N119" s="2"/>
      <c r="O119" s="2"/>
      <c r="P119" s="2"/>
      <c r="Q119" s="2"/>
      <c r="R119" s="2"/>
      <c r="S119" s="2"/>
      <c r="T119" s="2"/>
      <c r="U119" s="2"/>
      <c r="V119" s="2"/>
    </row>
    <row r="120" spans="1:22" ht="15" customHeight="1" x14ac:dyDescent="0.3">
      <c r="A120" s="6" t="s">
        <v>1179</v>
      </c>
      <c r="B120" s="6" t="s">
        <v>1178</v>
      </c>
      <c r="C120" s="6" t="s">
        <v>211</v>
      </c>
      <c r="D120" s="63">
        <f>SUMIFS($J$107:$J$115,$B$107:$B$115,0)</f>
        <v>1427998.6581920725</v>
      </c>
      <c r="E120" s="63">
        <f>SUMIFS($J$107:$J$115,$B$107:$B$115,1)</f>
        <v>1015958.1771173049</v>
      </c>
      <c r="F120" s="63">
        <f>SUMIFS($J$107:$J$115,$B$107:$B$115,2)</f>
        <v>1015958.1771173049</v>
      </c>
      <c r="G120" s="63">
        <f>SUMIFS($J$107:$J$115,$B$107:$B$115,3)</f>
        <v>2847167.2595962984</v>
      </c>
      <c r="H120" s="63">
        <f>SUMIFS($J$107:$J$115,$B$107:$B$115,4)</f>
        <v>1015958.1771173049</v>
      </c>
      <c r="I120" s="63">
        <f>SUMIFS($J$107:$J$115,$B$107:$B$115,5)</f>
        <v>1015958.1771173049</v>
      </c>
      <c r="J120" s="63">
        <f>SUMIFS($J$107:$J$115,$B$107:$B$115,6)</f>
        <v>1015958.1771173049</v>
      </c>
      <c r="K120" s="63">
        <f>SUMIFS($J$107:$J$115,$B$107:$B$115,7)</f>
        <v>1015958.1771173049</v>
      </c>
      <c r="L120" s="2"/>
      <c r="M120" s="2"/>
      <c r="N120" s="2"/>
      <c r="O120" s="2"/>
      <c r="P120" s="2"/>
      <c r="Q120" s="2"/>
      <c r="R120" s="2"/>
      <c r="S120" s="2"/>
      <c r="T120" s="2"/>
      <c r="U120" s="2"/>
      <c r="V120" s="2"/>
    </row>
    <row r="121" spans="1:22" ht="15" customHeight="1" x14ac:dyDescent="0.3">
      <c r="A121" s="6" t="s">
        <v>1180</v>
      </c>
      <c r="B121" s="6" t="s">
        <v>1178</v>
      </c>
      <c r="C121" s="6" t="s">
        <v>211</v>
      </c>
      <c r="D121" s="63">
        <f>SUMIFS($L$107:$L$115,$B$107:$B$115,0)</f>
        <v>576853.53959812585</v>
      </c>
      <c r="E121" s="63">
        <f>SUMIFS($L$107:$L$115,$B$107:$B$115,1)</f>
        <v>496625.23280290031</v>
      </c>
      <c r="F121" s="63">
        <f>SUMIFS($L$107:$L$115,$B$107:$B$115,2)</f>
        <v>496625.23280290031</v>
      </c>
      <c r="G121" s="63">
        <f>SUMIFS($L$107:$L$115,$B$107:$B$115,3)</f>
        <v>1082396.2203569442</v>
      </c>
      <c r="H121" s="63">
        <f>SUMIFS($L$107:$L$115,$B$107:$B$115,4)</f>
        <v>496625.23280290031</v>
      </c>
      <c r="I121" s="63">
        <f>SUMIFS($L$107:$L$115,$B$107:$B$115,5)</f>
        <v>496625.23280290031</v>
      </c>
      <c r="J121" s="63">
        <f>SUMIFS($L$107:$L$115,$B$107:$B$115,6)</f>
        <v>496625.23280290031</v>
      </c>
      <c r="K121" s="63">
        <f>SUMIFS($L$107:$L$115,$B$107:$B$115,7)</f>
        <v>496625.23280290031</v>
      </c>
      <c r="L121" s="2"/>
      <c r="M121" s="2"/>
      <c r="N121" s="2"/>
      <c r="O121" s="2"/>
      <c r="P121" s="2"/>
      <c r="Q121" s="2"/>
      <c r="R121" s="2"/>
      <c r="S121" s="2"/>
      <c r="T121" s="2"/>
      <c r="U121" s="2"/>
      <c r="V121" s="2"/>
    </row>
    <row r="122" spans="1:22" ht="15" customHeight="1" x14ac:dyDescent="0.3">
      <c r="A122" s="6" t="s">
        <v>1181</v>
      </c>
      <c r="B122" s="6" t="s">
        <v>1178</v>
      </c>
      <c r="C122" s="6" t="s">
        <v>211</v>
      </c>
      <c r="D122" s="63">
        <f>SUMIFS($G$107:$G$115,$B$107:$B$115,0)</f>
        <v>7</v>
      </c>
      <c r="E122" s="63">
        <f>SUMIFS($G$107:$G$115,$B$107:$B$115,1)</f>
        <v>6</v>
      </c>
      <c r="F122" s="63">
        <f>SUMIFS($G$107:$G$115,$B$107:$B$115,2)</f>
        <v>6</v>
      </c>
      <c r="G122" s="63">
        <f>SUMIFS($G$107:$G$115,$B$107:$B$115,3)</f>
        <v>15</v>
      </c>
      <c r="H122" s="63">
        <f>SUMIFS($G$107:$G$115,$B$107:$B$115,4)</f>
        <v>6</v>
      </c>
      <c r="I122" s="63">
        <f>SUMIFS($G$107:$G$115,$B$107:$B$115,5)</f>
        <v>6</v>
      </c>
      <c r="J122" s="63">
        <f>SUMIFS($G$107:$G$115,$B$107:$B$115,6)</f>
        <v>6</v>
      </c>
      <c r="K122" s="63">
        <f>SUMIFS($G$107:$G$115,$B$107:$B$115,7)</f>
        <v>6</v>
      </c>
      <c r="L122" s="2"/>
      <c r="M122" s="2"/>
      <c r="N122" s="2"/>
      <c r="O122" s="2"/>
      <c r="P122" s="2"/>
      <c r="Q122" s="2"/>
      <c r="R122" s="2"/>
      <c r="S122" s="2"/>
      <c r="T122" s="2"/>
      <c r="U122" s="2"/>
      <c r="V122" s="2"/>
    </row>
    <row r="123" spans="1:22" ht="15" customHeight="1" x14ac:dyDescent="0.3">
      <c r="A123" s="6" t="s">
        <v>1182</v>
      </c>
      <c r="B123" s="6" t="s">
        <v>1178</v>
      </c>
      <c r="C123" s="6" t="s">
        <v>211</v>
      </c>
      <c r="D123" s="63">
        <f>SUMIFS($I$107:$I$115,$B$107:$B$115,0)</f>
        <v>12</v>
      </c>
      <c r="E123" s="63">
        <f>SUMIFS($I$107:$I$115,$B$107:$B$115,1)</f>
        <v>10</v>
      </c>
      <c r="F123" s="63">
        <f>SUMIFS($I$107:$I$115,$B$107:$B$115,2)</f>
        <v>10</v>
      </c>
      <c r="G123" s="63">
        <f>SUMIFS($I$107:$I$115,$B$107:$B$115,3)</f>
        <v>25</v>
      </c>
      <c r="H123" s="63">
        <f>SUMIFS($I$107:$I$115,$B$107:$B$115,4)</f>
        <v>10</v>
      </c>
      <c r="I123" s="63">
        <f>SUMIFS($I$107:$I$115,$B$107:$B$115,5)</f>
        <v>10</v>
      </c>
      <c r="J123" s="63">
        <f>SUMIFS($I$107:$I$115,$B$107:$B$115,6)</f>
        <v>10</v>
      </c>
      <c r="K123" s="63">
        <f>SUMIFS($I$107:$I$115,$B$107:$B$115,7)</f>
        <v>10</v>
      </c>
      <c r="L123" s="2"/>
      <c r="M123" s="2"/>
      <c r="N123" s="2"/>
      <c r="O123" s="2"/>
      <c r="P123" s="2"/>
      <c r="Q123" s="2"/>
      <c r="R123" s="2"/>
      <c r="S123" s="2"/>
      <c r="T123" s="2"/>
      <c r="U123" s="2"/>
      <c r="V123" s="2"/>
    </row>
    <row r="124" spans="1:22" ht="15" customHeight="1" x14ac:dyDescent="0.3">
      <c r="A124" s="6" t="s">
        <v>1183</v>
      </c>
      <c r="B124" s="6" t="s">
        <v>1178</v>
      </c>
      <c r="C124" s="6" t="s">
        <v>211</v>
      </c>
      <c r="D124" s="63">
        <f>SUMIFS($K$107:$K$115,$B$107:$B$115,0)</f>
        <v>3</v>
      </c>
      <c r="E124" s="63">
        <f>SUMIFS($K$107:$K$115,$B$107:$B$115,1)</f>
        <v>3</v>
      </c>
      <c r="F124" s="63">
        <f>SUMIFS($K$107:$K$115,$B$107:$B$115,2)</f>
        <v>3</v>
      </c>
      <c r="G124" s="63">
        <f>SUMIFS($K$107:$K$115,$B$107:$B$115,3)</f>
        <v>6</v>
      </c>
      <c r="H124" s="63">
        <f>SUMIFS($K$107:$K$115,$B$107:$B$115,4)</f>
        <v>3</v>
      </c>
      <c r="I124" s="63">
        <f>SUMIFS($K$107:$K$115,$B$107:$B$115,5)</f>
        <v>3</v>
      </c>
      <c r="J124" s="63">
        <f>SUMIFS($K$107:$K$115,$B$107:$B$115,6)</f>
        <v>3</v>
      </c>
      <c r="K124" s="63">
        <f>SUMIFS($K$107:$K$115,$B$107:$B$115,7)</f>
        <v>3</v>
      </c>
      <c r="L124" s="2"/>
      <c r="M124" s="2"/>
      <c r="N124" s="2"/>
      <c r="O124" s="2"/>
      <c r="P124" s="2"/>
      <c r="Q124" s="2"/>
      <c r="R124" s="2"/>
      <c r="S124" s="2"/>
      <c r="T124" s="2"/>
      <c r="U124" s="2"/>
      <c r="V124" s="2"/>
    </row>
    <row r="125" spans="1:22" ht="15" customHeight="1" x14ac:dyDescent="0.3">
      <c r="A125" s="2"/>
      <c r="B125" s="2"/>
      <c r="C125" s="2"/>
      <c r="D125" s="2"/>
      <c r="E125" s="2"/>
      <c r="F125" s="2"/>
      <c r="G125" s="2"/>
      <c r="H125" s="2"/>
      <c r="I125" s="2"/>
      <c r="J125" s="2"/>
      <c r="K125" s="2"/>
      <c r="L125" s="2"/>
      <c r="M125" s="2"/>
      <c r="N125" s="6" t="s">
        <v>1184</v>
      </c>
      <c r="O125" s="2"/>
      <c r="P125" s="2"/>
      <c r="Q125" s="2"/>
      <c r="R125" s="2"/>
      <c r="S125" s="2"/>
      <c r="T125" s="2"/>
      <c r="U125" s="2"/>
      <c r="V125" s="2"/>
    </row>
    <row r="126" spans="1:22" ht="15" customHeight="1" x14ac:dyDescent="0.3">
      <c r="A126" s="2"/>
      <c r="B126" s="2"/>
      <c r="C126" s="2"/>
      <c r="D126" s="2"/>
      <c r="E126" s="2"/>
      <c r="F126" s="2"/>
      <c r="G126" s="2"/>
      <c r="H126" s="2"/>
      <c r="I126" s="2"/>
      <c r="J126" s="2"/>
      <c r="K126" s="2"/>
      <c r="L126" s="2"/>
      <c r="M126" s="2"/>
      <c r="N126" s="2"/>
      <c r="O126" s="2"/>
      <c r="P126" s="2"/>
      <c r="Q126" s="2"/>
      <c r="R126" s="2"/>
      <c r="S126" s="2"/>
      <c r="T126" s="2"/>
      <c r="U126" s="2"/>
      <c r="V126" s="2"/>
    </row>
    <row r="127" spans="1:22" ht="15" customHeight="1" x14ac:dyDescent="0.3">
      <c r="A127" s="2"/>
      <c r="B127" s="2"/>
      <c r="C127" s="2"/>
      <c r="D127" s="2"/>
      <c r="E127" s="2"/>
      <c r="F127" s="2"/>
      <c r="G127" s="2"/>
      <c r="H127" s="2"/>
      <c r="I127" s="2"/>
      <c r="J127" s="2"/>
      <c r="K127" s="2"/>
      <c r="L127" s="2"/>
      <c r="M127" s="2"/>
      <c r="N127" s="2"/>
      <c r="O127" s="2"/>
      <c r="P127" s="2"/>
      <c r="Q127" s="2"/>
      <c r="R127" s="2"/>
      <c r="S127" s="2"/>
      <c r="T127" s="2"/>
      <c r="U127" s="2"/>
      <c r="V127" s="2"/>
    </row>
    <row r="128" spans="1:22" ht="15" customHeight="1" x14ac:dyDescent="0.3">
      <c r="A128" s="21" t="s">
        <v>1185</v>
      </c>
      <c r="B128" s="10"/>
      <c r="C128" s="10"/>
      <c r="D128" s="10"/>
      <c r="E128" s="10"/>
      <c r="F128" s="10"/>
      <c r="G128" s="10"/>
      <c r="H128" s="10"/>
      <c r="I128" s="10"/>
      <c r="J128" s="10"/>
      <c r="K128" s="10"/>
      <c r="L128" s="10"/>
      <c r="M128" s="10"/>
      <c r="N128" s="10"/>
      <c r="O128" s="2"/>
      <c r="P128" s="2"/>
      <c r="Q128" s="2"/>
      <c r="R128" s="2"/>
      <c r="S128" s="2"/>
      <c r="T128" s="2"/>
      <c r="U128" s="2"/>
      <c r="V128" s="2"/>
    </row>
    <row r="129" spans="1:22" ht="15" customHeight="1" x14ac:dyDescent="0.3">
      <c r="A129" s="21" t="s">
        <v>202</v>
      </c>
      <c r="B129" s="10"/>
      <c r="C129" s="10"/>
      <c r="D129" s="21" t="s">
        <v>203</v>
      </c>
      <c r="E129" s="21" t="s">
        <v>204</v>
      </c>
      <c r="F129" s="21" t="s">
        <v>205</v>
      </c>
      <c r="G129" s="21" t="s">
        <v>9</v>
      </c>
      <c r="H129" s="21" t="s">
        <v>206</v>
      </c>
      <c r="I129" s="21" t="s">
        <v>10</v>
      </c>
      <c r="J129" s="21" t="s">
        <v>207</v>
      </c>
      <c r="K129" s="21" t="s">
        <v>11</v>
      </c>
      <c r="L129" s="21" t="s">
        <v>208</v>
      </c>
      <c r="M129" s="21" t="s">
        <v>209</v>
      </c>
      <c r="N129" s="21" t="s">
        <v>12</v>
      </c>
      <c r="O129" s="2"/>
      <c r="P129" s="2"/>
      <c r="Q129" s="2"/>
      <c r="R129" s="2"/>
      <c r="S129" s="2"/>
      <c r="T129" s="2"/>
      <c r="U129" s="2"/>
      <c r="V129" s="2"/>
    </row>
    <row r="130" spans="1:22" ht="15" customHeight="1" x14ac:dyDescent="0.3">
      <c r="A130" s="6" t="s">
        <v>1186</v>
      </c>
      <c r="B130" s="6" t="s">
        <v>265</v>
      </c>
      <c r="C130" s="6" t="s">
        <v>211</v>
      </c>
      <c r="D130" s="88">
        <f>IF('Acquisition Schedule'!F$20=0,0,'Revenue &amp; Durability'!D$18/'Acquisition Schedule'!F$20)</f>
        <v>0.91</v>
      </c>
      <c r="E130" s="88">
        <f>IF('Acquisition Schedule'!F$20=0,0,'Revenue &amp; Durability'!E$18/'Acquisition Schedule'!F$20)</f>
        <v>0.91</v>
      </c>
      <c r="F130" s="88">
        <f>IF('Acquisition Schedule'!F$20=0,0,'Revenue &amp; Durability'!F$18/'Acquisition Schedule'!F$20)</f>
        <v>0.80762500000000004</v>
      </c>
      <c r="G130" s="88">
        <f>IF('Acquisition Schedule'!F$20=0,0,'Revenue &amp; Durability'!G$18/'Acquisition Schedule'!F$20)</f>
        <v>0.71676718750000001</v>
      </c>
      <c r="H130" s="88">
        <f>IF('Acquisition Schedule'!F$20=0,0,'Revenue &amp; Durability'!H$18/'Acquisition Schedule'!F$20)</f>
        <v>0.63613087890624986</v>
      </c>
      <c r="I130" s="88">
        <f>IF('Acquisition Schedule'!F$20=0,0,'Revenue &amp; Durability'!I$18/'Acquisition Schedule'!F$20)</f>
        <v>0.56456615502929686</v>
      </c>
      <c r="J130" s="88">
        <f>IF('Acquisition Schedule'!F$20=0,0,'Revenue &amp; Durability'!J$18/'Acquisition Schedule'!F$20)</f>
        <v>0.501052462588501</v>
      </c>
      <c r="K130" s="88">
        <f>IF('Acquisition Schedule'!F$20=0,0,'Revenue &amp; Durability'!K$18/'Acquisition Schedule'!F$20)</f>
        <v>0.44468406054729454</v>
      </c>
      <c r="L130" s="88">
        <f>IF('Acquisition Schedule'!F$20=0,0,'Revenue &amp; Durability'!L$18/'Acquisition Schedule'!F$20)</f>
        <v>0.39465710373572388</v>
      </c>
      <c r="M130" s="88">
        <f>IF('Acquisition Schedule'!F$20=0,0,'Revenue &amp; Durability'!M$18/'Acquisition Schedule'!F$20)</f>
        <v>0.35025817956545496</v>
      </c>
      <c r="N130" s="88">
        <f>IF('Acquisition Schedule'!F$20=0,0,'Revenue &amp; Durability'!N$18/'Acquisition Schedule'!F$20)</f>
        <v>0.31085413436434128</v>
      </c>
      <c r="O130" s="2"/>
      <c r="P130" s="2"/>
      <c r="Q130" s="2"/>
      <c r="R130" s="2"/>
      <c r="S130" s="2"/>
      <c r="T130" s="2"/>
      <c r="U130" s="2"/>
      <c r="V130" s="2"/>
    </row>
    <row r="131" spans="1:22" ht="15" customHeight="1" x14ac:dyDescent="0.3">
      <c r="A131" s="6" t="s">
        <v>1187</v>
      </c>
      <c r="B131" s="6" t="s">
        <v>265</v>
      </c>
      <c r="C131" s="6" t="s">
        <v>211</v>
      </c>
      <c r="D131" s="88">
        <f>IF('Acquisition Schedule'!G$20=0,0,'Revenue &amp; Durability'!D$19/'Acquisition Schedule'!G$20)</f>
        <v>0</v>
      </c>
      <c r="E131" s="88">
        <f>IF('Acquisition Schedule'!G$20=0,0,'Revenue &amp; Durability'!E$19/'Acquisition Schedule'!G$20)</f>
        <v>0.45500000000000002</v>
      </c>
      <c r="F131" s="88">
        <f>IF('Acquisition Schedule'!G$20=0,0,'Revenue &amp; Durability'!F$19/'Acquisition Schedule'!G$20)</f>
        <v>0.91</v>
      </c>
      <c r="G131" s="88">
        <f>IF('Acquisition Schedule'!G$20=0,0,'Revenue &amp; Durability'!G$19/'Acquisition Schedule'!G$20)</f>
        <v>0.80762500000000004</v>
      </c>
      <c r="H131" s="88">
        <f>IF('Acquisition Schedule'!G$20=0,0,'Revenue &amp; Durability'!H$19/'Acquisition Schedule'!G$20)</f>
        <v>0.71676718750000001</v>
      </c>
      <c r="I131" s="88">
        <f>IF('Acquisition Schedule'!G$20=0,0,'Revenue &amp; Durability'!I$19/'Acquisition Schedule'!G$20)</f>
        <v>0.63613087890624997</v>
      </c>
      <c r="J131" s="88">
        <f>IF('Acquisition Schedule'!G$20=0,0,'Revenue &amp; Durability'!J$19/'Acquisition Schedule'!G$20)</f>
        <v>0.56456615502929686</v>
      </c>
      <c r="K131" s="88">
        <f>IF('Acquisition Schedule'!G$20=0,0,'Revenue &amp; Durability'!K$19/'Acquisition Schedule'!G$20)</f>
        <v>0.50105246258850089</v>
      </c>
      <c r="L131" s="88">
        <f>IF('Acquisition Schedule'!G$20=0,0,'Revenue &amp; Durability'!L$19/'Acquisition Schedule'!G$20)</f>
        <v>0.44468406054729454</v>
      </c>
      <c r="M131" s="88">
        <f>IF('Acquisition Schedule'!G$20=0,0,'Revenue &amp; Durability'!M$19/'Acquisition Schedule'!G$20)</f>
        <v>0.39465710373572382</v>
      </c>
      <c r="N131" s="88">
        <f>IF('Acquisition Schedule'!G$20=0,0,'Revenue &amp; Durability'!N$19/'Acquisition Schedule'!G$20)</f>
        <v>0.35025817956545496</v>
      </c>
      <c r="O131" s="2"/>
      <c r="P131" s="2"/>
      <c r="Q131" s="2"/>
      <c r="R131" s="2"/>
      <c r="S131" s="2"/>
      <c r="T131" s="2"/>
      <c r="U131" s="2"/>
      <c r="V131" s="2"/>
    </row>
    <row r="132" spans="1:22" ht="15" customHeight="1" x14ac:dyDescent="0.3">
      <c r="A132" s="6" t="s">
        <v>1188</v>
      </c>
      <c r="B132" s="6" t="s">
        <v>265</v>
      </c>
      <c r="C132" s="6" t="s">
        <v>211</v>
      </c>
      <c r="D132" s="88">
        <f>IF('Acquisition Schedule'!H$20=0,0,'Revenue &amp; Durability'!D$20/'Acquisition Schedule'!H$20)</f>
        <v>0</v>
      </c>
      <c r="E132" s="88">
        <f>IF('Acquisition Schedule'!H$20=0,0,'Revenue &amp; Durability'!E$20/'Acquisition Schedule'!H$20)</f>
        <v>0</v>
      </c>
      <c r="F132" s="88">
        <f>IF('Acquisition Schedule'!H$20=0,0,'Revenue &amp; Durability'!F$20/'Acquisition Schedule'!H$20)</f>
        <v>0.45500000000000002</v>
      </c>
      <c r="G132" s="88">
        <f>IF('Acquisition Schedule'!H$20=0,0,'Revenue &amp; Durability'!G$20/'Acquisition Schedule'!H$20)</f>
        <v>0.91</v>
      </c>
      <c r="H132" s="88">
        <f>IF('Acquisition Schedule'!H$20=0,0,'Revenue &amp; Durability'!H$20/'Acquisition Schedule'!H$20)</f>
        <v>0.80762500000000004</v>
      </c>
      <c r="I132" s="88">
        <f>IF('Acquisition Schedule'!H$20=0,0,'Revenue &amp; Durability'!I$20/'Acquisition Schedule'!H$20)</f>
        <v>0.71676718750000001</v>
      </c>
      <c r="J132" s="88">
        <f>IF('Acquisition Schedule'!H$20=0,0,'Revenue &amp; Durability'!J$20/'Acquisition Schedule'!H$20)</f>
        <v>0.63613087890624997</v>
      </c>
      <c r="K132" s="88">
        <f>IF('Acquisition Schedule'!H$20=0,0,'Revenue &amp; Durability'!K$20/'Acquisition Schedule'!H$20)</f>
        <v>0.56456615502929686</v>
      </c>
      <c r="L132" s="88">
        <f>IF('Acquisition Schedule'!H$20=0,0,'Revenue &amp; Durability'!L$20/'Acquisition Schedule'!H$20)</f>
        <v>0.50105246258850089</v>
      </c>
      <c r="M132" s="88">
        <f>IF('Acquisition Schedule'!H$20=0,0,'Revenue &amp; Durability'!M$20/'Acquisition Schedule'!H$20)</f>
        <v>0.44468406054729454</v>
      </c>
      <c r="N132" s="88">
        <f>IF('Acquisition Schedule'!H$20=0,0,'Revenue &amp; Durability'!N$20/'Acquisition Schedule'!H$20)</f>
        <v>0.39465710373572382</v>
      </c>
      <c r="O132" s="2"/>
      <c r="P132" s="2"/>
      <c r="Q132" s="2"/>
      <c r="R132" s="2"/>
      <c r="S132" s="2"/>
      <c r="T132" s="2"/>
      <c r="U132" s="2"/>
      <c r="V132" s="2"/>
    </row>
    <row r="133" spans="1:22" ht="15" customHeight="1" x14ac:dyDescent="0.3">
      <c r="A133" s="6" t="s">
        <v>1189</v>
      </c>
      <c r="B133" s="6" t="s">
        <v>265</v>
      </c>
      <c r="C133" s="6" t="s">
        <v>211</v>
      </c>
      <c r="D133" s="88">
        <f>IF('Acquisition Schedule'!I$20=0,0,'Revenue &amp; Durability'!D$21/'Acquisition Schedule'!I$20)</f>
        <v>0</v>
      </c>
      <c r="E133" s="88">
        <f>IF('Acquisition Schedule'!I$20=0,0,'Revenue &amp; Durability'!E$21/'Acquisition Schedule'!I$20)</f>
        <v>0</v>
      </c>
      <c r="F133" s="88">
        <f>IF('Acquisition Schedule'!I$20=0,0,'Revenue &amp; Durability'!F$21/'Acquisition Schedule'!I$20)</f>
        <v>0</v>
      </c>
      <c r="G133" s="88">
        <f>IF('Acquisition Schedule'!I$20=0,0,'Revenue &amp; Durability'!G$21/'Acquisition Schedule'!I$20)</f>
        <v>0.45500000000000002</v>
      </c>
      <c r="H133" s="88">
        <f>IF('Acquisition Schedule'!I$20=0,0,'Revenue &amp; Durability'!H$21/'Acquisition Schedule'!I$20)</f>
        <v>0.91</v>
      </c>
      <c r="I133" s="88">
        <f>IF('Acquisition Schedule'!I$20=0,0,'Revenue &amp; Durability'!I$21/'Acquisition Schedule'!I$20)</f>
        <v>0.80762500000000004</v>
      </c>
      <c r="J133" s="88">
        <f>IF('Acquisition Schedule'!I$20=0,0,'Revenue &amp; Durability'!J$21/'Acquisition Schedule'!I$20)</f>
        <v>0.71676718750000001</v>
      </c>
      <c r="K133" s="88">
        <f>IF('Acquisition Schedule'!I$20=0,0,'Revenue &amp; Durability'!K$21/'Acquisition Schedule'!I$20)</f>
        <v>0.63613087890624986</v>
      </c>
      <c r="L133" s="88">
        <f>IF('Acquisition Schedule'!I$20=0,0,'Revenue &amp; Durability'!L$21/'Acquisition Schedule'!I$20)</f>
        <v>0.56456615502929686</v>
      </c>
      <c r="M133" s="88">
        <f>IF('Acquisition Schedule'!I$20=0,0,'Revenue &amp; Durability'!M$21/'Acquisition Schedule'!I$20)</f>
        <v>0.501052462588501</v>
      </c>
      <c r="N133" s="88">
        <f>IF('Acquisition Schedule'!I$20=0,0,'Revenue &amp; Durability'!N$21/'Acquisition Schedule'!I$20)</f>
        <v>0.44468406054729454</v>
      </c>
      <c r="O133" s="2"/>
      <c r="P133" s="2"/>
      <c r="Q133" s="2"/>
      <c r="R133" s="2"/>
      <c r="S133" s="2"/>
      <c r="T133" s="2"/>
      <c r="U133" s="2"/>
      <c r="V133" s="2"/>
    </row>
    <row r="134" spans="1:22" ht="15" customHeight="1" x14ac:dyDescent="0.3">
      <c r="A134" s="6" t="s">
        <v>1190</v>
      </c>
      <c r="B134" s="6" t="s">
        <v>265</v>
      </c>
      <c r="C134" s="6" t="s">
        <v>211</v>
      </c>
      <c r="D134" s="88">
        <f>IF('Acquisition Schedule'!J$20=0,0,'Revenue &amp; Durability'!D$22/'Acquisition Schedule'!J$20)</f>
        <v>0</v>
      </c>
      <c r="E134" s="88">
        <f>IF('Acquisition Schedule'!J$20=0,0,'Revenue &amp; Durability'!E$22/'Acquisition Schedule'!J$20)</f>
        <v>0</v>
      </c>
      <c r="F134" s="88">
        <f>IF('Acquisition Schedule'!J$20=0,0,'Revenue &amp; Durability'!F$22/'Acquisition Schedule'!J$20)</f>
        <v>0</v>
      </c>
      <c r="G134" s="88">
        <f>IF('Acquisition Schedule'!J$20=0,0,'Revenue &amp; Durability'!G$22/'Acquisition Schedule'!J$20)</f>
        <v>0</v>
      </c>
      <c r="H134" s="88">
        <f>IF('Acquisition Schedule'!J$20=0,0,'Revenue &amp; Durability'!H$22/'Acquisition Schedule'!J$20)</f>
        <v>0.45500000000000002</v>
      </c>
      <c r="I134" s="88">
        <f>IF('Acquisition Schedule'!J$20=0,0,'Revenue &amp; Durability'!I$22/'Acquisition Schedule'!J$20)</f>
        <v>0.91</v>
      </c>
      <c r="J134" s="88">
        <f>IF('Acquisition Schedule'!J$20=0,0,'Revenue &amp; Durability'!J$22/'Acquisition Schedule'!J$20)</f>
        <v>0.80762500000000004</v>
      </c>
      <c r="K134" s="88">
        <f>IF('Acquisition Schedule'!J$20=0,0,'Revenue &amp; Durability'!K$22/'Acquisition Schedule'!J$20)</f>
        <v>0.71676718750000001</v>
      </c>
      <c r="L134" s="88">
        <f>IF('Acquisition Schedule'!J$20=0,0,'Revenue &amp; Durability'!L$22/'Acquisition Schedule'!J$20)</f>
        <v>0.63613087890624997</v>
      </c>
      <c r="M134" s="88">
        <f>IF('Acquisition Schedule'!J$20=0,0,'Revenue &amp; Durability'!M$22/'Acquisition Schedule'!J$20)</f>
        <v>0.56456615502929686</v>
      </c>
      <c r="N134" s="88">
        <f>IF('Acquisition Schedule'!J$20=0,0,'Revenue &amp; Durability'!N$22/'Acquisition Schedule'!J$20)</f>
        <v>0.50105246258850089</v>
      </c>
      <c r="O134" s="2"/>
      <c r="P134" s="2"/>
      <c r="Q134" s="2"/>
      <c r="R134" s="2"/>
      <c r="S134" s="2"/>
      <c r="T134" s="2"/>
      <c r="U134" s="2"/>
      <c r="V134" s="2"/>
    </row>
    <row r="135" spans="1:22" ht="15" customHeight="1" x14ac:dyDescent="0.3">
      <c r="A135" s="6" t="s">
        <v>1191</v>
      </c>
      <c r="B135" s="6" t="s">
        <v>265</v>
      </c>
      <c r="C135" s="6" t="s">
        <v>211</v>
      </c>
      <c r="D135" s="88">
        <f>IF('Acquisition Schedule'!K$20=0,0,'Revenue &amp; Durability'!D$23/'Acquisition Schedule'!K$20)</f>
        <v>0</v>
      </c>
      <c r="E135" s="88">
        <f>IF('Acquisition Schedule'!K$20=0,0,'Revenue &amp; Durability'!E$23/'Acquisition Schedule'!K$20)</f>
        <v>0</v>
      </c>
      <c r="F135" s="88">
        <f>IF('Acquisition Schedule'!K$20=0,0,'Revenue &amp; Durability'!F$23/'Acquisition Schedule'!K$20)</f>
        <v>0</v>
      </c>
      <c r="G135" s="88">
        <f>IF('Acquisition Schedule'!K$20=0,0,'Revenue &amp; Durability'!G$23/'Acquisition Schedule'!K$20)</f>
        <v>0</v>
      </c>
      <c r="H135" s="88">
        <f>IF('Acquisition Schedule'!K$20=0,0,'Revenue &amp; Durability'!H$23/'Acquisition Schedule'!K$20)</f>
        <v>0</v>
      </c>
      <c r="I135" s="88">
        <f>IF('Acquisition Schedule'!K$20=0,0,'Revenue &amp; Durability'!I$23/'Acquisition Schedule'!K$20)</f>
        <v>0.45500000000000002</v>
      </c>
      <c r="J135" s="88">
        <f>IF('Acquisition Schedule'!K$20=0,0,'Revenue &amp; Durability'!J$23/'Acquisition Schedule'!K$20)</f>
        <v>0.91</v>
      </c>
      <c r="K135" s="88">
        <f>IF('Acquisition Schedule'!K$20=0,0,'Revenue &amp; Durability'!K$23/'Acquisition Schedule'!K$20)</f>
        <v>0.80762500000000004</v>
      </c>
      <c r="L135" s="88">
        <f>IF('Acquisition Schedule'!K$20=0,0,'Revenue &amp; Durability'!L$23/'Acquisition Schedule'!K$20)</f>
        <v>0.71676718750000001</v>
      </c>
      <c r="M135" s="88">
        <f>IF('Acquisition Schedule'!K$20=0,0,'Revenue &amp; Durability'!M$23/'Acquisition Schedule'!K$20)</f>
        <v>0.63613087890624997</v>
      </c>
      <c r="N135" s="88">
        <f>IF('Acquisition Schedule'!K$20=0,0,'Revenue &amp; Durability'!N$23/'Acquisition Schedule'!K$20)</f>
        <v>0.56456615502929686</v>
      </c>
      <c r="O135" s="2"/>
      <c r="P135" s="2"/>
      <c r="Q135" s="2"/>
      <c r="R135" s="2"/>
      <c r="S135" s="2"/>
      <c r="T135" s="2"/>
      <c r="U135" s="2"/>
      <c r="V135" s="2"/>
    </row>
    <row r="136" spans="1:22" ht="15" customHeight="1" x14ac:dyDescent="0.3">
      <c r="A136" s="6" t="s">
        <v>1192</v>
      </c>
      <c r="B136" s="6" t="s">
        <v>265</v>
      </c>
      <c r="C136" s="6" t="s">
        <v>211</v>
      </c>
      <c r="D136" s="88">
        <f>IF('Acquisition Schedule'!L$20=0,0,'Revenue &amp; Durability'!D$24/'Acquisition Schedule'!L$20)</f>
        <v>0</v>
      </c>
      <c r="E136" s="88">
        <f>IF('Acquisition Schedule'!L$20=0,0,'Revenue &amp; Durability'!E$24/'Acquisition Schedule'!L$20)</f>
        <v>0</v>
      </c>
      <c r="F136" s="88">
        <f>IF('Acquisition Schedule'!L$20=0,0,'Revenue &amp; Durability'!F$24/'Acquisition Schedule'!L$20)</f>
        <v>0</v>
      </c>
      <c r="G136" s="88">
        <f>IF('Acquisition Schedule'!L$20=0,0,'Revenue &amp; Durability'!G$24/'Acquisition Schedule'!L$20)</f>
        <v>0</v>
      </c>
      <c r="H136" s="88">
        <f>IF('Acquisition Schedule'!L$20=0,0,'Revenue &amp; Durability'!H$24/'Acquisition Schedule'!L$20)</f>
        <v>0</v>
      </c>
      <c r="I136" s="88">
        <f>IF('Acquisition Schedule'!L$20=0,0,'Revenue &amp; Durability'!I$24/'Acquisition Schedule'!L$20)</f>
        <v>0</v>
      </c>
      <c r="J136" s="88">
        <f>IF('Acquisition Schedule'!L$20=0,0,'Revenue &amp; Durability'!J$24/'Acquisition Schedule'!L$20)</f>
        <v>0.45500000000000002</v>
      </c>
      <c r="K136" s="88">
        <f>IF('Acquisition Schedule'!L$20=0,0,'Revenue &amp; Durability'!K$24/'Acquisition Schedule'!L$20)</f>
        <v>0.91</v>
      </c>
      <c r="L136" s="88">
        <f>IF('Acquisition Schedule'!L$20=0,0,'Revenue &amp; Durability'!L$24/'Acquisition Schedule'!L$20)</f>
        <v>0.80762500000000004</v>
      </c>
      <c r="M136" s="88">
        <f>IF('Acquisition Schedule'!L$20=0,0,'Revenue &amp; Durability'!M$24/'Acquisition Schedule'!L$20)</f>
        <v>0.71676718750000001</v>
      </c>
      <c r="N136" s="88">
        <f>IF('Acquisition Schedule'!L$20=0,0,'Revenue &amp; Durability'!N$24/'Acquisition Schedule'!L$20)</f>
        <v>0.63613087890624997</v>
      </c>
      <c r="O136" s="2"/>
      <c r="P136" s="2"/>
      <c r="Q136" s="2"/>
      <c r="R136" s="2"/>
      <c r="S136" s="2"/>
      <c r="T136" s="2"/>
      <c r="U136" s="2"/>
      <c r="V136" s="2"/>
    </row>
    <row r="137" spans="1:22" ht="15" customHeight="1" x14ac:dyDescent="0.3">
      <c r="A137" s="6" t="s">
        <v>1193</v>
      </c>
      <c r="B137" s="6" t="s">
        <v>265</v>
      </c>
      <c r="C137" s="6" t="s">
        <v>211</v>
      </c>
      <c r="D137" s="88">
        <f>IF('Acquisition Schedule'!M$20=0,0,'Revenue &amp; Durability'!D$25/'Acquisition Schedule'!M$20)</f>
        <v>0</v>
      </c>
      <c r="E137" s="88">
        <f>IF('Acquisition Schedule'!M$20=0,0,'Revenue &amp; Durability'!E$25/'Acquisition Schedule'!M$20)</f>
        <v>0</v>
      </c>
      <c r="F137" s="88">
        <f>IF('Acquisition Schedule'!M$20=0,0,'Revenue &amp; Durability'!F$25/'Acquisition Schedule'!M$20)</f>
        <v>0</v>
      </c>
      <c r="G137" s="88">
        <f>IF('Acquisition Schedule'!M$20=0,0,'Revenue &amp; Durability'!G$25/'Acquisition Schedule'!M$20)</f>
        <v>0</v>
      </c>
      <c r="H137" s="88">
        <f>IF('Acquisition Schedule'!M$20=0,0,'Revenue &amp; Durability'!H$25/'Acquisition Schedule'!M$20)</f>
        <v>0</v>
      </c>
      <c r="I137" s="88">
        <f>IF('Acquisition Schedule'!M$20=0,0,'Revenue &amp; Durability'!I$25/'Acquisition Schedule'!M$20)</f>
        <v>0</v>
      </c>
      <c r="J137" s="88">
        <f>IF('Acquisition Schedule'!M$20=0,0,'Revenue &amp; Durability'!J$25/'Acquisition Schedule'!M$20)</f>
        <v>0</v>
      </c>
      <c r="K137" s="88">
        <f>IF('Acquisition Schedule'!M$20=0,0,'Revenue &amp; Durability'!K$25/'Acquisition Schedule'!M$20)</f>
        <v>0.45500000000000002</v>
      </c>
      <c r="L137" s="88">
        <f>IF('Acquisition Schedule'!M$20=0,0,'Revenue &amp; Durability'!L$25/'Acquisition Schedule'!M$20)</f>
        <v>0.91</v>
      </c>
      <c r="M137" s="88">
        <f>IF('Acquisition Schedule'!M$20=0,0,'Revenue &amp; Durability'!M$25/'Acquisition Schedule'!M$20)</f>
        <v>0.80762500000000004</v>
      </c>
      <c r="N137" s="88">
        <f>IF('Acquisition Schedule'!M$20=0,0,'Revenue &amp; Durability'!N$25/'Acquisition Schedule'!M$20)</f>
        <v>0.71676718750000001</v>
      </c>
      <c r="O137" s="2"/>
      <c r="P137" s="2"/>
      <c r="Q137" s="2"/>
      <c r="R137" s="2"/>
      <c r="S137" s="2"/>
      <c r="T137" s="2"/>
      <c r="U137" s="2"/>
      <c r="V137" s="2"/>
    </row>
    <row r="138" spans="1:22" ht="15" customHeight="1" x14ac:dyDescent="0.3">
      <c r="A138" s="2"/>
      <c r="B138" s="2"/>
      <c r="C138" s="2"/>
      <c r="D138" s="2"/>
      <c r="E138" s="2"/>
      <c r="F138" s="2"/>
      <c r="G138" s="2"/>
      <c r="H138" s="2"/>
      <c r="I138" s="2"/>
      <c r="J138" s="2"/>
      <c r="K138" s="2"/>
      <c r="L138" s="2"/>
      <c r="M138" s="2"/>
      <c r="N138" s="2"/>
      <c r="O138" s="2"/>
      <c r="P138" s="2"/>
      <c r="Q138" s="2"/>
      <c r="R138" s="2"/>
      <c r="S138" s="2"/>
      <c r="T138" s="2"/>
      <c r="U138" s="2"/>
      <c r="V138" s="2"/>
    </row>
    <row r="139" spans="1:22" ht="15" customHeight="1" x14ac:dyDescent="0.3">
      <c r="A139" s="6" t="s">
        <v>1194</v>
      </c>
      <c r="B139" s="6" t="s">
        <v>219</v>
      </c>
      <c r="C139" s="6" t="s">
        <v>211</v>
      </c>
      <c r="D139" s="63">
        <f>D$122*D130+E$122*D131+F$122*D132+G$122*D133+H$122*D134+I$122*D135+J$122*D136+K$122*D137</f>
        <v>6.37</v>
      </c>
      <c r="E139" s="63">
        <f>D$122*E130+E$122*E131+F$122*E132+G$122*E133+H$122*E134+I$122*E135+J$122*E136+K$122*E137</f>
        <v>9.1</v>
      </c>
      <c r="F139" s="63">
        <f>D$122*F130+E$122*F131+F$122*F132+G$122*F133+H$122*F134+I$122*F135+J$122*F136+K$122*F137</f>
        <v>13.843375000000002</v>
      </c>
      <c r="G139" s="63">
        <f>D$122*G130+E$122*G131+F$122*G132+G$122*G133+H$122*G134+I$122*G135+J$122*G136+K$122*G137</f>
        <v>22.148120312500001</v>
      </c>
      <c r="H139" s="63">
        <f>D$122*H130+E$122*H131+F$122*H132+G$122*H133+H$122*H134+I$122*H135+J$122*H136+K$122*H137</f>
        <v>29.97926927734375</v>
      </c>
      <c r="I139" s="63">
        <f>D$122*I130+E$122*I131+F$122*I132+G$122*I133+H$122*I134+I$122*I135+J$122*I136+K$122*I137</f>
        <v>32.373726483642578</v>
      </c>
      <c r="J139" s="63">
        <f>D$122*J130+E$122*J131+F$122*J132+G$122*J133+H$122*J134+I$122*J135+J$122*J136+K$122*J137</f>
        <v>34.498807254232787</v>
      </c>
      <c r="K139" s="63">
        <f>D$122*K130+E$122*K131+F$122*K132+G$122*K133+H$122*K134+I$122*K135+J$122*K136+K$122*K137</f>
        <v>36.384816438131594</v>
      </c>
      <c r="L139" s="63">
        <f>D$122*L130+E$122*L131+F$122*L132+G$122*L133+H$122*L134+I$122*L135+J$122*L136+K$122*L137</f>
        <v>35.328649588841792</v>
      </c>
      <c r="M139" s="63">
        <f>D$122*M130+E$122*M131+F$122*M132+G$122*M133+H$122*M134+I$122*M135+J$122*M136+K$122*M137</f>
        <v>31.354176510097091</v>
      </c>
      <c r="N139" s="63">
        <f>D$122*N130+E$122*N131+F$122*N132+G$122*N133+H$122*N134+I$122*N135+J$122*N136+K$122*N137</f>
        <v>27.826831652711171</v>
      </c>
      <c r="O139" s="2"/>
      <c r="P139" s="2"/>
      <c r="Q139" s="2"/>
      <c r="R139" s="2"/>
      <c r="S139" s="2"/>
      <c r="T139" s="2"/>
      <c r="U139" s="2"/>
      <c r="V139" s="2"/>
    </row>
    <row r="140" spans="1:22" ht="15" customHeight="1" x14ac:dyDescent="0.3">
      <c r="A140" s="6" t="s">
        <v>1195</v>
      </c>
      <c r="B140" s="6" t="s">
        <v>218</v>
      </c>
      <c r="C140" s="6" t="s">
        <v>211</v>
      </c>
      <c r="D140" s="13">
        <f>(D$119*D130+E$119*D131+F$119*D132+G$119*D133+H$119*D134+I$119*D135+J$119*D136+K$119*D137)*(1+INDEX(Assumptions!$D$88:$F$88,1,1))^0</f>
        <v>977475.97984125162</v>
      </c>
      <c r="E140" s="13">
        <f>(D$119*E130+E$119*E131+F$119*E132+G$119*E133+H$119*E134+I$119*E135+J$119*E136+K$119*E137)*(1+INDEX(Assumptions!$D$88:$F$88,1,1))^0</f>
        <v>1339959.8332639327</v>
      </c>
      <c r="F140" s="13">
        <f>(D$119*F130+E$119*F131+F$119*F132+G$119*F133+H$119*F134+I$119*F135+J$119*F136+K$119*F137)*(1+INDEX(Assumptions!$D$88:$F$88,1,1))^1</f>
        <v>2023385.1446103544</v>
      </c>
      <c r="G140" s="13">
        <f>(D$119*G130+E$119*G131+F$119*G132+G$119*G133+H$119*G134+I$119*G135+J$119*G136+K$119*G137)*(1+INDEX(Assumptions!$D$88:$F$88,1,1))^2</f>
        <v>3376749.4112620372</v>
      </c>
      <c r="H140" s="13">
        <f>(D$119*H130+E$119*H131+F$119*H132+G$119*H133+H$119*H134+I$119*H135+J$119*H136+K$119*H137)*(1+INDEX(Assumptions!$D$88:$F$88,1,1))^3</f>
        <v>4754290.7376615619</v>
      </c>
      <c r="I140" s="13">
        <f>(D$119*I130+E$119*I131+F$119*I132+G$119*I133+H$119*I134+I$119*I135+J$119*I136+K$119*I137)*(1+INDEX(Assumptions!$D$88:$F$88,1,1))^4</f>
        <v>5245825.641933905</v>
      </c>
      <c r="J140" s="13">
        <f>(D$119*J130+E$119*J131+F$119*J132+G$119*J133+H$119*J134+I$119*J135+J$119*J136+K$119*J137)*(1+INDEX(Assumptions!$D$88:$F$88,1,1))^5</f>
        <v>5728086.1084072925</v>
      </c>
      <c r="K140" s="13">
        <f>(D$119*K130+E$119*K131+F$119*K132+G$119*K133+H$119*K134+I$119*K135+J$119*K136+K$119*K137)*(1+INDEX(Assumptions!$D$88:$F$88,1,1))^6</f>
        <v>6202903.8468688475</v>
      </c>
      <c r="L140" s="13">
        <f>(D$119*L130+E$119*L131+F$119*L132+G$119*L133+H$119*L134+I$119*L135+J$119*L136+K$119*L137)*(1+INDEX(Assumptions!$D$88:$F$88,1,1))^7</f>
        <v>6210818.3822390679</v>
      </c>
      <c r="M140" s="13">
        <f>(D$119*M130+E$119*M131+F$119*M132+G$119*M133+H$119*M134+I$119*M135+J$119*M136+K$119*M137)*(1+INDEX(Assumptions!$D$88:$F$88,1,1))^8</f>
        <v>5705024.8602354722</v>
      </c>
      <c r="N140" s="13">
        <f>(D$119*N130+E$119*N131+F$119*N132+G$119*N133+H$119*N134+I$119*N135+J$119*N136+K$119*N137)*(1+INDEX(Assumptions!$D$88:$F$88,1,1))^9</f>
        <v>5240421.8981800443</v>
      </c>
      <c r="O140" s="2"/>
      <c r="P140" s="2"/>
      <c r="Q140" s="2"/>
      <c r="R140" s="2"/>
      <c r="S140" s="2"/>
      <c r="T140" s="2"/>
      <c r="U140" s="2"/>
      <c r="V140" s="2"/>
    </row>
    <row r="141" spans="1:22" ht="15" customHeight="1" x14ac:dyDescent="0.3">
      <c r="A141" s="6" t="s">
        <v>1196</v>
      </c>
      <c r="B141" s="6" t="s">
        <v>219</v>
      </c>
      <c r="C141" s="6" t="s">
        <v>211</v>
      </c>
      <c r="D141" s="63">
        <f>D$123*D130+E$123*D131+F$123*D132+G$123*D133+H$123*D134+I$123*D135+J$123*D136+K$123*D137</f>
        <v>10.92</v>
      </c>
      <c r="E141" s="63">
        <f>D$123*E130+E$123*E131+F$123*E132+G$123*E133+H$123*E134+I$123*E135+J$123*E136+K$123*E137</f>
        <v>15.469999999999999</v>
      </c>
      <c r="F141" s="63">
        <f>D$123*F130+E$123*F131+F$123*F132+G$123*F133+H$123*F134+I$123*F135+J$123*F136+K$123*F137</f>
        <v>23.3415</v>
      </c>
      <c r="G141" s="63">
        <f>D$123*G130+E$123*G131+F$123*G132+G$123*G133+H$123*G134+I$123*G135+J$123*G136+K$123*G137</f>
        <v>37.15245625</v>
      </c>
      <c r="H141" s="63">
        <f>D$123*H130+E$123*H131+F$123*H132+G$123*H133+H$123*H134+I$123*H135+J$123*H136+K$123*H137</f>
        <v>50.177492421874994</v>
      </c>
      <c r="I141" s="63">
        <f>D$123*I130+E$123*I131+F$123*I132+G$123*I133+H$123*I134+I$123*I135+J$123*I136+K$123*I137</f>
        <v>54.144399524414062</v>
      </c>
      <c r="J141" s="63">
        <f>D$123*J130+E$123*J131+F$123*J132+G$123*J133+H$123*J134+I$123*J135+J$123*J136+K$123*J137</f>
        <v>57.665029577917487</v>
      </c>
      <c r="K141" s="63">
        <f>D$123*K130+E$123*K131+F$123*K132+G$123*K133+H$123*K134+I$123*K135+J$123*K136+K$123*K137</f>
        <v>60.789588750401755</v>
      </c>
      <c r="L141" s="63">
        <f>D$123*L130+E$123*L131+F$123*L132+G$123*L133+H$123*L134+I$123*L135+J$123*L136+K$123*L137</f>
        <v>59.012635015981566</v>
      </c>
      <c r="M141" s="63">
        <f>D$123*M130+E$123*M131+F$123*M132+G$123*M133+H$123*M134+I$123*M135+J$123*M136+K$123*M137</f>
        <v>52.373713576683642</v>
      </c>
      <c r="N141" s="63">
        <f>D$123*N130+E$123*N131+F$123*N132+G$123*N133+H$123*N134+I$123*N135+J$123*N136+K$123*N137</f>
        <v>46.481670799306727</v>
      </c>
      <c r="O141" s="2"/>
      <c r="P141" s="2"/>
      <c r="Q141" s="2"/>
      <c r="R141" s="2"/>
      <c r="S141" s="2"/>
      <c r="T141" s="2"/>
      <c r="U141" s="2"/>
      <c r="V141" s="2"/>
    </row>
    <row r="142" spans="1:22" ht="15" customHeight="1" x14ac:dyDescent="0.3">
      <c r="A142" s="1" t="s">
        <v>242</v>
      </c>
      <c r="B142" s="6" t="s">
        <v>218</v>
      </c>
      <c r="C142" s="6" t="s">
        <v>211</v>
      </c>
      <c r="D142" s="39">
        <f>(D$120*D130+E$120*D131+F$120*D132+G$120*D133+H$120*D134+I$120*D135+J$120*D136+K$120*D137)*(1+INDEX(Assumptions!$D$88:$F$88,1,1))^0*(1-Assumptions!$D$8)</f>
        <v>1299478.778954786</v>
      </c>
      <c r="E142" s="39">
        <f>(D$120*E130+E$120*E131+F$120*E132+G$120*E133+H$120*E134+I$120*E135+J$120*E136+K$120*E137)*(1+INDEX(Assumptions!$D$88:$F$88,1,1))^0*(1-Assumptions!$D$8)</f>
        <v>1761739.7495431597</v>
      </c>
      <c r="F142" s="39">
        <f>(D$120*F130+E$120*F131+F$120*F132+G$120*F133+H$120*F134+I$120*F135+J$120*F136+K$120*F137)*(1+INDEX(Assumptions!$D$88:$F$88,1,1))^1*(1-Assumptions!$D$8)</f>
        <v>2628972.789570556</v>
      </c>
      <c r="G142" s="39">
        <f>(D$120*G130+E$120*G131+F$120*G132+G$120*G133+H$120*G134+I$120*G135+J$120*G136+K$120*G137)*(1+INDEX(Assumptions!$D$88:$F$88,1,1))^2*(1-Assumptions!$D$8)</f>
        <v>4353500.0160987936</v>
      </c>
      <c r="H142" s="39">
        <f>(D$120*H130+E$120*H131+F$120*H132+G$120*H133+H$120*H134+I$120*H135+J$120*H136+K$120*H137)*(1+INDEX(Assumptions!$D$88:$F$88,1,1))^3*(1-Assumptions!$D$8)</f>
        <v>6109363.590092835</v>
      </c>
      <c r="I142" s="39">
        <f>(D$120*I130+E$120*I131+F$120*I132+G$120*I133+H$120*I134+I$120*I135+J$120*I136+K$120*I137)*(1+INDEX(Assumptions!$D$88:$F$88,1,1))^4*(1-Assumptions!$D$8)</f>
        <v>6732418.6831120988</v>
      </c>
      <c r="J142" s="39">
        <f>(D$120*J130+E$120*J131+F$120*J132+G$120*J133+H$120*J134+I$120*J135+J$120*J136+K$120*J137)*(1+INDEX(Assumptions!$D$88:$F$88,1,1))^5*(1-Assumptions!$D$8)</f>
        <v>7343954.2506571636</v>
      </c>
      <c r="K142" s="39">
        <f>(D$120*K130+E$120*K131+F$120*K132+G$120*K133+H$120*K134+I$120*K135+J$120*K136+K$120*K137)*(1+INDEX(Assumptions!$D$88:$F$88,1,1))^6*(1-Assumptions!$D$8)</f>
        <v>7946281.1324120639</v>
      </c>
      <c r="L142" s="39">
        <f>(D$120*L130+E$120*L131+F$120*L132+G$120*L133+H$120*L134+I$120*L135+J$120*L136+K$120*L137)*(1+INDEX(Assumptions!$D$88:$F$88,1,1))^7*(1-Assumptions!$D$8)</f>
        <v>7953444.9773296118</v>
      </c>
      <c r="M142" s="39">
        <f>(D$120*M130+E$120*M131+F$120*M132+G$120*M133+H$120*M134+I$120*M135+J$120*M136+K$120*M137)*(1+INDEX(Assumptions!$D$88:$F$88,1,1))^8*(1-Assumptions!$D$8)</f>
        <v>7305736.3019883288</v>
      </c>
      <c r="N142" s="39">
        <f>(D$120*N130+E$120*N131+F$120*N132+G$120*N133+H$120*N134+I$120*N135+J$120*N136+K$120*N137)*(1+INDEX(Assumptions!$D$88:$F$88,1,1))^9*(1-Assumptions!$D$8)</f>
        <v>6710775.4018951515</v>
      </c>
      <c r="O142" s="2"/>
      <c r="P142" s="2"/>
      <c r="Q142" s="2"/>
      <c r="R142" s="2"/>
      <c r="S142" s="2"/>
      <c r="T142" s="2"/>
      <c r="U142" s="2"/>
      <c r="V142" s="2"/>
    </row>
    <row r="143" spans="1:22" ht="15" customHeight="1" x14ac:dyDescent="0.3">
      <c r="A143" s="6" t="s">
        <v>1197</v>
      </c>
      <c r="B143" s="6" t="s">
        <v>219</v>
      </c>
      <c r="C143" s="6" t="s">
        <v>211</v>
      </c>
      <c r="D143" s="63">
        <f>D$124*D130+E$124*D131+F$124*D132+G$124*D133+H$124*D134+I$124*D135+J$124*D136+K$124*D137</f>
        <v>2.73</v>
      </c>
      <c r="E143" s="63">
        <f>D$124*E130+E$124*E131+F$124*E132+G$124*E133+H$124*E134+I$124*E135+J$124*E136+K$124*E137</f>
        <v>4.0949999999999998</v>
      </c>
      <c r="F143" s="63">
        <f>D$124*F130+E$124*F131+F$124*F132+G$124*F133+H$124*F134+I$124*F135+J$124*F136+K$124*F137</f>
        <v>6.5178750000000001</v>
      </c>
      <c r="G143" s="63">
        <f>D$124*G130+E$124*G131+F$124*G132+G$124*G133+H$124*G134+I$124*G135+J$124*G136+K$124*G137</f>
        <v>10.033176562500001</v>
      </c>
      <c r="H143" s="63">
        <f>D$124*H130+E$124*H131+F$124*H132+G$124*H133+H$124*H134+I$124*H135+J$124*H136+K$124*H137</f>
        <v>13.306569199218751</v>
      </c>
      <c r="I143" s="63">
        <f>D$124*I130+E$124*I131+F$124*I132+G$124*I133+H$124*I134+I$124*I135+J$124*I136+K$124*I137</f>
        <v>14.693142664306642</v>
      </c>
      <c r="J143" s="63">
        <f>D$124*J130+E$124*J131+F$124*J132+G$124*J133+H$124*J134+I$124*J135+J$124*J136+K$124*J137</f>
        <v>15.923726614572145</v>
      </c>
      <c r="K143" s="63">
        <f>D$124*K130+E$124*K131+F$124*K132+G$124*K133+H$124*K134+I$124*K135+J$124*K136+K$124*K137</f>
        <v>17.015869870432777</v>
      </c>
      <c r="L143" s="63">
        <f>D$124*L130+E$124*L131+F$124*L132+G$124*L133+H$124*L134+I$124*L135+J$124*L136+K$124*L137</f>
        <v>16.620147010009092</v>
      </c>
      <c r="M143" s="63">
        <f>D$124*M130+E$124*M131+F$124*M132+G$124*M133+H$124*M134+I$124*M135+J$124*M136+K$124*M137</f>
        <v>14.750380471383068</v>
      </c>
      <c r="N143" s="63">
        <f>D$124*N130+E$124*N131+F$124*N132+G$124*N133+H$124*N134+I$124*N135+J$124*N136+K$124*N137</f>
        <v>13.090962668352471</v>
      </c>
      <c r="O143" s="2"/>
      <c r="P143" s="2"/>
      <c r="Q143" s="2"/>
      <c r="R143" s="2"/>
      <c r="S143" s="2"/>
      <c r="T143" s="2"/>
      <c r="U143" s="2"/>
      <c r="V143" s="2"/>
    </row>
    <row r="144" spans="1:22" ht="15" customHeight="1" x14ac:dyDescent="0.3">
      <c r="A144" s="6" t="s">
        <v>1198</v>
      </c>
      <c r="B144" s="6" t="s">
        <v>218</v>
      </c>
      <c r="C144" s="6" t="s">
        <v>211</v>
      </c>
      <c r="D144" s="13">
        <f>(D$121*D130+E$121*D131+F$121*D132+G$121*D133+H$121*D134+I$121*D135+J$121*D136+K$121*D137)*(1+INDEX(Assumptions!$D$88:$F$88,1,1))^0</f>
        <v>524936.72103429458</v>
      </c>
      <c r="E144" s="13">
        <f>(D$121*E130+E$121*E131+F$121*E132+G$121*E133+H$121*E134+I$121*E135+J$121*E136+K$121*E137)*(1+INDEX(Assumptions!$D$88:$F$88,1,1))^0</f>
        <v>750901.20195961418</v>
      </c>
      <c r="F144" s="13">
        <f>(D$121*F130+E$121*F131+F$121*F132+G$121*F133+H$121*F134+I$121*F135+J$121*F136+K$121*F137)*(1+INDEX(Assumptions!$D$88:$F$88,1,1))^1</f>
        <v>1183806.9000881817</v>
      </c>
      <c r="G144" s="13">
        <f>(D$121*G130+E$121*G131+F$121*G132+G$121*G133+H$121*G134+I$121*G135+J$121*G136+K$121*G137)*(1+INDEX(Assumptions!$D$88:$F$88,1,1))^2</f>
        <v>1884258.9423369884</v>
      </c>
      <c r="H144" s="13">
        <f>(D$121*H130+E$121*H131+F$121*H132+G$121*H133+H$121*H134+I$121*H135+J$121*H136+K$121*H137)*(1+INDEX(Assumptions!$D$88:$F$88,1,1))^3</f>
        <v>2588801.9282395639</v>
      </c>
      <c r="I144" s="13">
        <f>(D$121*I130+E$121*I131+F$121*I132+G$121*I133+H$121*I134+I$121*I135+J$121*I136+K$121*I137)*(1+INDEX(Assumptions!$D$88:$F$88,1,1))^4</f>
        <v>2925746.4364891769</v>
      </c>
      <c r="J144" s="13">
        <f>(D$121*J130+E$121*J131+F$121*J132+G$121*J133+H$121*J134+I$121*J135+J$121*J136+K$121*J137)*(1+INDEX(Assumptions!$D$88:$F$88,1,1))^5</f>
        <v>3254422.9786330326</v>
      </c>
      <c r="K144" s="13">
        <f>(D$121*K130+E$121*K131+F$121*K132+G$121*K133+H$121*K134+I$121*K135+J$121*K136+K$121*K137)*(1+INDEX(Assumptions!$D$88:$F$88,1,1))^6</f>
        <v>3576175.8954908396</v>
      </c>
      <c r="L144" s="13">
        <f>(D$121*L130+E$121*L131+F$121*L132+G$121*L133+H$121*L134+I$121*L135+J$121*L136+K$121*L137)*(1+INDEX(Assumptions!$D$88:$F$88,1,1))^7</f>
        <v>3604773.6105652493</v>
      </c>
      <c r="M144" s="13">
        <f>(D$121*M130+E$121*M131+F$121*M132+G$121*M133+H$121*M134+I$121*M135+J$121*M136+K$121*M137)*(1+INDEX(Assumptions!$D$88:$F$88,1,1))^8</f>
        <v>3311209.859654841</v>
      </c>
      <c r="N144" s="13">
        <f>(D$121*N130+E$121*N131+F$121*N132+G$121*N133+H$121*N134+I$121*N135+J$121*N136+K$121*N137)*(1+INDEX(Assumptions!$D$88:$F$88,1,1))^9</f>
        <v>3041553.2067091996</v>
      </c>
      <c r="O144" s="2"/>
      <c r="P144" s="2"/>
      <c r="Q144" s="2"/>
      <c r="R144" s="2"/>
      <c r="S144" s="2"/>
      <c r="T144" s="2"/>
      <c r="U144" s="2"/>
      <c r="V144" s="2"/>
    </row>
    <row r="145" spans="1:22" ht="15" customHeight="1" x14ac:dyDescent="0.3">
      <c r="A145" s="6" t="s">
        <v>1199</v>
      </c>
      <c r="B145" s="6" t="s">
        <v>219</v>
      </c>
      <c r="C145" s="6" t="s">
        <v>211</v>
      </c>
      <c r="D145" s="13">
        <f>SUMPRODUCT(('Revenue &amp; Durability'!D$49&gt;=$E$47:$E$60)*($R$47:$R$60)*($T$47:$T$60+($O$47:$O$60&gt;0)*-INT(-(('Revenue &amp; Durability'!D$49-$U$47:$U$60)*('Revenue &amp; Durability'!D$49&gt;$U$47:$U$60)/(($W$47:$W$60)+($W$47:$W$60=0))*(1+$P$47:$P$60*(1-1)))*$X$47:$X$60)/$X$47:$X$60))</f>
        <v>8</v>
      </c>
      <c r="E145" s="13">
        <f>SUMPRODUCT(('Revenue &amp; Durability'!E$49&gt;=$E$47:$E$60)*($R$47:$R$60)*($T$47:$T$60+($O$47:$O$60&gt;0)*-INT(-(('Revenue &amp; Durability'!E$49-$U$47:$U$60)*('Revenue &amp; Durability'!E$49&gt;$U$47:$U$60)/(($W$47:$W$60)+($W$47:$W$60=0))*(1+$P$47:$P$60*(1-1)))*$X$47:$X$60)/$X$47:$X$60))</f>
        <v>8</v>
      </c>
      <c r="F145" s="13">
        <f>SUMPRODUCT(('Revenue &amp; Durability'!F$49&gt;=$E$47:$E$60)*($R$47:$R$60)*($T$47:$T$60+($O$47:$O$60&gt;0)*-INT(-(('Revenue &amp; Durability'!F$49-$U$47:$U$60)*('Revenue &amp; Durability'!F$49&gt;$U$47:$U$60)/(($W$47:$W$60)+($W$47:$W$60=0))*(1+$P$47:$P$60*(1-1)))*$X$47:$X$60)/$X$47:$X$60))</f>
        <v>15.795086</v>
      </c>
      <c r="G145" s="13">
        <f>SUMPRODUCT(('Revenue &amp; Durability'!G$49&gt;=$E$47:$E$60)*($R$47:$R$60)*($T$47:$T$60+($O$47:$O$60&gt;0)*-INT(-(('Revenue &amp; Durability'!G$49-$U$47:$U$60)*('Revenue &amp; Durability'!G$49&gt;$U$47:$U$60)/(($W$47:$W$60)+($W$47:$W$60=0))*(1+$P$47:$P$60*(1-1)))*$X$47:$X$60)/$X$47:$X$60))</f>
        <v>25.553800000000003</v>
      </c>
      <c r="H145" s="13">
        <f>SUMPRODUCT(('Revenue &amp; Durability'!H$49&gt;=$E$47:$E$60)*($R$47:$R$60)*($T$47:$T$60+($O$47:$O$60&gt;0)*-INT(-(('Revenue &amp; Durability'!H$49-$U$47:$U$60)*('Revenue &amp; Durability'!H$49&gt;$U$47:$U$60)/(($W$47:$W$60)+($W$47:$W$60=0))*(1+$P$47:$P$60*(1-1)))*$X$47:$X$60)/$X$47:$X$60))</f>
        <v>32.302936000000003</v>
      </c>
      <c r="I145" s="13">
        <f>SUMPRODUCT(('Revenue &amp; Durability'!I$49&gt;=$E$47:$E$60)*($R$47:$R$60)*($T$47:$T$60+($O$47:$O$60&gt;0)*-INT(-(('Revenue &amp; Durability'!I$49-$U$47:$U$60)*('Revenue &amp; Durability'!I$49&gt;$U$47:$U$60)/(($W$47:$W$60)+($W$47:$W$60=0))*(1+$P$47:$P$60*(1-1)))*$X$47:$X$60)/$X$47:$X$60))</f>
        <v>36.670369000000001</v>
      </c>
      <c r="J145" s="13">
        <f>SUMPRODUCT(('Revenue &amp; Durability'!J$49&gt;=$E$47:$E$60)*($R$47:$R$60)*($T$47:$T$60+($O$47:$O$60&gt;0)*-INT(-(('Revenue &amp; Durability'!J$49-$U$47:$U$60)*('Revenue &amp; Durability'!J$49&gt;$U$47:$U$60)/(($W$47:$W$60)+($W$47:$W$60=0))*(1+$P$47:$P$60*(1-1)))*$X$47:$X$60)/$X$47:$X$60))</f>
        <v>42.029076000000003</v>
      </c>
      <c r="K145" s="13">
        <f>SUMPRODUCT(('Revenue &amp; Durability'!K$49&gt;=$E$47:$E$60)*($R$47:$R$60)*($T$47:$T$60+($O$47:$O$60&gt;0)*-INT(-(('Revenue &amp; Durability'!K$49-$U$47:$U$60)*('Revenue &amp; Durability'!K$49&gt;$U$47:$U$60)/(($W$47:$W$60)+($W$47:$W$60=0))*(1+$P$47:$P$60*(1-1)))*$X$47:$X$60)/$X$47:$X$60))</f>
        <v>45.379263000000002</v>
      </c>
      <c r="L145" s="13">
        <f>SUMPRODUCT(('Revenue &amp; Durability'!L$49&gt;=$E$47:$E$60)*($R$47:$R$60)*($T$47:$T$60+($O$47:$O$60&gt;0)*-INT(-(('Revenue &amp; Durability'!L$49-$U$47:$U$60)*('Revenue &amp; Durability'!L$49&gt;$U$47:$U$60)/(($W$47:$W$60)+($W$47:$W$60=0))*(1+$P$47:$P$60*(1-1)))*$X$47:$X$60)/$X$47:$X$60))</f>
        <v>46.507852999999997</v>
      </c>
      <c r="M145" s="13">
        <f>SUMPRODUCT(('Revenue &amp; Durability'!M$49&gt;=$E$47:$E$60)*($R$47:$R$60)*($T$47:$T$60+($O$47:$O$60&gt;0)*-INT(-(('Revenue &amp; Durability'!M$49-$U$47:$U$60)*('Revenue &amp; Durability'!M$49&gt;$U$47:$U$60)/(($W$47:$W$60)+($W$47:$W$60=0))*(1+$P$47:$P$60*(1-1)))*$X$47:$X$60)/$X$47:$X$60))</f>
        <v>45.415041000000002</v>
      </c>
      <c r="N145" s="13">
        <f>SUMPRODUCT(('Revenue &amp; Durability'!N$49&gt;=$E$47:$E$60)*($R$47:$R$60)*($T$47:$T$60+($O$47:$O$60&gt;0)*-INT(-(('Revenue &amp; Durability'!N$49-$U$47:$U$60)*('Revenue &amp; Durability'!N$49&gt;$U$47:$U$60)/(($W$47:$W$60)+($W$47:$W$60=0))*(1+$P$47:$P$60*(1-1)))*$X$47:$X$60)/$X$47:$X$60))</f>
        <v>43.324433999999997</v>
      </c>
      <c r="O145" s="2"/>
      <c r="P145" s="2"/>
      <c r="Q145" s="2"/>
      <c r="R145" s="2"/>
      <c r="S145" s="2"/>
      <c r="T145" s="2"/>
      <c r="U145" s="2"/>
      <c r="V145" s="2"/>
    </row>
    <row r="146" spans="1:22" ht="15" customHeight="1" x14ac:dyDescent="0.3">
      <c r="A146" s="1" t="s">
        <v>243</v>
      </c>
      <c r="B146" s="6" t="s">
        <v>218</v>
      </c>
      <c r="C146" s="6" t="s">
        <v>211</v>
      </c>
      <c r="D146" s="39">
        <f>SUMPRODUCT(('Revenue &amp; Durability'!D$49&gt;=$E$47:$E$60)*($R$47:$R$60)*($T$47:$T$60+($O$47:$O$60&gt;0)*-INT(-(('Revenue &amp; Durability'!D$49-$U$47:$U$60)*('Revenue &amp; Durability'!D$49&gt;$U$47:$U$60)/(($W$47:$W$60)+($W$47:$W$60=0))*(1+$P$47:$P$60*(1-1)))*$X$47:$X$60)/$X$47:$X$60),$I$47:$I$60*(1-($Y$47:$Y$60-($Y$47:$Y$60&gt;$Z$47:$Z$60)*($Y$47:$Y$60-$Z$47:$Z$60))*(1-$H$25)))*(1+INDEX(Assumptions!$D$88:$F$88,1,1))^0</f>
        <v>862012.62999999989</v>
      </c>
      <c r="E146" s="39">
        <f>SUMPRODUCT(('Revenue &amp; Durability'!E$49&gt;=$E$47:$E$60)*($R$47:$R$60)*($T$47:$T$60+($O$47:$O$60&gt;0)*-INT(-(('Revenue &amp; Durability'!E$49-$U$47:$U$60)*('Revenue &amp; Durability'!E$49&gt;$U$47:$U$60)/(($W$47:$W$60)+($W$47:$W$60=0))*(1+$P$47:$P$60*(1-1)))*$X$47:$X$60)/$X$47:$X$60),$I$47:$I$60*(1-($Y$47:$Y$60-($Y$47:$Y$60&gt;$Z$47:$Z$60)*($Y$47:$Y$60-$Z$47:$Z$60))*(1-$H$25)))*(1+INDEX(Assumptions!$D$88:$F$88,1,1))^0</f>
        <v>862012.62999999989</v>
      </c>
      <c r="F146" s="39">
        <f>SUMPRODUCT(('Revenue &amp; Durability'!F$49&gt;=$E$47:$E$60)*($R$47:$R$60)*($T$47:$T$60+($O$47:$O$60&gt;0)*-INT(-(('Revenue &amp; Durability'!F$49-$U$47:$U$60)*('Revenue &amp; Durability'!F$49&gt;$U$47:$U$60)/(($W$47:$W$60)+($W$47:$W$60=0))*(1+$P$47:$P$60*(1-1)))*$X$47:$X$60)/$X$47:$X$60),$I$47:$I$60*(1-($Y$47:$Y$60-($Y$47:$Y$60&gt;$Z$47:$Z$60)*($Y$47:$Y$60-$Z$47:$Z$60))*(1-$H$25)))*(1+INDEX(Assumptions!$D$88:$F$88,1,1))^1</f>
        <v>2265052.6854175273</v>
      </c>
      <c r="G146" s="39">
        <f>SUMPRODUCT(('Revenue &amp; Durability'!G$49&gt;=$E$47:$E$60)*($R$47:$R$60)*($T$47:$T$60+($O$47:$O$60&gt;0)*-INT(-(('Revenue &amp; Durability'!G$49-$U$47:$U$60)*('Revenue &amp; Durability'!G$49&gt;$U$47:$U$60)/(($W$47:$W$60)+($W$47:$W$60=0))*(1+$P$47:$P$60*(1-1)))*$X$47:$X$60)/$X$47:$X$60),$I$47:$I$60*(1-($Y$47:$Y$60-($Y$47:$Y$60&gt;$Z$47:$Z$60)*($Y$47:$Y$60-$Z$47:$Z$60))*(1-$H$25)))*(1+INDEX(Assumptions!$D$88:$F$88,1,1))^2</f>
        <v>3605478.8462831136</v>
      </c>
      <c r="H146" s="39">
        <f>SUMPRODUCT(('Revenue &amp; Durability'!H$49&gt;=$E$47:$E$60)*($R$47:$R$60)*($T$47:$T$60+($O$47:$O$60&gt;0)*-INT(-(('Revenue &amp; Durability'!H$49-$U$47:$U$60)*('Revenue &amp; Durability'!H$49&gt;$U$47:$U$60)/(($W$47:$W$60)+($W$47:$W$60=0))*(1+$P$47:$P$60*(1-1)))*$X$47:$X$60)/$X$47:$X$60),$I$47:$I$60*(1-($Y$47:$Y$60-($Y$47:$Y$60&gt;$Z$47:$Z$60)*($Y$47:$Y$60-$Z$47:$Z$60))*(1-$H$25)))*(1+INDEX(Assumptions!$D$88:$F$88,1,1))^3</f>
        <v>4617429.1019843146</v>
      </c>
      <c r="I146" s="39">
        <f>SUMPRODUCT(('Revenue &amp; Durability'!I$49&gt;=$E$47:$E$60)*($R$47:$R$60)*($T$47:$T$60+($O$47:$O$60&gt;0)*-INT(-(('Revenue &amp; Durability'!I$49-$U$47:$U$60)*('Revenue &amp; Durability'!I$49&gt;$U$47:$U$60)/(($W$47:$W$60)+($W$47:$W$60=0))*(1+$P$47:$P$60*(1-1)))*$X$47:$X$60)/$X$47:$X$60),$I$47:$I$60*(1-($Y$47:$Y$60-($Y$47:$Y$60&gt;$Z$47:$Z$60)*($Y$47:$Y$60-$Z$47:$Z$60))*(1-$H$25)))*(1+INDEX(Assumptions!$D$88:$F$88,1,1))^4</f>
        <v>5490914.7749836417</v>
      </c>
      <c r="J146" s="39">
        <f>SUMPRODUCT(('Revenue &amp; Durability'!J$49&gt;=$E$47:$E$60)*($R$47:$R$60)*($T$47:$T$60+($O$47:$O$60&gt;0)*-INT(-(('Revenue &amp; Durability'!J$49-$U$47:$U$60)*('Revenue &amp; Durability'!J$49&gt;$U$47:$U$60)/(($W$47:$W$60)+($W$47:$W$60=0))*(1+$P$47:$P$60*(1-1)))*$X$47:$X$60)/$X$47:$X$60),$I$47:$I$60*(1-($Y$47:$Y$60-($Y$47:$Y$60&gt;$Z$47:$Z$60)*($Y$47:$Y$60-$Z$47:$Z$60))*(1-$H$25)))*(1+INDEX(Assumptions!$D$88:$F$88,1,1))^5</f>
        <v>6460237.6826968016</v>
      </c>
      <c r="K146" s="39">
        <f>SUMPRODUCT(('Revenue &amp; Durability'!K$49&gt;=$E$47:$E$60)*($R$47:$R$60)*($T$47:$T$60+($O$47:$O$60&gt;0)*-INT(-(('Revenue &amp; Durability'!K$49-$U$47:$U$60)*('Revenue &amp; Durability'!K$49&gt;$U$47:$U$60)/(($W$47:$W$60)+($W$47:$W$60=0))*(1+$P$47:$P$60*(1-1)))*$X$47:$X$60)/$X$47:$X$60),$I$47:$I$60*(1-($Y$47:$Y$60-($Y$47:$Y$60&gt;$Z$47:$Z$60)*($Y$47:$Y$60-$Z$47:$Z$60))*(1-$H$25)))*(1+INDEX(Assumptions!$D$88:$F$88,1,1))^6</f>
        <v>7265408.1002021916</v>
      </c>
      <c r="L146" s="39">
        <f>SUMPRODUCT(('Revenue &amp; Durability'!L$49&gt;=$E$47:$E$60)*($R$47:$R$60)*($T$47:$T$60+($O$47:$O$60&gt;0)*-INT(-(('Revenue &amp; Durability'!L$49-$U$47:$U$60)*('Revenue &amp; Durability'!L$49&gt;$U$47:$U$60)/(($W$47:$W$60)+($W$47:$W$60=0))*(1+$P$47:$P$60*(1-1)))*$X$47:$X$60)/$X$47:$X$60),$I$47:$I$60*(1-($Y$47:$Y$60-($Y$47:$Y$60&gt;$Z$47:$Z$60)*($Y$47:$Y$60-$Z$47:$Z$60))*(1-$H$25)))*(1+INDEX(Assumptions!$D$88:$F$88,1,1))^7</f>
        <v>7604055.1790773151</v>
      </c>
      <c r="M146" s="39">
        <f>SUMPRODUCT(('Revenue &amp; Durability'!M$49&gt;=$E$47:$E$60)*($R$47:$R$60)*($T$47:$T$60+($O$47:$O$60&gt;0)*-INT(-(('Revenue &amp; Durability'!M$49-$U$47:$U$60)*('Revenue &amp; Durability'!M$49&gt;$U$47:$U$60)/(($W$47:$W$60)+($W$47:$W$60=0))*(1+$P$47:$P$60*(1-1)))*$X$47:$X$60)/$X$47:$X$60),$I$47:$I$60*(1-($Y$47:$Y$60-($Y$47:$Y$60&gt;$Z$47:$Z$60)*($Y$47:$Y$60-$Z$47:$Z$60))*(1-$H$25)))*(1+INDEX(Assumptions!$D$88:$F$88,1,1))^8</f>
        <v>7791503.8516714815</v>
      </c>
      <c r="N146" s="39">
        <f>SUMPRODUCT(('Revenue &amp; Durability'!N$49&gt;=$E$47:$E$60)*($R$47:$R$60)*($T$47:$T$60+($O$47:$O$60&gt;0)*-INT(-(('Revenue &amp; Durability'!N$49-$U$47:$U$60)*('Revenue &amp; Durability'!N$49&gt;$U$47:$U$60)/(($W$47:$W$60)+($W$47:$W$60=0))*(1+$P$47:$P$60*(1-1)))*$X$47:$X$60)/$X$47:$X$60),$I$47:$I$60*(1-($Y$47:$Y$60-($Y$47:$Y$60&gt;$Z$47:$Z$60)*($Y$47:$Y$60-$Z$47:$Z$60))*(1-$H$25)))*(1+INDEX(Assumptions!$D$88:$F$88,1,1))^9</f>
        <v>7586608.5551516982</v>
      </c>
      <c r="O146" s="2"/>
      <c r="P146" s="2"/>
      <c r="Q146" s="2"/>
      <c r="R146" s="2"/>
      <c r="S146" s="2"/>
      <c r="T146" s="2"/>
      <c r="U146" s="2"/>
      <c r="V146" s="2"/>
    </row>
    <row r="147" spans="1:22" ht="15" customHeight="1" x14ac:dyDescent="0.3">
      <c r="A147" s="6" t="s">
        <v>1200</v>
      </c>
      <c r="B147" s="6" t="s">
        <v>219</v>
      </c>
      <c r="C147" s="6" t="s">
        <v>211</v>
      </c>
      <c r="D147" s="13">
        <f>SUMPRODUCT(--('Revenue &amp; Durability'!D$50&gt;=$C$66:$C$74),$K$66:$K$74)</f>
        <v>5</v>
      </c>
      <c r="E147" s="13">
        <f>SUMPRODUCT(--('Revenue &amp; Durability'!E$50&gt;=$C$66:$C$74),$K$66:$K$74)</f>
        <v>7</v>
      </c>
      <c r="F147" s="13">
        <f>SUMPRODUCT(--('Revenue &amp; Durability'!F$50&gt;=$C$66:$C$74),$K$66:$K$74)</f>
        <v>7</v>
      </c>
      <c r="G147" s="13">
        <f>SUMPRODUCT(--('Revenue &amp; Durability'!G$50&gt;=$C$66:$C$74),$K$66:$K$74)</f>
        <v>8</v>
      </c>
      <c r="H147" s="13">
        <f>SUMPRODUCT(--('Revenue &amp; Durability'!H$50&gt;=$C$66:$C$74),$K$66:$K$74)</f>
        <v>8</v>
      </c>
      <c r="I147" s="13">
        <f>SUMPRODUCT(--('Revenue &amp; Durability'!I$50&gt;=$C$66:$C$74),$K$66:$K$74)</f>
        <v>8</v>
      </c>
      <c r="J147" s="13">
        <f>SUMPRODUCT(--('Revenue &amp; Durability'!J$50&gt;=$C$66:$C$74),$K$66:$K$74)</f>
        <v>8</v>
      </c>
      <c r="K147" s="13">
        <f>SUMPRODUCT(--('Revenue &amp; Durability'!K$50&gt;=$C$66:$C$74),$K$66:$K$74)</f>
        <v>8</v>
      </c>
      <c r="L147" s="13">
        <f>SUMPRODUCT(--('Revenue &amp; Durability'!L$50&gt;=$C$66:$C$74),$K$66:$K$74)</f>
        <v>8</v>
      </c>
      <c r="M147" s="13">
        <f>SUMPRODUCT(--('Revenue &amp; Durability'!M$50&gt;=$C$66:$C$74),$K$66:$K$74)</f>
        <v>8</v>
      </c>
      <c r="N147" s="13">
        <f>SUMPRODUCT(--('Revenue &amp; Durability'!N$50&gt;=$C$66:$C$74),$K$66:$K$74)</f>
        <v>8</v>
      </c>
      <c r="O147" s="2"/>
      <c r="P147" s="2"/>
      <c r="Q147" s="2"/>
      <c r="R147" s="2"/>
      <c r="S147" s="2"/>
      <c r="T147" s="2"/>
      <c r="U147" s="2"/>
      <c r="V147" s="2"/>
    </row>
    <row r="148" spans="1:22" ht="15" customHeight="1" x14ac:dyDescent="0.3">
      <c r="A148" s="1" t="s">
        <v>1201</v>
      </c>
      <c r="B148" s="6" t="s">
        <v>218</v>
      </c>
      <c r="C148" s="6" t="s">
        <v>211</v>
      </c>
      <c r="D148" s="39">
        <f>SUMPRODUCT(--('Revenue &amp; Durability'!D$49&gt;=$C$66:$C$74),$I$66:$I$74,$K$66:$K$74)*(1+INDEX(Assumptions!$D$88:$F$88,1,1))^0</f>
        <v>1446175.214445</v>
      </c>
      <c r="E148" s="39">
        <f>SUMPRODUCT(--('Revenue &amp; Durability'!E$49&gt;=$C$66:$C$74),$I$66:$I$74,$K$66:$K$74)*(1+INDEX(Assumptions!$D$88:$F$88,1,1))^0</f>
        <v>1446175.214445</v>
      </c>
      <c r="F148" s="39">
        <f>SUMPRODUCT(--('Revenue &amp; Durability'!F$49&gt;=$C$66:$C$74),$I$66:$I$74,$K$66:$K$74)*(1+INDEX(Assumptions!$D$88:$F$88,1,1))^1</f>
        <v>1709703.692853075</v>
      </c>
      <c r="G148" s="39">
        <f>SUMPRODUCT(--('Revenue &amp; Durability'!G$49&gt;=$C$66:$C$74),$I$66:$I$74,$K$66:$K$74)*(1+INDEX(Assumptions!$D$88:$F$88,1,1))^2</f>
        <v>1769543.3221029327</v>
      </c>
      <c r="H148" s="39">
        <f>SUMPRODUCT(--('Revenue &amp; Durability'!H$49&gt;=$C$66:$C$74),$I$66:$I$74,$K$66:$K$74)*(1+INDEX(Assumptions!$D$88:$F$88,1,1))^3</f>
        <v>1831477.3383765351</v>
      </c>
      <c r="I148" s="39">
        <f>SUMPRODUCT(--('Revenue &amp; Durability'!I$49&gt;=$C$66:$C$74),$I$66:$I$74,$K$66:$K$74)*(1+INDEX(Assumptions!$D$88:$F$88,1,1))^4</f>
        <v>1895579.0452197138</v>
      </c>
      <c r="J148" s="39">
        <f>SUMPRODUCT(--('Revenue &amp; Durability'!J$49&gt;=$C$66:$C$74),$I$66:$I$74,$K$66:$K$74)*(1+INDEX(Assumptions!$D$88:$F$88,1,1))^5</f>
        <v>1961924.3118024033</v>
      </c>
      <c r="K148" s="39">
        <f>SUMPRODUCT(--('Revenue &amp; Durability'!K$49&gt;=$C$66:$C$74),$I$66:$I$74,$K$66:$K$74)*(1+INDEX(Assumptions!$D$88:$F$88,1,1))^6</f>
        <v>2030591.6627154876</v>
      </c>
      <c r="L148" s="39">
        <f>SUMPRODUCT(--('Revenue &amp; Durability'!L$49&gt;=$C$66:$C$74),$I$66:$I$74,$K$66:$K$74)*(1+INDEX(Assumptions!$D$88:$F$88,1,1))^7</f>
        <v>2101662.3709105295</v>
      </c>
      <c r="M148" s="39">
        <f>SUMPRODUCT(--('Revenue &amp; Durability'!M$49&gt;=$C$66:$C$74),$I$66:$I$74,$K$66:$K$74)*(1+INDEX(Assumptions!$D$88:$F$88,1,1))^8</f>
        <v>2175220.5538923978</v>
      </c>
      <c r="N148" s="39">
        <f>SUMPRODUCT(--('Revenue &amp; Durability'!N$49&gt;=$C$66:$C$74),$I$66:$I$74,$K$66:$K$74)*(1+INDEX(Assumptions!$D$88:$F$88,1,1))^9</f>
        <v>2251353.2732786313</v>
      </c>
      <c r="O148" s="2"/>
      <c r="P148" s="2"/>
      <c r="Q148" s="2"/>
      <c r="R148" s="2"/>
      <c r="S148" s="2"/>
      <c r="T148" s="2"/>
      <c r="U148" s="2"/>
      <c r="V148" s="2"/>
    </row>
    <row r="149" spans="1:22" ht="15" customHeight="1" x14ac:dyDescent="0.3">
      <c r="A149" s="6" t="s">
        <v>1202</v>
      </c>
      <c r="B149" s="6" t="s">
        <v>218</v>
      </c>
      <c r="C149" s="6" t="s">
        <v>211</v>
      </c>
      <c r="D149" s="13">
        <f>SUMPRODUCT(--('Revenue &amp; Durability'!D$49&gt;=$C$66:$C$74),$I$66:$I$74,1-$K$66:$K$74)*(1+INDEX(Assumptions!$D$88:$F$88,1,1))^0</f>
        <v>0</v>
      </c>
      <c r="E149" s="13">
        <f>SUMPRODUCT(--('Revenue &amp; Durability'!E$49&gt;=$C$66:$C$74),$I$66:$I$74,1-$K$66:$K$74)*(1+INDEX(Assumptions!$D$88:$F$88,1,1))^0</f>
        <v>0</v>
      </c>
      <c r="F149" s="13">
        <f>SUMPRODUCT(--('Revenue &amp; Durability'!F$49&gt;=$C$66:$C$74),$I$66:$I$74,1-$K$66:$K$74)*(1+INDEX(Assumptions!$D$88:$F$88,1,1))^1</f>
        <v>0</v>
      </c>
      <c r="G149" s="13">
        <f>SUMPRODUCT(--('Revenue &amp; Durability'!G$49&gt;=$C$66:$C$74),$I$66:$I$74,1-$K$66:$K$74)*(1+INDEX(Assumptions!$D$88:$F$88,1,1))^2</f>
        <v>0</v>
      </c>
      <c r="H149" s="13">
        <f>SUMPRODUCT(--('Revenue &amp; Durability'!H$49&gt;=$C$66:$C$74),$I$66:$I$74,1-$K$66:$K$74)*(1+INDEX(Assumptions!$D$88:$F$88,1,1))^3</f>
        <v>0</v>
      </c>
      <c r="I149" s="13">
        <f>SUMPRODUCT(--('Revenue &amp; Durability'!I$49&gt;=$C$66:$C$74),$I$66:$I$74,1-$K$66:$K$74)*(1+INDEX(Assumptions!$D$88:$F$88,1,1))^4</f>
        <v>0</v>
      </c>
      <c r="J149" s="13">
        <f>SUMPRODUCT(--('Revenue &amp; Durability'!J$49&gt;=$C$66:$C$74),$I$66:$I$74,1-$K$66:$K$74)*(1+INDEX(Assumptions!$D$88:$F$88,1,1))^5</f>
        <v>0</v>
      </c>
      <c r="K149" s="13">
        <f>SUMPRODUCT(--('Revenue &amp; Durability'!K$49&gt;=$C$66:$C$74),$I$66:$I$74,1-$K$66:$K$74)*(1+INDEX(Assumptions!$D$88:$F$88,1,1))^6</f>
        <v>0</v>
      </c>
      <c r="L149" s="13">
        <f>SUMPRODUCT(--('Revenue &amp; Durability'!L$49&gt;=$C$66:$C$74),$I$66:$I$74,1-$K$66:$K$74)*(1+INDEX(Assumptions!$D$88:$F$88,1,1))^7</f>
        <v>0</v>
      </c>
      <c r="M149" s="13">
        <f>SUMPRODUCT(--('Revenue &amp; Durability'!M$49&gt;=$C$66:$C$74),$I$66:$I$74,1-$K$66:$K$74)*(1+INDEX(Assumptions!$D$88:$F$88,1,1))^8</f>
        <v>0</v>
      </c>
      <c r="N149" s="13">
        <f>SUMPRODUCT(--('Revenue &amp; Durability'!N$49&gt;=$C$66:$C$74),$I$66:$I$74,1-$K$66:$K$74)*(1+INDEX(Assumptions!$D$88:$F$88,1,1))^9</f>
        <v>0</v>
      </c>
      <c r="O149" s="2"/>
      <c r="P149" s="2"/>
      <c r="Q149" s="2"/>
      <c r="R149" s="2"/>
      <c r="S149" s="2"/>
      <c r="T149" s="2"/>
      <c r="U149" s="2"/>
      <c r="V149" s="2"/>
    </row>
    <row r="150" spans="1:22" ht="15" customHeight="1" x14ac:dyDescent="0.3">
      <c r="A150" s="6" t="s">
        <v>1203</v>
      </c>
      <c r="B150" s="6" t="s">
        <v>219</v>
      </c>
      <c r="C150" s="6" t="s">
        <v>217</v>
      </c>
      <c r="D150" s="13">
        <f>SUMPRODUCT(-INT(-('Revenue &amp; Durability'!D$64/$D$79:$D$82)))</f>
        <v>4</v>
      </c>
      <c r="E150" s="13">
        <f>SUMPRODUCT(-INT(-('Revenue &amp; Durability'!E$64/$D$79:$D$82)))</f>
        <v>4</v>
      </c>
      <c r="F150" s="13">
        <f>SUMPRODUCT(-INT(-('Revenue &amp; Durability'!F$64/$D$79:$D$82)))</f>
        <v>4</v>
      </c>
      <c r="G150" s="13">
        <f>SUMPRODUCT(-INT(-('Revenue &amp; Durability'!G$64/$D$79:$D$82)))</f>
        <v>4</v>
      </c>
      <c r="H150" s="13">
        <f>SUMPRODUCT(-INT(-('Revenue &amp; Durability'!H$64/$D$79:$D$82)))</f>
        <v>5</v>
      </c>
      <c r="I150" s="13">
        <f>SUMPRODUCT(-INT(-('Revenue &amp; Durability'!I$64/$D$79:$D$82)))</f>
        <v>5</v>
      </c>
      <c r="J150" s="13">
        <f>SUMPRODUCT(-INT(-('Revenue &amp; Durability'!J$64/$D$79:$D$82)))</f>
        <v>5</v>
      </c>
      <c r="K150" s="13">
        <f>SUMPRODUCT(-INT(-('Revenue &amp; Durability'!K$64/$D$79:$D$82)))</f>
        <v>5</v>
      </c>
      <c r="L150" s="13">
        <f>SUMPRODUCT(-INT(-('Revenue &amp; Durability'!L$64/$D$79:$D$82)))</f>
        <v>5</v>
      </c>
      <c r="M150" s="13">
        <f>SUMPRODUCT(-INT(-('Revenue &amp; Durability'!M$64/$D$79:$D$82)))</f>
        <v>5</v>
      </c>
      <c r="N150" s="13">
        <f>SUMPRODUCT(-INT(-('Revenue &amp; Durability'!N$64/$D$79:$D$82)))</f>
        <v>5</v>
      </c>
      <c r="O150" s="2"/>
      <c r="P150" s="2"/>
      <c r="Q150" s="2"/>
      <c r="R150" s="2"/>
      <c r="S150" s="2"/>
      <c r="T150" s="2"/>
      <c r="U150" s="2"/>
      <c r="V150" s="2"/>
    </row>
    <row r="151" spans="1:22" ht="15" customHeight="1" x14ac:dyDescent="0.3">
      <c r="A151" s="6" t="s">
        <v>187</v>
      </c>
      <c r="B151" s="6" t="s">
        <v>218</v>
      </c>
      <c r="C151" s="6" t="s">
        <v>217</v>
      </c>
      <c r="D151" s="13">
        <f>SUMPRODUCT(-INT(-('Revenue &amp; Durability'!D$64/$D$79:$D$82)),$I$79:$I$82)*(1+INDEX(Assumptions!$D$88:$F$88,1,1))^0</f>
        <v>685510.07499999995</v>
      </c>
      <c r="E151" s="13">
        <f>SUMPRODUCT(-INT(-('Revenue &amp; Durability'!E$64/$D$79:$D$82)),$I$79:$I$82)*(1+INDEX(Assumptions!$D$88:$F$88,1,1))^0</f>
        <v>685510.07499999995</v>
      </c>
      <c r="F151" s="13">
        <f>SUMPRODUCT(-INT(-('Revenue &amp; Durability'!F$64/$D$79:$D$82)),$I$79:$I$82)*(1+INDEX(Assumptions!$D$88:$F$88,1,1))^1</f>
        <v>709502.92762499989</v>
      </c>
      <c r="G151" s="13">
        <f>SUMPRODUCT(-INT(-('Revenue &amp; Durability'!G$64/$D$79:$D$82)),$I$79:$I$82)*(1+INDEX(Assumptions!$D$88:$F$88,1,1))^2</f>
        <v>734335.53009187488</v>
      </c>
      <c r="H151" s="13">
        <f>SUMPRODUCT(-INT(-('Revenue &amp; Durability'!H$64/$D$79:$D$82)),$I$79:$I$82)*(1+INDEX(Assumptions!$D$88:$F$88,1,1))^3</f>
        <v>898629.0037122654</v>
      </c>
      <c r="I151" s="13">
        <f>SUMPRODUCT(-INT(-('Revenue &amp; Durability'!I$64/$D$79:$D$82)),$I$79:$I$82)*(1+INDEX(Assumptions!$D$88:$F$88,1,1))^4</f>
        <v>930081.0188421947</v>
      </c>
      <c r="J151" s="13">
        <f>SUMPRODUCT(-INT(-('Revenue &amp; Durability'!J$64/$D$79:$D$82)),$I$79:$I$82)*(1+INDEX(Assumptions!$D$88:$F$88,1,1))^5</f>
        <v>962633.85450167139</v>
      </c>
      <c r="K151" s="13">
        <f>SUMPRODUCT(-INT(-('Revenue &amp; Durability'!K$64/$D$79:$D$82)),$I$79:$I$82)*(1+INDEX(Assumptions!$D$88:$F$88,1,1))^6</f>
        <v>996326.03940922988</v>
      </c>
      <c r="L151" s="13">
        <f>SUMPRODUCT(-INT(-('Revenue &amp; Durability'!L$64/$D$79:$D$82)),$I$79:$I$82)*(1+INDEX(Assumptions!$D$88:$F$88,1,1))^7</f>
        <v>1031197.4507885529</v>
      </c>
      <c r="M151" s="13">
        <f>SUMPRODUCT(-INT(-('Revenue &amp; Durability'!M$64/$D$79:$D$82)),$I$79:$I$82)*(1+INDEX(Assumptions!$D$88:$F$88,1,1))^8</f>
        <v>1067289.361566152</v>
      </c>
      <c r="N151" s="13">
        <f>SUMPRODUCT(-INT(-('Revenue &amp; Durability'!N$64/$D$79:$D$82)),$I$79:$I$82)*(1+INDEX(Assumptions!$D$88:$F$88,1,1))^9</f>
        <v>1104644.4892209671</v>
      </c>
      <c r="O151" s="2"/>
      <c r="P151" s="2"/>
      <c r="Q151" s="2"/>
      <c r="R151" s="2"/>
      <c r="S151" s="2"/>
      <c r="T151" s="2"/>
      <c r="U151" s="2"/>
      <c r="V151" s="2"/>
    </row>
    <row r="152" spans="1:22" ht="15" customHeight="1" x14ac:dyDescent="0.3">
      <c r="A152" s="6" t="s">
        <v>1204</v>
      </c>
      <c r="B152" s="6" t="s">
        <v>210</v>
      </c>
      <c r="C152" s="6" t="s">
        <v>222</v>
      </c>
      <c r="D152" s="63">
        <f>0</f>
        <v>0</v>
      </c>
      <c r="E152" s="13">
        <f>'Revenue &amp; Durability'!E$49*MIN(1,1/INDEX(Assumptions!$D$77:$F$77,1,1))*(INDEX(Assumptions!$D$76:$F$76,1,1)*(1-Assumptions!$D$8))</f>
        <v>684.27734375000011</v>
      </c>
      <c r="F152" s="13">
        <f>'Revenue &amp; Durability'!F$49*MIN(1,2/INDEX(Assumptions!$D$77:$F$77,1,1))*(INDEX(Assumptions!$D$76:$F$76,1,1)*(1-Assumptions!$D$8))</f>
        <v>2091.400390625</v>
      </c>
      <c r="G152" s="13">
        <f>'Revenue &amp; Durability'!G$49*MIN(1,3/INDEX(Assumptions!$D$77:$F$77,1,1))*(INDEX(Assumptions!$D$76:$F$76,1,1)*(1-Assumptions!$D$8))</f>
        <v>5128.723231201172</v>
      </c>
      <c r="H152" s="13">
        <f>'Revenue &amp; Durability'!H$49*MIN(1,4/INDEX(Assumptions!$D$77:$F$77,1,1))*(INDEX(Assumptions!$D$76:$F$76,1,1)*(1-Assumptions!$D$8))</f>
        <v>9460.2747913635285</v>
      </c>
      <c r="I152" s="13">
        <f>'Revenue &amp; Durability'!I$49*MIN(1,5/INDEX(Assumptions!$D$77:$F$77,1,1))*(INDEX(Assumptions!$D$76:$F$76,1,1)*(1-Assumptions!$D$8))</f>
        <v>10746.291018974895</v>
      </c>
      <c r="J152" s="13">
        <f>'Revenue &amp; Durability'!J$49*MIN(1,6/INDEX(Assumptions!$D$77:$F$77,1,1))*(INDEX(Assumptions!$D$76:$F$76,1,1)*(1-Assumptions!$D$8))</f>
        <v>12001.764361180492</v>
      </c>
      <c r="K152" s="13">
        <f>'Revenue &amp; Durability'!K$49*MIN(1,7/INDEX(Assumptions!$D$77:$F$77,1,1))*(INDEX(Assumptions!$D$76:$F$76,1,1)*(1-Assumptions!$D$8))</f>
        <v>13227.420211508705</v>
      </c>
      <c r="L152" s="13">
        <f>'Revenue &amp; Durability'!L$49*MIN(1,8/INDEX(Assumptions!$D$77:$F$77,1,1))*(INDEX(Assumptions!$D$76:$F$76,1,1)*(1-Assumptions!$D$8))</f>
        <v>13677.482360391625</v>
      </c>
      <c r="M152" s="13">
        <f>'Revenue &amp; Durability'!M$49*MIN(1,9/INDEX(Assumptions!$D$77:$F$77,1,1))*(INDEX(Assumptions!$D$76:$F$76,1,1)*(1-Assumptions!$D$8))</f>
        <v>13352.642154332323</v>
      </c>
      <c r="N152" s="13">
        <f>'Revenue &amp; Durability'!N$49*MIN(1,10/INDEX(Assumptions!$D$77:$F$77,1,1))*(INDEX(Assumptions!$D$76:$F$76,1,1)*(1-Assumptions!$D$8))</f>
        <v>13035.516903166932</v>
      </c>
      <c r="O152" s="2"/>
      <c r="P152" s="2"/>
      <c r="Q152" s="2"/>
      <c r="R152" s="2"/>
      <c r="S152" s="2"/>
      <c r="T152" s="2"/>
      <c r="U152" s="2"/>
      <c r="V152" s="2"/>
    </row>
    <row r="153" spans="1:22" ht="15" customHeight="1" x14ac:dyDescent="0.3">
      <c r="A153" s="6" t="s">
        <v>1205</v>
      </c>
      <c r="B153" s="6" t="s">
        <v>219</v>
      </c>
      <c r="C153" s="6" t="s">
        <v>222</v>
      </c>
      <c r="D153" s="63">
        <f>0</f>
        <v>0</v>
      </c>
      <c r="E153" s="63">
        <f t="shared" ref="E153:N153" si="27">SUMPRODUCT(-INT(-(E152/$D$87:$D$89)))</f>
        <v>3</v>
      </c>
      <c r="F153" s="63">
        <f t="shared" si="27"/>
        <v>3</v>
      </c>
      <c r="G153" s="63">
        <f t="shared" si="27"/>
        <v>3</v>
      </c>
      <c r="H153" s="63">
        <f t="shared" si="27"/>
        <v>5</v>
      </c>
      <c r="I153" s="63">
        <f t="shared" si="27"/>
        <v>5</v>
      </c>
      <c r="J153" s="63">
        <f t="shared" si="27"/>
        <v>7</v>
      </c>
      <c r="K153" s="63">
        <f t="shared" si="27"/>
        <v>7</v>
      </c>
      <c r="L153" s="63">
        <f t="shared" si="27"/>
        <v>7</v>
      </c>
      <c r="M153" s="63">
        <f t="shared" si="27"/>
        <v>7</v>
      </c>
      <c r="N153" s="63">
        <f t="shared" si="27"/>
        <v>7</v>
      </c>
      <c r="O153" s="2"/>
      <c r="P153" s="2"/>
      <c r="Q153" s="2"/>
      <c r="R153" s="2"/>
      <c r="S153" s="2"/>
      <c r="T153" s="2"/>
      <c r="U153" s="2"/>
      <c r="V153" s="2"/>
    </row>
    <row r="154" spans="1:22" ht="15" customHeight="1" x14ac:dyDescent="0.3">
      <c r="A154" s="6" t="s">
        <v>247</v>
      </c>
      <c r="B154" s="6" t="s">
        <v>218</v>
      </c>
      <c r="C154" s="6" t="s">
        <v>222</v>
      </c>
      <c r="D154" s="63">
        <f>0</f>
        <v>0</v>
      </c>
      <c r="E154" s="13">
        <f>SUMPRODUCT(-INT(-(E152/$D$87:$D$89)),$I$87:$I$89)*(1+INDEX(Assumptions!$D$88:$F$88,1,1))^0</f>
        <v>343395.9975</v>
      </c>
      <c r="F154" s="13">
        <f>SUMPRODUCT(-INT(-(F152/$D$87:$D$89)),$I$87:$I$89)*(1+INDEX(Assumptions!$D$88:$F$88,1,1))^1</f>
        <v>355414.85741249996</v>
      </c>
      <c r="G154" s="13">
        <f>SUMPRODUCT(-INT(-(G152/$D$87:$D$89)),$I$87:$I$89)*(1+INDEX(Assumptions!$D$88:$F$88,1,1))^2</f>
        <v>367854.37742193748</v>
      </c>
      <c r="H154" s="13">
        <f>SUMPRODUCT(-INT(-(H152/$D$87:$D$89)),$I$87:$I$89)*(1+INDEX(Assumptions!$D$88:$F$88,1,1))^3</f>
        <v>589835.21088069212</v>
      </c>
      <c r="I154" s="13">
        <f>SUMPRODUCT(-INT(-(I152/$D$87:$D$89)),$I$87:$I$89)*(1+INDEX(Assumptions!$D$88:$F$88,1,1))^4</f>
        <v>610479.44326151628</v>
      </c>
      <c r="J154" s="13">
        <f>SUMPRODUCT(-INT(-(J152/$D$87:$D$89)),$I$87:$I$89)*(1+INDEX(Assumptions!$D$88:$F$88,1,1))^5</f>
        <v>920610.09187748155</v>
      </c>
      <c r="K154" s="13">
        <f>SUMPRODUCT(-INT(-(K152/$D$87:$D$89)),$I$87:$I$89)*(1+INDEX(Assumptions!$D$88:$F$88,1,1))^6</f>
        <v>952831.44509319344</v>
      </c>
      <c r="L154" s="13">
        <f>SUMPRODUCT(-INT(-(L152/$D$87:$D$89)),$I$87:$I$89)*(1+INDEX(Assumptions!$D$88:$F$88,1,1))^7</f>
        <v>986180.5456714551</v>
      </c>
      <c r="M154" s="13">
        <f>SUMPRODUCT(-INT(-(M152/$D$87:$D$89)),$I$87:$I$89)*(1+INDEX(Assumptions!$D$88:$F$88,1,1))^8</f>
        <v>1020696.8647699559</v>
      </c>
      <c r="N154" s="13">
        <f>SUMPRODUCT(-INT(-(N152/$D$87:$D$89)),$I$87:$I$89)*(1+INDEX(Assumptions!$D$88:$F$88,1,1))^9</f>
        <v>1056421.2550369042</v>
      </c>
      <c r="O154" s="2"/>
      <c r="P154" s="2"/>
      <c r="Q154" s="2"/>
      <c r="R154" s="2"/>
      <c r="S154" s="2"/>
      <c r="T154" s="2"/>
      <c r="U154" s="2"/>
      <c r="V154" s="2"/>
    </row>
    <row r="155" spans="1:22" ht="15" customHeight="1" x14ac:dyDescent="0.3">
      <c r="A155" s="6" t="s">
        <v>1206</v>
      </c>
      <c r="B155" s="6" t="s">
        <v>218</v>
      </c>
      <c r="C155" s="6" t="s">
        <v>245</v>
      </c>
      <c r="D155" s="13">
        <f>MAX(0,D$142)*INDEX(Assumptions!$D$82:$F$82,1,1)</f>
        <v>649739.38947739301</v>
      </c>
      <c r="E155" s="13">
        <f>MAX(0,E$142-D$142)*INDEX(Assumptions!$D$82:$F$82,1,1)</f>
        <v>231130.48529418686</v>
      </c>
      <c r="F155" s="13">
        <f>MAX(0,F$142-E$142)*INDEX(Assumptions!$D$82:$F$82,1,1)</f>
        <v>433616.52001369814</v>
      </c>
      <c r="G155" s="13">
        <f>MAX(0,G$142-F$142)*INDEX(Assumptions!$D$82:$F$82,1,1)</f>
        <v>862263.61326411879</v>
      </c>
      <c r="H155" s="13">
        <f>MAX(0,H$142-G$142)*INDEX(Assumptions!$D$82:$F$82,1,1)</f>
        <v>877931.78699702071</v>
      </c>
      <c r="I155" s="13">
        <f>MAX(0,I$142-H$142)*INDEX(Assumptions!$D$82:$F$82,1,1)</f>
        <v>311527.54650963191</v>
      </c>
      <c r="J155" s="13">
        <f>MAX(0,J$142-I$142)*INDEX(Assumptions!$D$82:$F$82,1,1)</f>
        <v>305767.78377253236</v>
      </c>
      <c r="K155" s="13">
        <f>MAX(0,K$142-J$142)*INDEX(Assumptions!$D$82:$F$82,1,1)</f>
        <v>301163.44087745016</v>
      </c>
      <c r="L155" s="13">
        <f>MAX(0,L$142-K$142)*INDEX(Assumptions!$D$82:$F$82,1,1)</f>
        <v>3581.9224587739445</v>
      </c>
      <c r="M155" s="13">
        <f>MAX(0,M$142-L$142)*INDEX(Assumptions!$D$82:$F$82,1,1)</f>
        <v>0</v>
      </c>
      <c r="N155" s="13">
        <f>MAX(0,N$142-M$142)*INDEX(Assumptions!$D$82:$F$82,1,1)</f>
        <v>0</v>
      </c>
      <c r="O155" s="2"/>
      <c r="P155" s="2"/>
      <c r="Q155" s="2"/>
      <c r="R155" s="2"/>
      <c r="S155" s="2"/>
      <c r="T155" s="2"/>
      <c r="U155" s="2"/>
      <c r="V155" s="2"/>
    </row>
    <row r="156" spans="1:22" ht="15" customHeight="1" x14ac:dyDescent="0.3">
      <c r="A156" s="6" t="s">
        <v>1207</v>
      </c>
      <c r="B156" s="6" t="s">
        <v>219</v>
      </c>
      <c r="C156" s="6" t="s">
        <v>222</v>
      </c>
      <c r="D156" s="13">
        <f>'Acquisition Schedule'!F$33</f>
        <v>1</v>
      </c>
      <c r="E156" s="13">
        <f>'Acquisition Schedule'!F$33+'Acquisition Schedule'!G$33</f>
        <v>1</v>
      </c>
      <c r="F156" s="13">
        <f>'Acquisition Schedule'!F$33+'Acquisition Schedule'!G$33+'Acquisition Schedule'!H$33</f>
        <v>1</v>
      </c>
      <c r="G156" s="13">
        <f>'Acquisition Schedule'!F$33+'Acquisition Schedule'!G$33+'Acquisition Schedule'!H$33+'Acquisition Schedule'!I$33</f>
        <v>2</v>
      </c>
      <c r="H156" s="13">
        <f>'Acquisition Schedule'!F$33+'Acquisition Schedule'!G$33+'Acquisition Schedule'!H$33+'Acquisition Schedule'!I$33+'Acquisition Schedule'!J$33</f>
        <v>2</v>
      </c>
      <c r="I156" s="13">
        <f>'Acquisition Schedule'!F$33+'Acquisition Schedule'!G$33+'Acquisition Schedule'!H$33+'Acquisition Schedule'!I$33+'Acquisition Schedule'!J$33+'Acquisition Schedule'!K$33</f>
        <v>2</v>
      </c>
      <c r="J156" s="13">
        <f>'Acquisition Schedule'!F$33+'Acquisition Schedule'!G$33+'Acquisition Schedule'!H$33+'Acquisition Schedule'!I$33+'Acquisition Schedule'!J$33+'Acquisition Schedule'!K$33+'Acquisition Schedule'!L$33</f>
        <v>2</v>
      </c>
      <c r="K156" s="13">
        <f>'Acquisition Schedule'!F$33+'Acquisition Schedule'!G$33+'Acquisition Schedule'!H$33+'Acquisition Schedule'!I$33+'Acquisition Schedule'!J$33+'Acquisition Schedule'!K$33+'Acquisition Schedule'!L$33+'Acquisition Schedule'!M$33</f>
        <v>2</v>
      </c>
      <c r="L156" s="13">
        <f>'Acquisition Schedule'!F$33+'Acquisition Schedule'!G$33+'Acquisition Schedule'!H$33+'Acquisition Schedule'!I$33+'Acquisition Schedule'!J$33+'Acquisition Schedule'!K$33+'Acquisition Schedule'!L$33+'Acquisition Schedule'!M$33+'Acquisition Schedule'!N$33</f>
        <v>2</v>
      </c>
      <c r="M156" s="13">
        <f>'Acquisition Schedule'!F$33+'Acquisition Schedule'!G$33+'Acquisition Schedule'!H$33+'Acquisition Schedule'!I$33+'Acquisition Schedule'!J$33+'Acquisition Schedule'!K$33+'Acquisition Schedule'!L$33+'Acquisition Schedule'!M$33+'Acquisition Schedule'!N$33+'Acquisition Schedule'!O$33</f>
        <v>2</v>
      </c>
      <c r="N156" s="13">
        <f>'Acquisition Schedule'!F$33+'Acquisition Schedule'!G$33+'Acquisition Schedule'!H$33+'Acquisition Schedule'!I$33+'Acquisition Schedule'!J$33+'Acquisition Schedule'!K$33+'Acquisition Schedule'!L$33+'Acquisition Schedule'!M$33+'Acquisition Schedule'!N$33+'Acquisition Schedule'!O$33+'Acquisition Schedule'!P$33</f>
        <v>2</v>
      </c>
      <c r="O156" s="2"/>
      <c r="P156" s="2"/>
      <c r="Q156" s="2"/>
      <c r="R156" s="2"/>
      <c r="S156" s="2"/>
      <c r="T156" s="2"/>
      <c r="U156" s="2"/>
      <c r="V156" s="2"/>
    </row>
    <row r="157" spans="1:22" ht="15" customHeight="1" x14ac:dyDescent="0.3">
      <c r="A157" s="1" t="s">
        <v>246</v>
      </c>
      <c r="B157" s="6" t="s">
        <v>218</v>
      </c>
      <c r="C157" s="6" t="s">
        <v>222</v>
      </c>
      <c r="D157" s="39">
        <f>D156*$I$50*(1+INDEX(Assumptions!$D$88:$F$88,1,1))^0*INDEX(Assumptions!$D$91:$F$91,1,1)*(1-Assumptions!$D$8)</f>
        <v>0</v>
      </c>
      <c r="E157" s="39">
        <f>E156*$I$50*(1+INDEX(Assumptions!$D$88:$F$88,1,1))^0*INDEX(Assumptions!$D$91:$F$91,1,1)*(1-Assumptions!$D$8)</f>
        <v>0</v>
      </c>
      <c r="F157" s="39">
        <f>F156*$I$50*(1+INDEX(Assumptions!$D$88:$F$88,1,1))^1*INDEX(Assumptions!$D$91:$F$91,1,1)*(1-Assumptions!$D$8)</f>
        <v>0</v>
      </c>
      <c r="G157" s="39">
        <f>G156*$I$50*(1+INDEX(Assumptions!$D$88:$F$88,1,1))^2*INDEX(Assumptions!$D$91:$F$91,1,1)*(1-Assumptions!$D$8)</f>
        <v>0</v>
      </c>
      <c r="H157" s="39">
        <f>H156*$I$50*(1+INDEX(Assumptions!$D$88:$F$88,1,1))^3*INDEX(Assumptions!$D$91:$F$91,1,1)*(1-Assumptions!$D$8)</f>
        <v>0</v>
      </c>
      <c r="I157" s="39">
        <f>I156*$I$50*(1+INDEX(Assumptions!$D$88:$F$88,1,1))^4*INDEX(Assumptions!$D$91:$F$91,1,1)*(1-Assumptions!$D$8)</f>
        <v>0</v>
      </c>
      <c r="J157" s="39">
        <f>J156*$I$50*(1+INDEX(Assumptions!$D$88:$F$88,1,1))^5*INDEX(Assumptions!$D$91:$F$91,1,1)*(1-Assumptions!$D$8)</f>
        <v>0</v>
      </c>
      <c r="K157" s="39">
        <f>K156*$I$50*(1+INDEX(Assumptions!$D$88:$F$88,1,1))^6*INDEX(Assumptions!$D$91:$F$91,1,1)*(1-Assumptions!$D$8)</f>
        <v>0</v>
      </c>
      <c r="L157" s="39">
        <f>L156*$I$50*(1+INDEX(Assumptions!$D$88:$F$88,1,1))^7*INDEX(Assumptions!$D$91:$F$91,1,1)*(1-Assumptions!$D$8)</f>
        <v>0</v>
      </c>
      <c r="M157" s="39">
        <f>M156*$I$50*(1+INDEX(Assumptions!$D$88:$F$88,1,1))^8*INDEX(Assumptions!$D$91:$F$91,1,1)*(1-Assumptions!$D$8)</f>
        <v>0</v>
      </c>
      <c r="N157" s="39">
        <f>N156*$I$50*(1+INDEX(Assumptions!$D$88:$F$88,1,1))^9*INDEX(Assumptions!$D$91:$F$91,1,1)*(1-Assumptions!$D$8)</f>
        <v>0</v>
      </c>
      <c r="O157" s="2"/>
      <c r="P157" s="2"/>
      <c r="Q157" s="2"/>
      <c r="R157" s="2"/>
      <c r="S157" s="2"/>
      <c r="T157" s="2"/>
      <c r="U157" s="2"/>
      <c r="V157" s="2"/>
    </row>
    <row r="158" spans="1:22" ht="15" customHeight="1" x14ac:dyDescent="0.3">
      <c r="A158" s="6" t="s">
        <v>248</v>
      </c>
      <c r="B158" s="6" t="s">
        <v>218</v>
      </c>
      <c r="C158" s="6" t="s">
        <v>222</v>
      </c>
      <c r="D158" s="13">
        <f>'Acquisition Schedule'!F$34*INDEX(Assumptions!$D$85:$F$85,1,1)</f>
        <v>540000</v>
      </c>
      <c r="E158" s="13">
        <f>'Acquisition Schedule'!G$34*INDEX(Assumptions!$D$85:$F$85,1,1)</f>
        <v>540000</v>
      </c>
      <c r="F158" s="13">
        <f>'Acquisition Schedule'!H$34*INDEX(Assumptions!$D$85:$F$85,1,1)</f>
        <v>540000</v>
      </c>
      <c r="G158" s="13">
        <f>'Acquisition Schedule'!I$34*INDEX(Assumptions!$D$85:$F$85,1,1)</f>
        <v>540000</v>
      </c>
      <c r="H158" s="13">
        <f>'Acquisition Schedule'!J$34*INDEX(Assumptions!$D$85:$F$85,1,1)</f>
        <v>540000</v>
      </c>
      <c r="I158" s="13">
        <f>'Acquisition Schedule'!K$34*INDEX(Assumptions!$D$85:$F$85,1,1)</f>
        <v>540000</v>
      </c>
      <c r="J158" s="13">
        <f>'Acquisition Schedule'!L$34*INDEX(Assumptions!$D$85:$F$85,1,1)</f>
        <v>540000</v>
      </c>
      <c r="K158" s="13">
        <f>'Acquisition Schedule'!M$34*INDEX(Assumptions!$D$85:$F$85,1,1)</f>
        <v>540000</v>
      </c>
      <c r="L158" s="13">
        <f>'Acquisition Schedule'!N$34*INDEX(Assumptions!$D$85:$F$85,1,1)</f>
        <v>0</v>
      </c>
      <c r="M158" s="13">
        <f>'Acquisition Schedule'!O$34*INDEX(Assumptions!$D$85:$F$85,1,1)</f>
        <v>0</v>
      </c>
      <c r="N158" s="13">
        <f>'Acquisition Schedule'!P$34*INDEX(Assumptions!$D$85:$F$85,1,1)</f>
        <v>0</v>
      </c>
      <c r="O158" s="2"/>
      <c r="P158" s="2"/>
      <c r="Q158" s="2"/>
      <c r="R158" s="2"/>
      <c r="S158" s="2"/>
      <c r="T158" s="2"/>
      <c r="U158" s="2"/>
      <c r="V158" s="2"/>
    </row>
    <row r="159" spans="1:22" ht="15" customHeight="1" x14ac:dyDescent="0.3">
      <c r="A159" s="6" t="s">
        <v>192</v>
      </c>
      <c r="B159" s="6" t="s">
        <v>218</v>
      </c>
      <c r="C159" s="6" t="s">
        <v>222</v>
      </c>
      <c r="D159" s="13">
        <f>INDEX(Assumptions!$D$86:$F$86,1,1)*(1+INDEX(Assumptions!$D$87:$F$87,1,1))^0</f>
        <v>820000</v>
      </c>
      <c r="E159" s="13">
        <f>INDEX(Assumptions!$D$86:$F$86,1,1)*(1+INDEX(Assumptions!$D$87:$F$87,1,1))^0</f>
        <v>820000</v>
      </c>
      <c r="F159" s="13">
        <f>INDEX(Assumptions!$D$86:$F$86,1,1)*(1+INDEX(Assumptions!$D$87:$F$87,1,1))^1</f>
        <v>877400</v>
      </c>
      <c r="G159" s="13">
        <f>INDEX(Assumptions!$D$86:$F$86,1,1)*(1+INDEX(Assumptions!$D$87:$F$87,1,1))^2</f>
        <v>938818</v>
      </c>
      <c r="H159" s="13">
        <f>INDEX(Assumptions!$D$86:$F$86,1,1)*(1+INDEX(Assumptions!$D$87:$F$87,1,1))^3</f>
        <v>1004535.2600000001</v>
      </c>
      <c r="I159" s="13">
        <f>INDEX(Assumptions!$D$86:$F$86,1,1)*(1+INDEX(Assumptions!$D$87:$F$87,1,1))^4</f>
        <v>1074852.7282</v>
      </c>
      <c r="J159" s="13">
        <f>INDEX(Assumptions!$D$86:$F$86,1,1)*(1+INDEX(Assumptions!$D$87:$F$87,1,1))^5</f>
        <v>1150092.4191740002</v>
      </c>
      <c r="K159" s="13">
        <f>INDEX(Assumptions!$D$86:$F$86,1,1)*(1+INDEX(Assumptions!$D$87:$F$87,1,1))^6</f>
        <v>1230598.88851618</v>
      </c>
      <c r="L159" s="13">
        <f>INDEX(Assumptions!$D$86:$F$86,1,1)*(1+INDEX(Assumptions!$D$87:$F$87,1,1))^7</f>
        <v>1316740.8107123128</v>
      </c>
      <c r="M159" s="13">
        <f>INDEX(Assumptions!$D$86:$F$86,1,1)*(1+INDEX(Assumptions!$D$87:$F$87,1,1))^8</f>
        <v>1408912.6674621745</v>
      </c>
      <c r="N159" s="13">
        <f>INDEX(Assumptions!$D$86:$F$86,1,1)*(1+INDEX(Assumptions!$D$87:$F$87,1,1))^9</f>
        <v>1507536.5541845269</v>
      </c>
      <c r="O159" s="2"/>
      <c r="P159" s="2"/>
      <c r="Q159" s="2"/>
      <c r="R159" s="2"/>
      <c r="S159" s="2"/>
      <c r="T159" s="2"/>
      <c r="U159" s="2"/>
      <c r="V159" s="2"/>
    </row>
    <row r="160" spans="1:22" ht="15" customHeight="1" x14ac:dyDescent="0.3">
      <c r="A160" s="1" t="s">
        <v>1208</v>
      </c>
      <c r="B160" s="6" t="s">
        <v>219</v>
      </c>
      <c r="C160" s="6" t="s">
        <v>211</v>
      </c>
      <c r="D160" s="61">
        <f t="shared" ref="D160:N160" si="28">D145+D147+D150+D153</f>
        <v>17</v>
      </c>
      <c r="E160" s="61">
        <f t="shared" si="28"/>
        <v>22</v>
      </c>
      <c r="F160" s="61">
        <f t="shared" si="28"/>
        <v>29.795085999999998</v>
      </c>
      <c r="G160" s="61">
        <f t="shared" si="28"/>
        <v>40.553800000000003</v>
      </c>
      <c r="H160" s="61">
        <f t="shared" si="28"/>
        <v>50.302936000000003</v>
      </c>
      <c r="I160" s="61">
        <f t="shared" si="28"/>
        <v>54.670369000000001</v>
      </c>
      <c r="J160" s="61">
        <f t="shared" si="28"/>
        <v>62.029076000000003</v>
      </c>
      <c r="K160" s="61">
        <f t="shared" si="28"/>
        <v>65.379263000000009</v>
      </c>
      <c r="L160" s="61">
        <f t="shared" si="28"/>
        <v>66.507852999999997</v>
      </c>
      <c r="M160" s="61">
        <f t="shared" si="28"/>
        <v>65.415041000000002</v>
      </c>
      <c r="N160" s="61">
        <f t="shared" si="28"/>
        <v>63.324433999999997</v>
      </c>
      <c r="O160" s="2"/>
      <c r="P160" s="2"/>
      <c r="Q160" s="2"/>
      <c r="R160" s="2"/>
      <c r="S160" s="2"/>
      <c r="T160" s="2"/>
      <c r="U160" s="2"/>
      <c r="V160" s="2"/>
    </row>
    <row r="161" spans="1:22" ht="15" customHeight="1" x14ac:dyDescent="0.3">
      <c r="A161" s="6" t="s">
        <v>1209</v>
      </c>
      <c r="B161" s="6" t="s">
        <v>219</v>
      </c>
      <c r="C161" s="6" t="s">
        <v>220</v>
      </c>
      <c r="D161" s="13">
        <f>SUMPRODUCT(-INT(-(('Revenue &amp; Durability'!D$58*$O$94:$O$99+'Revenue &amp; Durability'!D$49*(1-$O$94:$O$99))/$D$94:$D$99)))</f>
        <v>173</v>
      </c>
      <c r="E161" s="13">
        <f>SUMPRODUCT(-INT(-(('Revenue &amp; Durability'!E$58*$O$94:$O$99+'Revenue &amp; Durability'!E$49*(1-$O$94:$O$99))/$D$94:$D$99)))</f>
        <v>237</v>
      </c>
      <c r="F161" s="13">
        <f>SUMPRODUCT(-INT(-(('Revenue &amp; Durability'!F$58*$O$94:$O$99+'Revenue &amp; Durability'!F$49*(1-$O$94:$O$99))/$D$94:$D$99)))</f>
        <v>358</v>
      </c>
      <c r="G161" s="13">
        <f>SUMPRODUCT(-INT(-(('Revenue &amp; Durability'!G$58*$O$94:$O$99+'Revenue &amp; Durability'!G$49*(1-$O$94:$O$99))/$D$94:$D$99)))</f>
        <v>585</v>
      </c>
      <c r="H161" s="13">
        <f>SUMPRODUCT(-INT(-(('Revenue &amp; Durability'!H$58*$O$94:$O$99+'Revenue &amp; Durability'!H$49*(1-$O$94:$O$99))/$D$94:$D$99)))</f>
        <v>810</v>
      </c>
      <c r="I161" s="13">
        <f>SUMPRODUCT(-INT(-(('Revenue &amp; Durability'!I$58*$O$94:$O$99+'Revenue &amp; Durability'!I$49*(1-$O$94:$O$99))/$D$94:$D$99)))</f>
        <v>918</v>
      </c>
      <c r="J161" s="13">
        <f>SUMPRODUCT(-INT(-(('Revenue &amp; Durability'!J$58*$O$94:$O$99+'Revenue &amp; Durability'!J$49*(1-$O$94:$O$99))/$D$94:$D$99)))</f>
        <v>1026</v>
      </c>
      <c r="K161" s="13">
        <f>SUMPRODUCT(-INT(-(('Revenue &amp; Durability'!K$58*$O$94:$O$99+'Revenue &amp; Durability'!K$49*(1-$O$94:$O$99))/$D$94:$D$99)))</f>
        <v>1128</v>
      </c>
      <c r="L161" s="13">
        <f>SUMPRODUCT(-INT(-(('Revenue &amp; Durability'!L$58*$O$94:$O$99+'Revenue &amp; Durability'!L$49*(1-$O$94:$O$99))/$D$94:$D$99)))</f>
        <v>1169</v>
      </c>
      <c r="M161" s="13">
        <f>SUMPRODUCT(-INT(-(('Revenue &amp; Durability'!M$58*$O$94:$O$99+'Revenue &amp; Durability'!M$49*(1-$O$94:$O$99))/$D$94:$D$99)))</f>
        <v>1140</v>
      </c>
      <c r="N161" s="13">
        <f>SUMPRODUCT(-INT(-(('Revenue &amp; Durability'!N$58*$O$94:$O$99+'Revenue &amp; Durability'!N$49*(1-$O$94:$O$99))/$D$94:$D$99)))</f>
        <v>1115</v>
      </c>
      <c r="O161" s="2"/>
      <c r="P161" s="2"/>
      <c r="Q161" s="2"/>
      <c r="R161" s="2"/>
      <c r="S161" s="2"/>
      <c r="T161" s="2"/>
      <c r="U161" s="2"/>
      <c r="V161" s="2"/>
    </row>
    <row r="162" spans="1:22" ht="15" customHeight="1" x14ac:dyDescent="0.3">
      <c r="A162" s="6" t="s">
        <v>1210</v>
      </c>
      <c r="B162" s="6" t="s">
        <v>219</v>
      </c>
      <c r="C162" s="6" t="s">
        <v>220</v>
      </c>
      <c r="D162" s="13">
        <f>'Revenue &amp; Durability'!D$49/$D$7</f>
        <v>145.08928571428572</v>
      </c>
      <c r="E162" s="13">
        <f>'Revenue &amp; Durability'!E$49/$D$7</f>
        <v>199.49776785714286</v>
      </c>
      <c r="F162" s="13">
        <f>'Revenue &amp; Durability'!F$49/$D$7</f>
        <v>304.86886160714283</v>
      </c>
      <c r="G162" s="13">
        <f>'Revenue &amp; Durability'!G$49/$D$7</f>
        <v>498.41819545200894</v>
      </c>
      <c r="H162" s="13">
        <f>'Revenue &amp; Durability'!H$49/$D$7</f>
        <v>689.52440170288094</v>
      </c>
      <c r="I162" s="13">
        <f>'Revenue &amp; Durability'!I$49/$D$7</f>
        <v>783.25736289904467</v>
      </c>
      <c r="J162" s="13">
        <f>'Revenue &amp; Durability'!J$49/$D$7</f>
        <v>874.76416626679963</v>
      </c>
      <c r="K162" s="13">
        <f>'Revenue &amp; Durability'!K$49/$D$7</f>
        <v>964.09768305457021</v>
      </c>
      <c r="L162" s="13">
        <f>'Revenue &amp; Durability'!L$49/$D$7</f>
        <v>996.9010466757743</v>
      </c>
      <c r="M162" s="13">
        <f>'Revenue &amp; Durability'!M$49/$D$7</f>
        <v>973.22464681722454</v>
      </c>
      <c r="N162" s="13">
        <f>'Revenue &amp; Durability'!N$49/$D$7</f>
        <v>950.11056145531563</v>
      </c>
      <c r="O162" s="2"/>
      <c r="P162" s="2"/>
      <c r="Q162" s="2"/>
      <c r="R162" s="2"/>
      <c r="S162" s="2"/>
      <c r="T162" s="2"/>
      <c r="U162" s="2"/>
      <c r="V162" s="2"/>
    </row>
    <row r="163" spans="1:22" ht="15" customHeight="1" x14ac:dyDescent="0.3">
      <c r="A163" s="6" t="s">
        <v>1211</v>
      </c>
      <c r="B163" s="6" t="s">
        <v>219</v>
      </c>
      <c r="C163" s="6" t="s">
        <v>211</v>
      </c>
      <c r="D163" s="63">
        <f t="shared" ref="D163:N163" si="29">D161-D162</f>
        <v>27.910714285714278</v>
      </c>
      <c r="E163" s="63">
        <f t="shared" si="29"/>
        <v>37.502232142857139</v>
      </c>
      <c r="F163" s="63">
        <f t="shared" si="29"/>
        <v>53.131138392857167</v>
      </c>
      <c r="G163" s="63">
        <f t="shared" si="29"/>
        <v>86.581804547991055</v>
      </c>
      <c r="H163" s="63">
        <f t="shared" si="29"/>
        <v>120.47559829711906</v>
      </c>
      <c r="I163" s="63">
        <f t="shared" si="29"/>
        <v>134.74263710095533</v>
      </c>
      <c r="J163" s="63">
        <f t="shared" si="29"/>
        <v>151.23583373320037</v>
      </c>
      <c r="K163" s="63">
        <f t="shared" si="29"/>
        <v>163.90231694542979</v>
      </c>
      <c r="L163" s="63">
        <f t="shared" si="29"/>
        <v>172.0989533242257</v>
      </c>
      <c r="M163" s="63">
        <f t="shared" si="29"/>
        <v>166.77535318277546</v>
      </c>
      <c r="N163" s="63">
        <f t="shared" si="29"/>
        <v>164.88943854468437</v>
      </c>
      <c r="O163" s="2"/>
      <c r="P163" s="2"/>
      <c r="Q163" s="2"/>
      <c r="R163" s="2"/>
      <c r="S163" s="2"/>
      <c r="T163" s="2"/>
      <c r="U163" s="2"/>
      <c r="V163" s="2"/>
    </row>
    <row r="164" spans="1:22" ht="15" customHeight="1" x14ac:dyDescent="0.3">
      <c r="A164" s="6" t="s">
        <v>1212</v>
      </c>
      <c r="B164" s="6" t="s">
        <v>218</v>
      </c>
      <c r="C164" s="6" t="s">
        <v>220</v>
      </c>
      <c r="D164" s="13">
        <f>SUMPRODUCT(-INT(-(('Revenue &amp; Durability'!D$58*$O$94:$O$99+'Revenue &amp; Durability'!D$49*(1-$O$94:$O$99))/$D$94:$D$99)),$I$94:$I$99)*(1+INDEX(Assumptions!$D$88:$F$88,1,1))^0</f>
        <v>12593971</v>
      </c>
      <c r="E164" s="13">
        <f>SUMPRODUCT(-INT(-(('Revenue &amp; Durability'!E$58*$O$94:$O$99+'Revenue &amp; Durability'!E$49*(1-$O$94:$O$99))/$D$94:$D$99)),$I$94:$I$99)*(1+INDEX(Assumptions!$D$88:$F$88,1,1))^0</f>
        <v>17268824</v>
      </c>
      <c r="F164" s="13">
        <f>SUMPRODUCT(-INT(-(('Revenue &amp; Durability'!F$58*$O$94:$O$99+'Revenue &amp; Durability'!F$49*(1-$O$94:$O$99))/$D$94:$D$99)),$I$94:$I$99)*(1+INDEX(Assumptions!$D$88:$F$88,1,1))^1</f>
        <v>26979189.232499998</v>
      </c>
      <c r="G164" s="13">
        <f>SUMPRODUCT(-INT(-(('Revenue &amp; Durability'!G$58*$O$94:$O$99+'Revenue &amp; Durability'!G$49*(1-$O$94:$O$99))/$D$94:$D$99)),$I$94:$I$99)*(1+INDEX(Assumptions!$D$88:$F$88,1,1))^2</f>
        <v>45631487.655449994</v>
      </c>
      <c r="H164" s="13">
        <f>SUMPRODUCT(-INT(-(('Revenue &amp; Durability'!H$58*$O$94:$O$99+'Revenue &amp; Durability'!H$49*(1-$O$94:$O$99))/$D$94:$D$99)),$I$94:$I$99)*(1+INDEX(Assumptions!$D$88:$F$88,1,1))^3</f>
        <v>65400383.116698176</v>
      </c>
      <c r="I164" s="13">
        <f>SUMPRODUCT(-INT(-(('Revenue &amp; Durability'!I$58*$O$94:$O$99+'Revenue &amp; Durability'!I$49*(1-$O$94:$O$99))/$D$94:$D$99)),$I$94:$I$99)*(1+INDEX(Assumptions!$D$88:$F$88,1,1))^4</f>
        <v>76710122.455900252</v>
      </c>
      <c r="J164" s="13">
        <f>SUMPRODUCT(-INT(-(('Revenue &amp; Durability'!J$58*$O$94:$O$99+'Revenue &amp; Durability'!J$49*(1-$O$94:$O$99))/$D$94:$D$99)),$I$94:$I$99)*(1+INDEX(Assumptions!$D$88:$F$88,1,1))^5</f>
        <v>88731428.079528511</v>
      </c>
      <c r="K164" s="13">
        <f>SUMPRODUCT(-INT(-(('Revenue &amp; Durability'!K$58*$O$94:$O$99+'Revenue &amp; Durability'!K$49*(1-$O$94:$O$99))/$D$94:$D$99)),$I$94:$I$99)*(1+INDEX(Assumptions!$D$88:$F$88,1,1))^6</f>
        <v>100967602.88357797</v>
      </c>
      <c r="L164" s="13">
        <f>SUMPRODUCT(-INT(-(('Revenue &amp; Durability'!L$58*$O$94:$O$99+'Revenue &amp; Durability'!L$49*(1-$O$94:$O$99))/$D$94:$D$99)),$I$94:$I$99)*(1+INDEX(Assumptions!$D$88:$F$88,1,1))^7</f>
        <v>108302270.964975</v>
      </c>
      <c r="M164" s="13">
        <f>SUMPRODUCT(-INT(-(('Revenue &amp; Durability'!M$58*$O$94:$O$99+'Revenue &amp; Durability'!M$49*(1-$O$94:$O$99))/$D$94:$D$99)),$I$94:$I$99)*(1+INDEX(Assumptions!$D$88:$F$88,1,1))^8</f>
        <v>109300201.34742823</v>
      </c>
      <c r="N164" s="13">
        <f>SUMPRODUCT(-INT(-(('Revenue &amp; Durability'!N$58*$O$94:$O$99+'Revenue &amp; Durability'!N$49*(1-$O$94:$O$99))/$D$94:$D$99)),$I$94:$I$99)*(1+INDEX(Assumptions!$D$88:$F$88,1,1))^9</f>
        <v>110650834.67543609</v>
      </c>
      <c r="O164" s="2"/>
      <c r="P164" s="2"/>
      <c r="Q164" s="2"/>
      <c r="R164" s="2"/>
      <c r="S164" s="2"/>
      <c r="T164" s="2"/>
      <c r="U164" s="2"/>
      <c r="V164" s="2"/>
    </row>
    <row r="165" spans="1:22" ht="15" customHeight="1" x14ac:dyDescent="0.3">
      <c r="A165" s="2"/>
      <c r="B165" s="2"/>
      <c r="C165" s="2"/>
      <c r="D165" s="2"/>
      <c r="E165" s="2"/>
      <c r="F165" s="2"/>
      <c r="G165" s="2"/>
      <c r="H165" s="2"/>
      <c r="I165" s="2"/>
      <c r="J165" s="2"/>
      <c r="K165" s="2"/>
      <c r="L165" s="2"/>
      <c r="M165" s="2"/>
      <c r="N165" s="2"/>
      <c r="O165" s="2"/>
      <c r="P165" s="2"/>
      <c r="Q165" s="2"/>
      <c r="R165" s="2"/>
      <c r="S165" s="2"/>
      <c r="T165" s="2"/>
      <c r="U165" s="2"/>
      <c r="V165" s="2"/>
    </row>
    <row r="166" spans="1:22" ht="15" customHeight="1" x14ac:dyDescent="0.3">
      <c r="A166" s="21" t="s">
        <v>1213</v>
      </c>
      <c r="B166" s="10"/>
      <c r="C166" s="10"/>
      <c r="D166" s="10"/>
      <c r="E166" s="10"/>
      <c r="F166" s="10"/>
      <c r="G166" s="10"/>
      <c r="H166" s="10"/>
      <c r="I166" s="10"/>
      <c r="J166" s="10"/>
      <c r="K166" s="10"/>
      <c r="L166" s="10"/>
      <c r="M166" s="10"/>
      <c r="N166" s="10"/>
      <c r="O166" s="2"/>
      <c r="P166" s="2"/>
      <c r="Q166" s="2"/>
      <c r="R166" s="2"/>
      <c r="S166" s="2"/>
      <c r="T166" s="2"/>
      <c r="U166" s="2"/>
      <c r="V166" s="2"/>
    </row>
    <row r="167" spans="1:22" ht="15" customHeight="1" x14ac:dyDescent="0.3">
      <c r="A167" s="21" t="s">
        <v>202</v>
      </c>
      <c r="B167" s="10"/>
      <c r="C167" s="10"/>
      <c r="D167" s="21" t="s">
        <v>203</v>
      </c>
      <c r="E167" s="21" t="s">
        <v>204</v>
      </c>
      <c r="F167" s="21" t="s">
        <v>205</v>
      </c>
      <c r="G167" s="21" t="s">
        <v>9</v>
      </c>
      <c r="H167" s="21" t="s">
        <v>206</v>
      </c>
      <c r="I167" s="21" t="s">
        <v>10</v>
      </c>
      <c r="J167" s="21" t="s">
        <v>207</v>
      </c>
      <c r="K167" s="21" t="s">
        <v>11</v>
      </c>
      <c r="L167" s="21" t="s">
        <v>208</v>
      </c>
      <c r="M167" s="21" t="s">
        <v>209</v>
      </c>
      <c r="N167" s="21" t="s">
        <v>12</v>
      </c>
      <c r="O167" s="2"/>
      <c r="P167" s="2"/>
      <c r="Q167" s="2"/>
      <c r="R167" s="2"/>
      <c r="S167" s="2"/>
      <c r="T167" s="2"/>
      <c r="U167" s="2"/>
      <c r="V167" s="2"/>
    </row>
    <row r="168" spans="1:22" ht="15" customHeight="1" x14ac:dyDescent="0.3">
      <c r="A168" s="6" t="s">
        <v>1186</v>
      </c>
      <c r="B168" s="6" t="s">
        <v>265</v>
      </c>
      <c r="C168" s="6" t="s">
        <v>211</v>
      </c>
      <c r="D168" s="88">
        <f>IF('Acquisition Schedule'!F$20=0,0,'Revenue &amp; Durability'!D$81/'Acquisition Schedule'!F$20)</f>
        <v>0.94</v>
      </c>
      <c r="E168" s="88">
        <f>IF('Acquisition Schedule'!F$20=0,0,'Revenue &amp; Durability'!E$81/'Acquisition Schedule'!F$20)</f>
        <v>0.94</v>
      </c>
      <c r="F168" s="88">
        <f>IF('Acquisition Schedule'!F$20=0,0,'Revenue &amp; Durability'!F$81/'Acquisition Schedule'!F$20)</f>
        <v>0.85633999999999999</v>
      </c>
      <c r="G168" s="88">
        <f>IF('Acquisition Schedule'!F$20=0,0,'Revenue &amp; Durability'!G$81/'Acquisition Schedule'!F$20)</f>
        <v>0.78012574000000001</v>
      </c>
      <c r="H168" s="88">
        <f>IF('Acquisition Schedule'!F$20=0,0,'Revenue &amp; Durability'!H$81/'Acquisition Schedule'!F$20)</f>
        <v>0.71069454913999996</v>
      </c>
      <c r="I168" s="88">
        <f>IF('Acquisition Schedule'!F$20=0,0,'Revenue &amp; Durability'!I$81/'Acquisition Schedule'!F$20)</f>
        <v>0.64744273426654009</v>
      </c>
      <c r="J168" s="88">
        <f>IF('Acquisition Schedule'!F$20=0,0,'Revenue &amp; Durability'!J$81/'Acquisition Schedule'!F$20)</f>
        <v>0.58982033091681796</v>
      </c>
      <c r="K168" s="88">
        <f>IF('Acquisition Schedule'!F$20=0,0,'Revenue &amp; Durability'!K$81/'Acquisition Schedule'!F$20)</f>
        <v>0.53732632146522119</v>
      </c>
      <c r="L168" s="88">
        <f>IF('Acquisition Schedule'!F$20=0,0,'Revenue &amp; Durability'!L$81/'Acquisition Schedule'!F$20)</f>
        <v>0.48950427885481651</v>
      </c>
      <c r="M168" s="88">
        <f>IF('Acquisition Schedule'!F$20=0,0,'Revenue &amp; Durability'!M$81/'Acquisition Schedule'!F$20)</f>
        <v>0.4459383980367379</v>
      </c>
      <c r="N168" s="88">
        <f>IF('Acquisition Schedule'!F$20=0,0,'Revenue &amp; Durability'!N$81/'Acquisition Schedule'!F$20)</f>
        <v>0.40624988061146827</v>
      </c>
      <c r="O168" s="2"/>
      <c r="P168" s="2"/>
      <c r="Q168" s="2"/>
      <c r="R168" s="2"/>
      <c r="S168" s="2"/>
      <c r="T168" s="2"/>
      <c r="U168" s="2"/>
      <c r="V168" s="2"/>
    </row>
    <row r="169" spans="1:22" ht="15" customHeight="1" x14ac:dyDescent="0.3">
      <c r="A169" s="6" t="s">
        <v>1187</v>
      </c>
      <c r="B169" s="6" t="s">
        <v>265</v>
      </c>
      <c r="C169" s="6" t="s">
        <v>211</v>
      </c>
      <c r="D169" s="88">
        <f>IF('Acquisition Schedule'!G$20=0,0,'Revenue &amp; Durability'!D$82/'Acquisition Schedule'!G$20)</f>
        <v>0</v>
      </c>
      <c r="E169" s="88">
        <f>IF('Acquisition Schedule'!G$20=0,0,'Revenue &amp; Durability'!E$82/'Acquisition Schedule'!G$20)</f>
        <v>0.47</v>
      </c>
      <c r="F169" s="88">
        <f>IF('Acquisition Schedule'!G$20=0,0,'Revenue &amp; Durability'!F$82/'Acquisition Schedule'!G$20)</f>
        <v>0.94</v>
      </c>
      <c r="G169" s="88">
        <f>IF('Acquisition Schedule'!G$20=0,0,'Revenue &amp; Durability'!G$82/'Acquisition Schedule'!G$20)</f>
        <v>0.85633999999999999</v>
      </c>
      <c r="H169" s="88">
        <f>IF('Acquisition Schedule'!G$20=0,0,'Revenue &amp; Durability'!H$82/'Acquisition Schedule'!G$20)</f>
        <v>0.78012574000000012</v>
      </c>
      <c r="I169" s="88">
        <f>IF('Acquisition Schedule'!G$20=0,0,'Revenue &amp; Durability'!I$82/'Acquisition Schedule'!G$20)</f>
        <v>0.71069454914000008</v>
      </c>
      <c r="J169" s="88">
        <f>IF('Acquisition Schedule'!G$20=0,0,'Revenue &amp; Durability'!J$82/'Acquisition Schedule'!G$20)</f>
        <v>0.64744273426654009</v>
      </c>
      <c r="K169" s="88">
        <f>IF('Acquisition Schedule'!G$20=0,0,'Revenue &amp; Durability'!K$82/'Acquisition Schedule'!G$20)</f>
        <v>0.58982033091681807</v>
      </c>
      <c r="L169" s="88">
        <f>IF('Acquisition Schedule'!G$20=0,0,'Revenue &amp; Durability'!L$82/'Acquisition Schedule'!G$20)</f>
        <v>0.53732632146522119</v>
      </c>
      <c r="M169" s="88">
        <f>IF('Acquisition Schedule'!G$20=0,0,'Revenue &amp; Durability'!M$82/'Acquisition Schedule'!G$20)</f>
        <v>0.48950427885481651</v>
      </c>
      <c r="N169" s="88">
        <f>IF('Acquisition Schedule'!G$20=0,0,'Revenue &amp; Durability'!N$82/'Acquisition Schedule'!G$20)</f>
        <v>0.4459383980367379</v>
      </c>
      <c r="O169" s="2"/>
      <c r="P169" s="2"/>
      <c r="Q169" s="2"/>
      <c r="R169" s="2"/>
      <c r="S169" s="2"/>
      <c r="T169" s="2"/>
      <c r="U169" s="2"/>
      <c r="V169" s="2"/>
    </row>
    <row r="170" spans="1:22" ht="15" customHeight="1" x14ac:dyDescent="0.3">
      <c r="A170" s="6" t="s">
        <v>1188</v>
      </c>
      <c r="B170" s="6" t="s">
        <v>265</v>
      </c>
      <c r="C170" s="6" t="s">
        <v>211</v>
      </c>
      <c r="D170" s="88">
        <f>IF('Acquisition Schedule'!H$20=0,0,'Revenue &amp; Durability'!D$83/'Acquisition Schedule'!H$20)</f>
        <v>0</v>
      </c>
      <c r="E170" s="88">
        <f>IF('Acquisition Schedule'!H$20=0,0,'Revenue &amp; Durability'!E$83/'Acquisition Schedule'!H$20)</f>
        <v>0</v>
      </c>
      <c r="F170" s="88">
        <f>IF('Acquisition Schedule'!H$20=0,0,'Revenue &amp; Durability'!F$83/'Acquisition Schedule'!H$20)</f>
        <v>0.47</v>
      </c>
      <c r="G170" s="88">
        <f>IF('Acquisition Schedule'!H$20=0,0,'Revenue &amp; Durability'!G$83/'Acquisition Schedule'!H$20)</f>
        <v>0.94</v>
      </c>
      <c r="H170" s="88">
        <f>IF('Acquisition Schedule'!H$20=0,0,'Revenue &amp; Durability'!H$83/'Acquisition Schedule'!H$20)</f>
        <v>0.85633999999999999</v>
      </c>
      <c r="I170" s="88">
        <f>IF('Acquisition Schedule'!H$20=0,0,'Revenue &amp; Durability'!I$83/'Acquisition Schedule'!H$20)</f>
        <v>0.78012574000000012</v>
      </c>
      <c r="J170" s="88">
        <f>IF('Acquisition Schedule'!H$20=0,0,'Revenue &amp; Durability'!J$83/'Acquisition Schedule'!H$20)</f>
        <v>0.71069454914000008</v>
      </c>
      <c r="K170" s="88">
        <f>IF('Acquisition Schedule'!H$20=0,0,'Revenue &amp; Durability'!K$83/'Acquisition Schedule'!H$20)</f>
        <v>0.64744273426654009</v>
      </c>
      <c r="L170" s="88">
        <f>IF('Acquisition Schedule'!H$20=0,0,'Revenue &amp; Durability'!L$83/'Acquisition Schedule'!H$20)</f>
        <v>0.58982033091681807</v>
      </c>
      <c r="M170" s="88">
        <f>IF('Acquisition Schedule'!H$20=0,0,'Revenue &amp; Durability'!M$83/'Acquisition Schedule'!H$20)</f>
        <v>0.53732632146522119</v>
      </c>
      <c r="N170" s="88">
        <f>IF('Acquisition Schedule'!H$20=0,0,'Revenue &amp; Durability'!N$83/'Acquisition Schedule'!H$20)</f>
        <v>0.48950427885481651</v>
      </c>
      <c r="O170" s="2"/>
      <c r="P170" s="2"/>
      <c r="Q170" s="2"/>
      <c r="R170" s="2"/>
      <c r="S170" s="2"/>
      <c r="T170" s="2"/>
      <c r="U170" s="2"/>
      <c r="V170" s="2"/>
    </row>
    <row r="171" spans="1:22" ht="15" customHeight="1" x14ac:dyDescent="0.3">
      <c r="A171" s="6" t="s">
        <v>1189</v>
      </c>
      <c r="B171" s="6" t="s">
        <v>265</v>
      </c>
      <c r="C171" s="6" t="s">
        <v>211</v>
      </c>
      <c r="D171" s="88">
        <f>IF('Acquisition Schedule'!I$20=0,0,'Revenue &amp; Durability'!D$84/'Acquisition Schedule'!I$20)</f>
        <v>0</v>
      </c>
      <c r="E171" s="88">
        <f>IF('Acquisition Schedule'!I$20=0,0,'Revenue &amp; Durability'!E$84/'Acquisition Schedule'!I$20)</f>
        <v>0</v>
      </c>
      <c r="F171" s="88">
        <f>IF('Acquisition Schedule'!I$20=0,0,'Revenue &amp; Durability'!F$84/'Acquisition Schedule'!I$20)</f>
        <v>0</v>
      </c>
      <c r="G171" s="88">
        <f>IF('Acquisition Schedule'!I$20=0,0,'Revenue &amp; Durability'!G$84/'Acquisition Schedule'!I$20)</f>
        <v>0.47</v>
      </c>
      <c r="H171" s="88">
        <f>IF('Acquisition Schedule'!I$20=0,0,'Revenue &amp; Durability'!H$84/'Acquisition Schedule'!I$20)</f>
        <v>0.94</v>
      </c>
      <c r="I171" s="88">
        <f>IF('Acquisition Schedule'!I$20=0,0,'Revenue &amp; Durability'!I$84/'Acquisition Schedule'!I$20)</f>
        <v>0.85633999999999999</v>
      </c>
      <c r="J171" s="88">
        <f>IF('Acquisition Schedule'!I$20=0,0,'Revenue &amp; Durability'!J$84/'Acquisition Schedule'!I$20)</f>
        <v>0.78012574000000001</v>
      </c>
      <c r="K171" s="88">
        <f>IF('Acquisition Schedule'!I$20=0,0,'Revenue &amp; Durability'!K$84/'Acquisition Schedule'!I$20)</f>
        <v>0.71069454913999996</v>
      </c>
      <c r="L171" s="88">
        <f>IF('Acquisition Schedule'!I$20=0,0,'Revenue &amp; Durability'!L$84/'Acquisition Schedule'!I$20)</f>
        <v>0.64744273426654009</v>
      </c>
      <c r="M171" s="88">
        <f>IF('Acquisition Schedule'!I$20=0,0,'Revenue &amp; Durability'!M$84/'Acquisition Schedule'!I$20)</f>
        <v>0.58982033091681796</v>
      </c>
      <c r="N171" s="88">
        <f>IF('Acquisition Schedule'!I$20=0,0,'Revenue &amp; Durability'!N$84/'Acquisition Schedule'!I$20)</f>
        <v>0.53732632146522119</v>
      </c>
      <c r="O171" s="2"/>
      <c r="P171" s="2"/>
      <c r="Q171" s="2"/>
      <c r="R171" s="2"/>
      <c r="S171" s="2"/>
      <c r="T171" s="2"/>
      <c r="U171" s="2"/>
      <c r="V171" s="2"/>
    </row>
    <row r="172" spans="1:22" ht="15" customHeight="1" x14ac:dyDescent="0.3">
      <c r="A172" s="6" t="s">
        <v>1190</v>
      </c>
      <c r="B172" s="6" t="s">
        <v>265</v>
      </c>
      <c r="C172" s="6" t="s">
        <v>211</v>
      </c>
      <c r="D172" s="88">
        <f>IF('Acquisition Schedule'!J$20=0,0,'Revenue &amp; Durability'!D$85/'Acquisition Schedule'!J$20)</f>
        <v>0</v>
      </c>
      <c r="E172" s="88">
        <f>IF('Acquisition Schedule'!J$20=0,0,'Revenue &amp; Durability'!E$85/'Acquisition Schedule'!J$20)</f>
        <v>0</v>
      </c>
      <c r="F172" s="88">
        <f>IF('Acquisition Schedule'!J$20=0,0,'Revenue &amp; Durability'!F$85/'Acquisition Schedule'!J$20)</f>
        <v>0</v>
      </c>
      <c r="G172" s="88">
        <f>IF('Acquisition Schedule'!J$20=0,0,'Revenue &amp; Durability'!G$85/'Acquisition Schedule'!J$20)</f>
        <v>0</v>
      </c>
      <c r="H172" s="88">
        <f>IF('Acquisition Schedule'!J$20=0,0,'Revenue &amp; Durability'!H$85/'Acquisition Schedule'!J$20)</f>
        <v>0.47</v>
      </c>
      <c r="I172" s="88">
        <f>IF('Acquisition Schedule'!J$20=0,0,'Revenue &amp; Durability'!I$85/'Acquisition Schedule'!J$20)</f>
        <v>0.94</v>
      </c>
      <c r="J172" s="88">
        <f>IF('Acquisition Schedule'!J$20=0,0,'Revenue &amp; Durability'!J$85/'Acquisition Schedule'!J$20)</f>
        <v>0.85633999999999999</v>
      </c>
      <c r="K172" s="88">
        <f>IF('Acquisition Schedule'!J$20=0,0,'Revenue &amp; Durability'!K$85/'Acquisition Schedule'!J$20)</f>
        <v>0.78012574000000012</v>
      </c>
      <c r="L172" s="88">
        <f>IF('Acquisition Schedule'!J$20=0,0,'Revenue &amp; Durability'!L$85/'Acquisition Schedule'!J$20)</f>
        <v>0.71069454914000008</v>
      </c>
      <c r="M172" s="88">
        <f>IF('Acquisition Schedule'!J$20=0,0,'Revenue &amp; Durability'!M$85/'Acquisition Schedule'!J$20)</f>
        <v>0.64744273426654009</v>
      </c>
      <c r="N172" s="88">
        <f>IF('Acquisition Schedule'!J$20=0,0,'Revenue &amp; Durability'!N$85/'Acquisition Schedule'!J$20)</f>
        <v>0.58982033091681807</v>
      </c>
      <c r="O172" s="2"/>
      <c r="P172" s="2"/>
      <c r="Q172" s="2"/>
      <c r="R172" s="2"/>
      <c r="S172" s="2"/>
      <c r="T172" s="2"/>
      <c r="U172" s="2"/>
      <c r="V172" s="2"/>
    </row>
    <row r="173" spans="1:22" ht="15" customHeight="1" x14ac:dyDescent="0.3">
      <c r="A173" s="6" t="s">
        <v>1191</v>
      </c>
      <c r="B173" s="6" t="s">
        <v>265</v>
      </c>
      <c r="C173" s="6" t="s">
        <v>211</v>
      </c>
      <c r="D173" s="88">
        <f>IF('Acquisition Schedule'!K$20=0,0,'Revenue &amp; Durability'!D$86/'Acquisition Schedule'!K$20)</f>
        <v>0</v>
      </c>
      <c r="E173" s="88">
        <f>IF('Acquisition Schedule'!K$20=0,0,'Revenue &amp; Durability'!E$86/'Acquisition Schedule'!K$20)</f>
        <v>0</v>
      </c>
      <c r="F173" s="88">
        <f>IF('Acquisition Schedule'!K$20=0,0,'Revenue &amp; Durability'!F$86/'Acquisition Schedule'!K$20)</f>
        <v>0</v>
      </c>
      <c r="G173" s="88">
        <f>IF('Acquisition Schedule'!K$20=0,0,'Revenue &amp; Durability'!G$86/'Acquisition Schedule'!K$20)</f>
        <v>0</v>
      </c>
      <c r="H173" s="88">
        <f>IF('Acquisition Schedule'!K$20=0,0,'Revenue &amp; Durability'!H$86/'Acquisition Schedule'!K$20)</f>
        <v>0</v>
      </c>
      <c r="I173" s="88">
        <f>IF('Acquisition Schedule'!K$20=0,0,'Revenue &amp; Durability'!I$86/'Acquisition Schedule'!K$20)</f>
        <v>0.47</v>
      </c>
      <c r="J173" s="88">
        <f>IF('Acquisition Schedule'!K$20=0,0,'Revenue &amp; Durability'!J$86/'Acquisition Schedule'!K$20)</f>
        <v>0.94</v>
      </c>
      <c r="K173" s="88">
        <f>IF('Acquisition Schedule'!K$20=0,0,'Revenue &amp; Durability'!K$86/'Acquisition Schedule'!K$20)</f>
        <v>0.85633999999999999</v>
      </c>
      <c r="L173" s="88">
        <f>IF('Acquisition Schedule'!K$20=0,0,'Revenue &amp; Durability'!L$86/'Acquisition Schedule'!K$20)</f>
        <v>0.78012574000000012</v>
      </c>
      <c r="M173" s="88">
        <f>IF('Acquisition Schedule'!K$20=0,0,'Revenue &amp; Durability'!M$86/'Acquisition Schedule'!K$20)</f>
        <v>0.71069454914000008</v>
      </c>
      <c r="N173" s="88">
        <f>IF('Acquisition Schedule'!K$20=0,0,'Revenue &amp; Durability'!N$86/'Acquisition Schedule'!K$20)</f>
        <v>0.64744273426654009</v>
      </c>
      <c r="O173" s="2"/>
      <c r="P173" s="2"/>
      <c r="Q173" s="2"/>
      <c r="R173" s="2"/>
      <c r="S173" s="2"/>
      <c r="T173" s="2"/>
      <c r="U173" s="2"/>
      <c r="V173" s="2"/>
    </row>
    <row r="174" spans="1:22" ht="15" customHeight="1" x14ac:dyDescent="0.3">
      <c r="A174" s="6" t="s">
        <v>1192</v>
      </c>
      <c r="B174" s="6" t="s">
        <v>265</v>
      </c>
      <c r="C174" s="6" t="s">
        <v>211</v>
      </c>
      <c r="D174" s="88">
        <f>IF('Acquisition Schedule'!L$20=0,0,'Revenue &amp; Durability'!D$87/'Acquisition Schedule'!L$20)</f>
        <v>0</v>
      </c>
      <c r="E174" s="88">
        <f>IF('Acquisition Schedule'!L$20=0,0,'Revenue &amp; Durability'!E$87/'Acquisition Schedule'!L$20)</f>
        <v>0</v>
      </c>
      <c r="F174" s="88">
        <f>IF('Acquisition Schedule'!L$20=0,0,'Revenue &amp; Durability'!F$87/'Acquisition Schedule'!L$20)</f>
        <v>0</v>
      </c>
      <c r="G174" s="88">
        <f>IF('Acquisition Schedule'!L$20=0,0,'Revenue &amp; Durability'!G$87/'Acquisition Schedule'!L$20)</f>
        <v>0</v>
      </c>
      <c r="H174" s="88">
        <f>IF('Acquisition Schedule'!L$20=0,0,'Revenue &amp; Durability'!H$87/'Acquisition Schedule'!L$20)</f>
        <v>0</v>
      </c>
      <c r="I174" s="88">
        <f>IF('Acquisition Schedule'!L$20=0,0,'Revenue &amp; Durability'!I$87/'Acquisition Schedule'!L$20)</f>
        <v>0</v>
      </c>
      <c r="J174" s="88">
        <f>IF('Acquisition Schedule'!L$20=0,0,'Revenue &amp; Durability'!J$87/'Acquisition Schedule'!L$20)</f>
        <v>0.47</v>
      </c>
      <c r="K174" s="88">
        <f>IF('Acquisition Schedule'!L$20=0,0,'Revenue &amp; Durability'!K$87/'Acquisition Schedule'!L$20)</f>
        <v>0.94</v>
      </c>
      <c r="L174" s="88">
        <f>IF('Acquisition Schedule'!L$20=0,0,'Revenue &amp; Durability'!L$87/'Acquisition Schedule'!L$20)</f>
        <v>0.85633999999999999</v>
      </c>
      <c r="M174" s="88">
        <f>IF('Acquisition Schedule'!L$20=0,0,'Revenue &amp; Durability'!M$87/'Acquisition Schedule'!L$20)</f>
        <v>0.78012574000000012</v>
      </c>
      <c r="N174" s="88">
        <f>IF('Acquisition Schedule'!L$20=0,0,'Revenue &amp; Durability'!N$87/'Acquisition Schedule'!L$20)</f>
        <v>0.71069454914000008</v>
      </c>
      <c r="O174" s="2"/>
      <c r="P174" s="2"/>
      <c r="Q174" s="2"/>
      <c r="R174" s="2"/>
      <c r="S174" s="2"/>
      <c r="T174" s="2"/>
      <c r="U174" s="2"/>
      <c r="V174" s="2"/>
    </row>
    <row r="175" spans="1:22" ht="15" customHeight="1" x14ac:dyDescent="0.3">
      <c r="A175" s="6" t="s">
        <v>1193</v>
      </c>
      <c r="B175" s="6" t="s">
        <v>265</v>
      </c>
      <c r="C175" s="6" t="s">
        <v>211</v>
      </c>
      <c r="D175" s="88">
        <f>IF('Acquisition Schedule'!M$20=0,0,'Revenue &amp; Durability'!D$88/'Acquisition Schedule'!M$20)</f>
        <v>0</v>
      </c>
      <c r="E175" s="88">
        <f>IF('Acquisition Schedule'!M$20=0,0,'Revenue &amp; Durability'!E$88/'Acquisition Schedule'!M$20)</f>
        <v>0</v>
      </c>
      <c r="F175" s="88">
        <f>IF('Acquisition Schedule'!M$20=0,0,'Revenue &amp; Durability'!F$88/'Acquisition Schedule'!M$20)</f>
        <v>0</v>
      </c>
      <c r="G175" s="88">
        <f>IF('Acquisition Schedule'!M$20=0,0,'Revenue &amp; Durability'!G$88/'Acquisition Schedule'!M$20)</f>
        <v>0</v>
      </c>
      <c r="H175" s="88">
        <f>IF('Acquisition Schedule'!M$20=0,0,'Revenue &amp; Durability'!H$88/'Acquisition Schedule'!M$20)</f>
        <v>0</v>
      </c>
      <c r="I175" s="88">
        <f>IF('Acquisition Schedule'!M$20=0,0,'Revenue &amp; Durability'!I$88/'Acquisition Schedule'!M$20)</f>
        <v>0</v>
      </c>
      <c r="J175" s="88">
        <f>IF('Acquisition Schedule'!M$20=0,0,'Revenue &amp; Durability'!J$88/'Acquisition Schedule'!M$20)</f>
        <v>0</v>
      </c>
      <c r="K175" s="88">
        <f>IF('Acquisition Schedule'!M$20=0,0,'Revenue &amp; Durability'!K$88/'Acquisition Schedule'!M$20)</f>
        <v>0.47</v>
      </c>
      <c r="L175" s="88">
        <f>IF('Acquisition Schedule'!M$20=0,0,'Revenue &amp; Durability'!L$88/'Acquisition Schedule'!M$20)</f>
        <v>0.94</v>
      </c>
      <c r="M175" s="88">
        <f>IF('Acquisition Schedule'!M$20=0,0,'Revenue &amp; Durability'!M$88/'Acquisition Schedule'!M$20)</f>
        <v>0.85633999999999999</v>
      </c>
      <c r="N175" s="88">
        <f>IF('Acquisition Schedule'!M$20=0,0,'Revenue &amp; Durability'!N$88/'Acquisition Schedule'!M$20)</f>
        <v>0.78012574000000012</v>
      </c>
      <c r="O175" s="2"/>
      <c r="P175" s="2"/>
      <c r="Q175" s="2"/>
      <c r="R175" s="2"/>
      <c r="S175" s="2"/>
      <c r="T175" s="2"/>
      <c r="U175" s="2"/>
      <c r="V175" s="2"/>
    </row>
    <row r="176" spans="1:22" ht="15" customHeight="1" x14ac:dyDescent="0.3">
      <c r="A176" s="2"/>
      <c r="B176" s="2"/>
      <c r="C176" s="2"/>
      <c r="D176" s="2"/>
      <c r="E176" s="2"/>
      <c r="F176" s="2"/>
      <c r="G176" s="2"/>
      <c r="H176" s="2"/>
      <c r="I176" s="2"/>
      <c r="J176" s="2"/>
      <c r="K176" s="2"/>
      <c r="L176" s="2"/>
      <c r="M176" s="2"/>
      <c r="N176" s="2"/>
      <c r="O176" s="2"/>
      <c r="P176" s="2"/>
      <c r="Q176" s="2"/>
      <c r="R176" s="2"/>
      <c r="S176" s="2"/>
      <c r="T176" s="2"/>
      <c r="U176" s="2"/>
      <c r="V176" s="2"/>
    </row>
    <row r="177" spans="1:22" ht="15" customHeight="1" x14ac:dyDescent="0.3">
      <c r="A177" s="6" t="s">
        <v>1194</v>
      </c>
      <c r="B177" s="6" t="s">
        <v>219</v>
      </c>
      <c r="C177" s="6" t="s">
        <v>211</v>
      </c>
      <c r="D177" s="63">
        <f>D$122*D168+E$122*D169+F$122*D170+G$122*D171+H$122*D172+I$122*D173+J$122*D174+K$122*D175</f>
        <v>6.58</v>
      </c>
      <c r="E177" s="63">
        <f>D$122*E168+E$122*E169+F$122*E170+G$122*E171+H$122*E172+I$122*E173+J$122*E174+K$122*E175</f>
        <v>9.4</v>
      </c>
      <c r="F177" s="63">
        <f>D$122*F168+E$122*F169+F$122*F170+G$122*F171+H$122*F172+I$122*F173+J$122*F174+K$122*F175</f>
        <v>14.45438</v>
      </c>
      <c r="G177" s="63">
        <f>D$122*G168+E$122*G169+F$122*G170+G$122*G171+H$122*G172+I$122*G173+J$122*G174+K$122*G175</f>
        <v>23.288920180000002</v>
      </c>
      <c r="H177" s="63">
        <f>D$122*H168+E$122*H169+F$122*H170+G$122*H171+H$122*H172+I$122*H173+J$122*H174+K$122*H175</f>
        <v>31.713656283980001</v>
      </c>
      <c r="I177" s="63">
        <f>D$122*I168+E$122*I169+F$122*I170+G$122*I171+H$122*I172+I$122*I173+J$122*I174+K$122*I175</f>
        <v>34.782120874705782</v>
      </c>
      <c r="J177" s="63">
        <f>D$122*J168+E$122*J169+F$122*J170+G$122*J171+H$122*J172+I$122*J173+J$122*J174+K$122*J175</f>
        <v>37.577492116856966</v>
      </c>
      <c r="K177" s="63">
        <f>D$122*K168+E$122*K169+F$122*K170+G$122*K171+H$122*K172+I$122*K173+J$122*K174+K$122*K175</f>
        <v>40.124075318456697</v>
      </c>
      <c r="L177" s="63">
        <f>D$122*L168+E$122*L169+F$122*L170+G$122*L171+H$122*L172+I$122*L173+J$122*L174+K$122*L175</f>
        <v>39.624012615114054</v>
      </c>
      <c r="M177" s="63">
        <f>D$122*M168+E$122*M169+F$122*M170+G$122*M171+H$122*M172+I$122*M173+J$122*M174+K$122*M175</f>
        <v>36.097475492368901</v>
      </c>
      <c r="N177" s="63">
        <f>D$122*N168+E$122*N169+F$122*N170+G$122*N171+H$122*N172+I$122*N173+J$122*N174+K$122*N175</f>
        <v>32.884800173548072</v>
      </c>
      <c r="O177" s="2"/>
      <c r="P177" s="2"/>
      <c r="Q177" s="2"/>
      <c r="R177" s="2"/>
      <c r="S177" s="2"/>
      <c r="T177" s="2"/>
      <c r="U177" s="2"/>
      <c r="V177" s="2"/>
    </row>
    <row r="178" spans="1:22" ht="15" customHeight="1" x14ac:dyDescent="0.3">
      <c r="A178" s="6" t="s">
        <v>1195</v>
      </c>
      <c r="B178" s="6" t="s">
        <v>218</v>
      </c>
      <c r="C178" s="6" t="s">
        <v>211</v>
      </c>
      <c r="D178" s="13">
        <f>(D$119*D168+E$119*D169+F$119*D170+G$119*D171+H$119*D172+I$119*D173+J$119*D174+K$119*D175)*(1+INDEX(Assumptions!$D$88:$F$88,1,2))^0</f>
        <v>1009700.462693161</v>
      </c>
      <c r="E178" s="13">
        <f>(D$119*E168+E$119*E169+F$119*E170+G$119*E171+H$119*E172+I$119*E173+J$119*E174+K$119*E175)*(1+INDEX(Assumptions!$D$88:$F$88,1,2))^0</f>
        <v>1384134.3332616447</v>
      </c>
      <c r="F178" s="13">
        <f>(D$119*F168+E$119*F169+F$119*F170+G$119*F171+H$119*F172+I$119*F173+J$119*F174+K$119*F175)*(1+INDEX(Assumptions!$D$88:$F$88,1,2))^1</f>
        <v>2104432.895215489</v>
      </c>
      <c r="G178" s="13">
        <f>(D$119*G168+E$119*G169+F$119*G170+G$119*G171+H$119*G172+I$119*G173+J$119*G174+K$119*G175)*(1+INDEX(Assumptions!$D$88:$F$88,1,2))^2</f>
        <v>3518394.8200000501</v>
      </c>
      <c r="H178" s="13">
        <f>(D$119*H168+E$119*H169+F$119*H170+G$119*H171+H$119*H172+I$119*H173+J$119*H174+K$119*H175)*(1+INDEX(Assumptions!$D$88:$F$88,1,2))^3</f>
        <v>4956914.5178486947</v>
      </c>
      <c r="I178" s="13">
        <f>(D$119*I168+E$119*I169+F$119*I170+G$119*I171+H$119*I172+I$119*I173+J$119*I174+K$119*I175)*(1+INDEX(Assumptions!$D$88:$F$88,1,2))^4</f>
        <v>5531585.986895185</v>
      </c>
      <c r="J178" s="13">
        <f>(D$119*J168+E$119*J169+F$119*J170+G$119*J171+H$119*J172+I$119*J173+J$119*J174+K$119*J175)*(1+INDEX(Assumptions!$D$88:$F$88,1,2))^5</f>
        <v>6097228.3980664453</v>
      </c>
      <c r="K178" s="13">
        <f>(D$119*K168+E$119*K169+F$119*K170+G$119*K171+H$119*K172+I$119*K173+J$119*K174+K$119*K175)*(1+INDEX(Assumptions!$D$88:$F$88,1,2))^6</f>
        <v>6655190.901310266</v>
      </c>
      <c r="L178" s="13">
        <f>(D$119*L168+E$119*L169+F$119*L170+G$119*L171+H$119*L172+I$119*L173+J$119*L174+K$119*L175)*(1+INDEX(Assumptions!$D$88:$F$88,1,2))^7</f>
        <v>6746256.7825935623</v>
      </c>
      <c r="M178" s="13">
        <f>(D$119*M168+E$119*M169+F$119*M170+G$119*M171+H$119*M172+I$119*M173+J$119*M174+K$119*M175)*(1+INDEX(Assumptions!$D$88:$F$88,1,2))^8</f>
        <v>6330215.1268110182</v>
      </c>
      <c r="N178" s="13">
        <f>(D$119*N168+E$119*N169+F$119*N170+G$119*N171+H$119*N172+I$119*N173+J$119*N174+K$119*N175)*(1+INDEX(Assumptions!$D$88:$F$88,1,2))^9</f>
        <v>5939830.7599405823</v>
      </c>
      <c r="O178" s="2"/>
      <c r="P178" s="2"/>
      <c r="Q178" s="2"/>
      <c r="R178" s="2"/>
      <c r="S178" s="2"/>
      <c r="T178" s="2"/>
      <c r="U178" s="2"/>
      <c r="V178" s="2"/>
    </row>
    <row r="179" spans="1:22" ht="15" customHeight="1" x14ac:dyDescent="0.3">
      <c r="A179" s="6" t="s">
        <v>1196</v>
      </c>
      <c r="B179" s="6" t="s">
        <v>219</v>
      </c>
      <c r="C179" s="6" t="s">
        <v>211</v>
      </c>
      <c r="D179" s="63">
        <f>D$123*D168+E$123*D169+F$123*D170+G$123*D171+H$123*D172+I$123*D173+J$123*D174+K$123*D175</f>
        <v>11.28</v>
      </c>
      <c r="E179" s="63">
        <f>D$123*E168+E$123*E169+F$123*E170+G$123*E171+H$123*E172+I$123*E173+J$123*E174+K$123*E175</f>
        <v>15.979999999999999</v>
      </c>
      <c r="F179" s="63">
        <f>D$123*F168+E$123*F169+F$123*F170+G$123*F171+H$123*F172+I$123*F173+J$123*F174+K$123*F175</f>
        <v>24.376079999999998</v>
      </c>
      <c r="G179" s="63">
        <f>D$123*G168+E$123*G169+F$123*G170+G$123*G171+H$123*G172+I$123*G173+J$123*G174+K$123*G175</f>
        <v>39.074908879999995</v>
      </c>
      <c r="H179" s="63">
        <f>D$123*H168+E$123*H169+F$123*H170+G$123*H171+H$123*H172+I$123*H173+J$123*H174+K$123*H175</f>
        <v>53.092991989680002</v>
      </c>
      <c r="I179" s="63">
        <f>D$123*I168+E$123*I169+F$123*I170+G$123*I171+H$123*I172+I$123*I173+J$123*I174+K$123*I175</f>
        <v>58.186015702598482</v>
      </c>
      <c r="J179" s="63">
        <f>D$123*J168+E$123*J169+F$123*J170+G$123*J171+H$123*J172+I$123*J173+J$123*J174+K$123*J175</f>
        <v>62.82576030506722</v>
      </c>
      <c r="K179" s="63">
        <f>D$123*K168+E$123*K169+F$123*K170+G$123*K171+H$123*K172+I$123*K173+J$123*K174+K$123*K175</f>
        <v>67.052567637916226</v>
      </c>
      <c r="L179" s="63">
        <f>D$123*L168+E$123*L169+F$123*L170+G$123*L171+H$123*L172+I$123*L173+J$123*L174+K$123*L175</f>
        <v>66.203189118141694</v>
      </c>
      <c r="M179" s="63">
        <f>D$123*M168+E$123*M169+F$123*M170+G$123*M171+H$123*M172+I$123*M173+J$123*M174+K$123*M175</f>
        <v>60.311105286627082</v>
      </c>
      <c r="N179" s="63">
        <f>D$123*N168+E$123*N169+F$123*N170+G$123*N171+H$123*N172+I$123*N173+J$123*N174+K$123*N175</f>
        <v>54.943416916117272</v>
      </c>
      <c r="O179" s="2"/>
      <c r="P179" s="2"/>
      <c r="Q179" s="2"/>
      <c r="R179" s="2"/>
      <c r="S179" s="2"/>
      <c r="T179" s="2"/>
      <c r="U179" s="2"/>
      <c r="V179" s="2"/>
    </row>
    <row r="180" spans="1:22" ht="15" customHeight="1" x14ac:dyDescent="0.3">
      <c r="A180" s="1" t="s">
        <v>242</v>
      </c>
      <c r="B180" s="6" t="s">
        <v>218</v>
      </c>
      <c r="C180" s="6" t="s">
        <v>211</v>
      </c>
      <c r="D180" s="39">
        <f>(D$120*D168+E$120*D169+F$120*D170+G$120*D171+H$120*D172+I$120*D173+J$120*D174+K$120*D175)*(1+INDEX(Assumptions!$D$88:$F$88,1,2))^0*(1-Assumptions!$D$8)</f>
        <v>1342318.7387005482</v>
      </c>
      <c r="E180" s="39">
        <f>(D$120*E168+E$120*E169+F$120*E170+G$120*E171+H$120*E172+I$120*E173+J$120*E174+K$120*E175)*(1+INDEX(Assumptions!$D$88:$F$88,1,2))^0*(1-Assumptions!$D$8)</f>
        <v>1819819.0819456815</v>
      </c>
      <c r="F180" s="39">
        <f>(D$120*F168+E$120*F169+F$120*F170+G$120*F171+H$120*F172+I$120*F173+J$120*F174+K$120*F175)*(1+INDEX(Assumptions!$D$88:$F$88,1,2))^1*(1-Assumptions!$D$8)</f>
        <v>2735014.0027123471</v>
      </c>
      <c r="G180" s="39">
        <f>(D$120*G168+E$120*G169+F$120*G170+G$120*G171+H$120*G172+I$120*G173+J$120*G174+K$120*G175)*(1+INDEX(Assumptions!$D$88:$F$88,1,2))^2*(1-Assumptions!$D$8)</f>
        <v>4537674.5139547624</v>
      </c>
      <c r="H180" s="39">
        <f>(D$120*H168+E$120*H169+F$120*H170+G$120*H171+H$120*H172+I$120*H173+J$120*H174+K$120*H175)*(1+INDEX(Assumptions!$D$88:$F$88,1,2))^3*(1-Assumptions!$D$8)</f>
        <v>6372007.1317362897</v>
      </c>
      <c r="I180" s="39">
        <f>(D$120*I168+E$120*I169+F$120*I170+G$120*I171+H$120*I172+I$120*I173+J$120*I174+K$120*I175)*(1+INDEX(Assumptions!$D$88:$F$88,1,2))^4*(1-Assumptions!$D$8)</f>
        <v>7101738.4831588939</v>
      </c>
      <c r="J180" s="39">
        <f>(D$120*J168+E$120*J169+F$120*J170+G$120*J171+H$120*J172+I$120*J173+J$120*J174+K$120*J175)*(1+INDEX(Assumptions!$D$88:$F$88,1,2))^5*(1-Assumptions!$D$8)</f>
        <v>7820148.0930763679</v>
      </c>
      <c r="K180" s="39">
        <f>(D$120*K168+E$120*K169+F$120*K170+G$120*K171+H$120*K172+I$120*K173+J$120*K174+K$120*K175)*(1+INDEX(Assumptions!$D$88:$F$88,1,2))^6*(1-Assumptions!$D$8)</f>
        <v>8528944.5970154479</v>
      </c>
      <c r="L180" s="39">
        <f>(D$120*L168+E$120*L169+F$120*L170+G$120*L171+H$120*L172+I$120*L173+J$120*L174+K$120*L175)*(1+INDEX(Assumptions!$D$88:$F$88,1,2))^7*(1-Assumptions!$D$8)</f>
        <v>8642496.3787731882</v>
      </c>
      <c r="M180" s="39">
        <f>(D$120*M168+E$120*M169+F$120*M170+G$120*M171+H$120*M172+I$120*M173+J$120*M174+K$120*M175)*(1+INDEX(Assumptions!$D$88:$F$88,1,2))^8*(1-Assumptions!$D$8)</f>
        <v>8109513.6270942437</v>
      </c>
      <c r="N180" s="39">
        <f>(D$120*N168+E$120*N169+F$120*N170+G$120*N171+H$120*N172+I$120*N173+J$120*N174+K$120*N175)*(1+INDEX(Assumptions!$D$88:$F$88,1,2))^9*(1-Assumptions!$D$8)</f>
        <v>7609399.9217113415</v>
      </c>
      <c r="O180" s="2"/>
      <c r="P180" s="2"/>
      <c r="Q180" s="2"/>
      <c r="R180" s="2"/>
      <c r="S180" s="2"/>
      <c r="T180" s="2"/>
      <c r="U180" s="2"/>
      <c r="V180" s="2"/>
    </row>
    <row r="181" spans="1:22" ht="15" customHeight="1" x14ac:dyDescent="0.3">
      <c r="A181" s="6" t="s">
        <v>1197</v>
      </c>
      <c r="B181" s="6" t="s">
        <v>219</v>
      </c>
      <c r="C181" s="6" t="s">
        <v>211</v>
      </c>
      <c r="D181" s="63">
        <f>D$124*D168+E$124*D169+F$124*D170+G$124*D171+H$124*D172+I$124*D173+J$124*D174+K$124*D175</f>
        <v>2.82</v>
      </c>
      <c r="E181" s="63">
        <f>D$124*E168+E$124*E169+F$124*E170+G$124*E171+H$124*E172+I$124*E173+J$124*E174+K$124*E175</f>
        <v>4.2299999999999995</v>
      </c>
      <c r="F181" s="63">
        <f>D$124*F168+E$124*F169+F$124*F170+G$124*F171+H$124*F172+I$124*F173+J$124*F174+K$124*F175</f>
        <v>6.7990200000000005</v>
      </c>
      <c r="G181" s="63">
        <f>D$124*G168+E$124*G169+F$124*G170+G$124*G171+H$124*G172+I$124*G173+J$124*G174+K$124*G175</f>
        <v>10.549397220000001</v>
      </c>
      <c r="H181" s="63">
        <f>D$124*H168+E$124*H169+F$124*H170+G$124*H171+H$124*H172+I$124*H173+J$124*H174+K$124*H175</f>
        <v>14.09148086742</v>
      </c>
      <c r="I181" s="63">
        <f>D$124*I168+E$124*I169+F$124*I170+G$124*I171+H$124*I172+I$124*I173+J$124*I174+K$124*I175</f>
        <v>15.782829070219622</v>
      </c>
      <c r="J181" s="63">
        <f>D$124*J168+E$124*J169+F$124*J170+G$124*J171+H$124*J172+I$124*J173+J$124*J174+K$124*J175</f>
        <v>17.323647282970075</v>
      </c>
      <c r="K181" s="63">
        <f>D$124*K168+E$124*K169+F$124*K170+G$124*K171+H$124*K172+I$124*K173+J$124*K174+K$124*K175</f>
        <v>18.727332674785739</v>
      </c>
      <c r="L181" s="63">
        <f>D$124*L168+E$124*L169+F$124*L170+G$124*L171+H$124*L172+I$124*L173+J$124*L174+K$124*L175</f>
        <v>18.596090066729808</v>
      </c>
      <c r="M181" s="63">
        <f>D$124*M168+E$124*M169+F$124*M170+G$124*M171+H$124*M172+I$124*M173+J$124*M174+K$124*M175</f>
        <v>16.941038050790855</v>
      </c>
      <c r="N181" s="63">
        <f>D$124*N168+E$124*N169+F$124*N170+G$124*N171+H$124*N172+I$124*N173+J$124*N174+K$124*N175</f>
        <v>15.433285664270469</v>
      </c>
      <c r="O181" s="2"/>
      <c r="P181" s="2"/>
      <c r="Q181" s="2"/>
      <c r="R181" s="2"/>
      <c r="S181" s="2"/>
      <c r="T181" s="2"/>
      <c r="U181" s="2"/>
      <c r="V181" s="2"/>
    </row>
    <row r="182" spans="1:22" ht="15" customHeight="1" x14ac:dyDescent="0.3">
      <c r="A182" s="6" t="s">
        <v>1198</v>
      </c>
      <c r="B182" s="6" t="s">
        <v>218</v>
      </c>
      <c r="C182" s="6" t="s">
        <v>211</v>
      </c>
      <c r="D182" s="13">
        <f>(D$121*D168+E$121*D169+F$121*D170+G$121*D171+H$121*D172+I$121*D173+J$121*D174+K$121*D175)*(1+INDEX(Assumptions!$D$88:$F$88,1,2))^0</f>
        <v>542242.32722223829</v>
      </c>
      <c r="E182" s="13">
        <f>(D$121*E168+E$121*E169+F$121*E170+G$121*E171+H$121*E172+I$121*E173+J$121*E174+K$121*E175)*(1+INDEX(Assumptions!$D$88:$F$88,1,2))^0</f>
        <v>775656.18663960136</v>
      </c>
      <c r="F182" s="13">
        <f>(D$121*F168+E$121*F169+F$121*F170+G$121*F171+H$121*F172+I$121*F173+J$121*F174+K$121*F175)*(1+INDEX(Assumptions!$D$88:$F$88,1,2))^1</f>
        <v>1230051.0685020948</v>
      </c>
      <c r="G182" s="13">
        <f>(D$121*G168+E$121*G169+F$121*G170+G$121*G171+H$121*G172+I$121*G173+J$121*G174+K$121*G175)*(1+INDEX(Assumptions!$D$88:$F$88,1,2))^2</f>
        <v>1963569.1930940652</v>
      </c>
      <c r="H182" s="13">
        <f>(D$121*H168+E$121*H169+F$121*H170+G$121*H171+H$121*H172+I$121*H173+J$121*H174+K$121*H175)*(1+INDEX(Assumptions!$D$88:$F$88,1,2))^3</f>
        <v>2702907.3877449902</v>
      </c>
      <c r="I182" s="13">
        <f>(D$121*I168+E$121*I169+F$121*I170+G$121*I171+H$121*I172+I$121*I173+J$121*I174+K$121*I175)*(1+INDEX(Assumptions!$D$88:$F$88,1,2))^4</f>
        <v>3085018.9320518249</v>
      </c>
      <c r="J182" s="13">
        <f>(D$121*J168+E$121*J169+F$121*J170+G$121*J171+H$121*J172+I$121*J173+J$121*J174+K$121*J175)*(1+INDEX(Assumptions!$D$88:$F$88,1,2))^5</f>
        <v>3460029.6527085286</v>
      </c>
      <c r="K182" s="13">
        <f>(D$121*K168+E$121*K169+F$121*K170+G$121*K171+H$121*K172+I$121*K173+J$121*K174+K$121*K175)*(1+INDEX(Assumptions!$D$88:$F$88,1,2))^6</f>
        <v>3828871.3773682243</v>
      </c>
      <c r="L182" s="13">
        <f>(D$121*L168+E$121*L169+F$121*L170+G$121*L171+H$121*L172+I$121*L173+J$121*L174+K$121*L175)*(1+INDEX(Assumptions!$D$88:$F$88,1,2))^7</f>
        <v>3905363.6799430535</v>
      </c>
      <c r="M182" s="13">
        <f>(D$121*M168+E$121*M169+F$121*M170+G$121*M171+H$121*M172+I$121*M173+J$121*M174+K$121*M175)*(1+INDEX(Assumptions!$D$88:$F$88,1,2))^8</f>
        <v>3664519.9018009654</v>
      </c>
      <c r="N182" s="13">
        <f>(D$121*N168+E$121*N169+F$121*N170+G$121*N171+H$121*N172+I$121*N173+J$121*N174+K$121*N175)*(1+INDEX(Assumptions!$D$88:$F$88,1,2))^9</f>
        <v>3438528.9594568997</v>
      </c>
      <c r="O182" s="2"/>
      <c r="P182" s="2"/>
      <c r="Q182" s="2"/>
      <c r="R182" s="2"/>
      <c r="S182" s="2"/>
      <c r="T182" s="2"/>
      <c r="U182" s="2"/>
      <c r="V182" s="2"/>
    </row>
    <row r="183" spans="1:22" ht="15" customHeight="1" x14ac:dyDescent="0.3">
      <c r="A183" s="6" t="s">
        <v>1199</v>
      </c>
      <c r="B183" s="6" t="s">
        <v>219</v>
      </c>
      <c r="C183" s="6" t="s">
        <v>211</v>
      </c>
      <c r="D183" s="13">
        <f>SUMPRODUCT(('Revenue &amp; Durability'!D$112&gt;=$E$47:$E$60)*($R$47:$R$60)*($T$47:$T$60+($O$47:$O$60&gt;0)*-INT(-(('Revenue &amp; Durability'!D$112-$U$47:$U$60)*('Revenue &amp; Durability'!D$112&gt;$U$47:$U$60)/(($W$47:$W$60)+($W$47:$W$60=0))*(1+$P$47:$P$60*(1-1)))*$X$47:$X$60)/$X$47:$X$60))</f>
        <v>8</v>
      </c>
      <c r="E183" s="13">
        <f>SUMPRODUCT(('Revenue &amp; Durability'!E$112&gt;=$E$47:$E$60)*($R$47:$R$60)*($T$47:$T$60+($O$47:$O$60&gt;0)*-INT(-(('Revenue &amp; Durability'!E$112-$U$47:$U$60)*('Revenue &amp; Durability'!E$112&gt;$U$47:$U$60)/(($W$47:$W$60)+($W$47:$W$60=0))*(1+$P$47:$P$60*(1-1)))*$X$47:$X$60)/$X$47:$X$60))</f>
        <v>12.407813000000001</v>
      </c>
      <c r="F183" s="13">
        <f>SUMPRODUCT(('Revenue &amp; Durability'!F$112&gt;=$E$47:$E$60)*($R$47:$R$60)*($T$47:$T$60+($O$47:$O$60&gt;0)*-INT(-(('Revenue &amp; Durability'!F$112-$U$47:$U$60)*('Revenue &amp; Durability'!F$112&gt;$U$47:$U$60)/(($W$47:$W$60)+($W$47:$W$60=0))*(1+$P$47:$P$60*(1-1)))*$X$47:$X$60)/$X$47:$X$60))</f>
        <v>16.871079999999999</v>
      </c>
      <c r="G183" s="13">
        <f>SUMPRODUCT(('Revenue &amp; Durability'!G$112&gt;=$E$47:$E$60)*($R$47:$R$60)*($T$47:$T$60+($O$47:$O$60&gt;0)*-INT(-(('Revenue &amp; Durability'!G$112-$U$47:$U$60)*('Revenue &amp; Durability'!G$112&gt;$U$47:$U$60)/(($W$47:$W$60)+($W$47:$W$60=0))*(1+$P$47:$P$60*(1-1)))*$X$47:$X$60)/$X$47:$X$60))</f>
        <v>26.719389</v>
      </c>
      <c r="H183" s="13">
        <f>SUMPRODUCT(('Revenue &amp; Durability'!H$112&gt;=$E$47:$E$60)*($R$47:$R$60)*($T$47:$T$60+($O$47:$O$60&gt;0)*-INT(-(('Revenue &amp; Durability'!H$112-$U$47:$U$60)*('Revenue &amp; Durability'!H$112&gt;$U$47:$U$60)/(($W$47:$W$60)+($W$47:$W$60=0))*(1+$P$47:$P$60*(1-1)))*$X$47:$X$60)/$X$47:$X$60))</f>
        <v>36.586241000000001</v>
      </c>
      <c r="I183" s="13">
        <f>SUMPRODUCT(('Revenue &amp; Durability'!I$112&gt;=$E$47:$E$60)*($R$47:$R$60)*($T$47:$T$60+($O$47:$O$60&gt;0)*-INT(-(('Revenue &amp; Durability'!I$112-$U$47:$U$60)*('Revenue &amp; Durability'!I$112&gt;$U$47:$U$60)/(($W$47:$W$60)+($W$47:$W$60=0))*(1+$P$47:$P$60*(1-1)))*$X$47:$X$60)/$X$47:$X$60))</f>
        <v>42.133465000000001</v>
      </c>
      <c r="J183" s="13">
        <f>SUMPRODUCT(('Revenue &amp; Durability'!J$112&gt;=$E$47:$E$60)*($R$47:$R$60)*($T$47:$T$60+($O$47:$O$60&gt;0)*-INT(-(('Revenue &amp; Durability'!J$112-$U$47:$U$60)*('Revenue &amp; Durability'!J$112&gt;$U$47:$U$60)/(($W$47:$W$60)+($W$47:$W$60=0))*(1+$P$47:$P$60*(1-1)))*$X$47:$X$60)/$X$47:$X$60))</f>
        <v>46.6</v>
      </c>
      <c r="K183" s="13">
        <f>SUMPRODUCT(('Revenue &amp; Durability'!K$112&gt;=$E$47:$E$60)*($R$47:$R$60)*($T$47:$T$60+($O$47:$O$60&gt;0)*-INT(-(('Revenue &amp; Durability'!K$112-$U$47:$U$60)*('Revenue &amp; Durability'!K$112&gt;$U$47:$U$60)/(($W$47:$W$60)+($W$47:$W$60=0))*(1+$P$47:$P$60*(1-1)))*$X$47:$X$60)/$X$47:$X$60))</f>
        <v>46.6</v>
      </c>
      <c r="L183" s="13">
        <f>SUMPRODUCT(('Revenue &amp; Durability'!L$112&gt;=$E$47:$E$60)*($R$47:$R$60)*($T$47:$T$60+($O$47:$O$60&gt;0)*-INT(-(('Revenue &amp; Durability'!L$112-$U$47:$U$60)*('Revenue &amp; Durability'!L$112&gt;$U$47:$U$60)/(($W$47:$W$60)+($W$47:$W$60=0))*(1+$P$47:$P$60*(1-1)))*$X$47:$X$60)/$X$47:$X$60))</f>
        <v>46.6</v>
      </c>
      <c r="M183" s="13">
        <f>SUMPRODUCT(('Revenue &amp; Durability'!M$112&gt;=$E$47:$E$60)*($R$47:$R$60)*($T$47:$T$60+($O$47:$O$60&gt;0)*-INT(-(('Revenue &amp; Durability'!M$112-$U$47:$U$60)*('Revenue &amp; Durability'!M$112&gt;$U$47:$U$60)/(($W$47:$W$60)+($W$47:$W$60=0))*(1+$P$47:$P$60*(1-1)))*$X$47:$X$60)/$X$47:$X$60))</f>
        <v>46.6</v>
      </c>
      <c r="N183" s="13">
        <f>SUMPRODUCT(('Revenue &amp; Durability'!N$112&gt;=$E$47:$E$60)*($R$47:$R$60)*($T$47:$T$60+($O$47:$O$60&gt;0)*-INT(-(('Revenue &amp; Durability'!N$112-$U$47:$U$60)*('Revenue &amp; Durability'!N$112&gt;$U$47:$U$60)/(($W$47:$W$60)+($W$47:$W$60=0))*(1+$P$47:$P$60*(1-1)))*$X$47:$X$60)/$X$47:$X$60))</f>
        <v>46.6</v>
      </c>
      <c r="O183" s="2"/>
      <c r="P183" s="2"/>
      <c r="Q183" s="2"/>
      <c r="R183" s="2"/>
      <c r="S183" s="2"/>
      <c r="T183" s="2"/>
      <c r="U183" s="2"/>
      <c r="V183" s="2"/>
    </row>
    <row r="184" spans="1:22" ht="15" customHeight="1" x14ac:dyDescent="0.3">
      <c r="A184" s="1" t="s">
        <v>243</v>
      </c>
      <c r="B184" s="6" t="s">
        <v>218</v>
      </c>
      <c r="C184" s="6" t="s">
        <v>211</v>
      </c>
      <c r="D184" s="39">
        <f>SUMPRODUCT(('Revenue &amp; Durability'!D$112&gt;=$E$47:$E$60)*($R$47:$R$60)*($T$47:$T$60+($O$47:$O$60&gt;0)*-INT(-(('Revenue &amp; Durability'!D$112-$U$47:$U$60)*('Revenue &amp; Durability'!D$112&gt;$U$47:$U$60)/(($W$47:$W$60)+($W$47:$W$60=0))*(1+$P$47:$P$60*(1-1)))*$X$47:$X$60)/$X$47:$X$60),$I$47:$I$60*(1-($Y$47:$Y$60-($Y$47:$Y$60&gt;$Z$47:$Z$60)*($Y$47:$Y$60-$Z$47:$Z$60))*(1-$H$25)))*(1+INDEX(Assumptions!$D$88:$F$88,1,2))^0</f>
        <v>862012.62999999989</v>
      </c>
      <c r="E184" s="39">
        <f>SUMPRODUCT(('Revenue &amp; Durability'!E$112&gt;=$E$47:$E$60)*($R$47:$R$60)*($T$47:$T$60+($O$47:$O$60&gt;0)*-INT(-(('Revenue &amp; Durability'!E$112-$U$47:$U$60)*('Revenue &amp; Durability'!E$112&gt;$U$47:$U$60)/(($W$47:$W$60)+($W$47:$W$60=0))*(1+$P$47:$P$60*(1-1)))*$X$47:$X$60)/$X$47:$X$60),$I$47:$I$60*(1-($Y$47:$Y$60-($Y$47:$Y$60&gt;$Z$47:$Z$60)*($Y$47:$Y$60-$Z$47:$Z$60))*(1-$H$25)))*(1+INDEX(Assumptions!$D$88:$F$88,1,2))^0</f>
        <v>1740982.2791857501</v>
      </c>
      <c r="F184" s="39">
        <f>SUMPRODUCT(('Revenue &amp; Durability'!F$112&gt;=$E$47:$E$60)*($R$47:$R$60)*($T$47:$T$60+($O$47:$O$60&gt;0)*-INT(-(('Revenue &amp; Durability'!F$112-$U$47:$U$60)*('Revenue &amp; Durability'!F$112&gt;$U$47:$U$60)/(($W$47:$W$60)+($W$47:$W$60=0))*(1+$P$47:$P$60*(1-1)))*$X$47:$X$60)/$X$47:$X$60),$I$47:$I$60*(1-($Y$47:$Y$60-($Y$47:$Y$60&gt;$Z$47:$Z$60)*($Y$47:$Y$60-$Z$47:$Z$60))*(1-$H$25)))*(1+INDEX(Assumptions!$D$88:$F$88,1,2))^1</f>
        <v>2343782.8318440998</v>
      </c>
      <c r="G184" s="39">
        <f>SUMPRODUCT(('Revenue &amp; Durability'!G$112&gt;=$E$47:$E$60)*($R$47:$R$60)*($T$47:$T$60+($O$47:$O$60&gt;0)*-INT(-(('Revenue &amp; Durability'!G$112-$U$47:$U$60)*('Revenue &amp; Durability'!G$112&gt;$U$47:$U$60)/(($W$47:$W$60)+($W$47:$W$60=0))*(1+$P$47:$P$60*(1-1)))*$X$47:$X$60)/$X$47:$X$60),$I$47:$I$60*(1-($Y$47:$Y$60-($Y$47:$Y$60&gt;$Z$47:$Z$60)*($Y$47:$Y$60-$Z$47:$Z$60))*(1-$H$25)))*(1+INDEX(Assumptions!$D$88:$F$88,1,2))^2</f>
        <v>3790121.0972822127</v>
      </c>
      <c r="H184" s="39">
        <f>SUMPRODUCT(('Revenue &amp; Durability'!H$112&gt;=$E$47:$E$60)*($R$47:$R$60)*($T$47:$T$60+($O$47:$O$60&gt;0)*-INT(-(('Revenue &amp; Durability'!H$112-$U$47:$U$60)*('Revenue &amp; Durability'!H$112&gt;$U$47:$U$60)/(($W$47:$W$60)+($W$47:$W$60=0))*(1+$P$47:$P$60*(1-1)))*$X$47:$X$60)/$X$47:$X$60),$I$47:$I$60*(1-($Y$47:$Y$60-($Y$47:$Y$60&gt;$Z$47:$Z$60)*($Y$47:$Y$60-$Z$47:$Z$60))*(1-$H$25)))*(1+INDEX(Assumptions!$D$88:$F$88,1,2))^3</f>
        <v>5211901.0344628152</v>
      </c>
      <c r="I184" s="39">
        <f>SUMPRODUCT(('Revenue &amp; Durability'!I$112&gt;=$E$47:$E$60)*($R$47:$R$60)*($T$47:$T$60+($O$47:$O$60&gt;0)*-INT(-(('Revenue &amp; Durability'!I$112-$U$47:$U$60)*('Revenue &amp; Durability'!I$112&gt;$U$47:$U$60)/(($W$47:$W$60)+($W$47:$W$60=0))*(1+$P$47:$P$60*(1-1)))*$X$47:$X$60)/$X$47:$X$60),$I$47:$I$60*(1-($Y$47:$Y$60-($Y$47:$Y$60&gt;$Z$47:$Z$60)*($Y$47:$Y$60-$Z$47:$Z$60))*(1-$H$25)))*(1+INDEX(Assumptions!$D$88:$F$88,1,2))^4</f>
        <v>6143522.1012323834</v>
      </c>
      <c r="J184" s="39">
        <f>SUMPRODUCT(('Revenue &amp; Durability'!J$112&gt;=$E$47:$E$60)*($R$47:$R$60)*($T$47:$T$60+($O$47:$O$60&gt;0)*-INT(-(('Revenue &amp; Durability'!J$112-$U$47:$U$60)*('Revenue &amp; Durability'!J$112&gt;$U$47:$U$60)/(($W$47:$W$60)+($W$47:$W$60=0))*(1+$P$47:$P$60*(1-1)))*$X$47:$X$60)/$X$47:$X$60),$I$47:$I$60*(1-($Y$47:$Y$60-($Y$47:$Y$60&gt;$Z$47:$Z$60)*($Y$47:$Y$60-$Z$47:$Z$60))*(1-$H$25)))*(1+INDEX(Assumptions!$D$88:$F$88,1,2))^5</f>
        <v>6948193.2986329906</v>
      </c>
      <c r="K184" s="39">
        <f>SUMPRODUCT(('Revenue &amp; Durability'!K$112&gt;=$E$47:$E$60)*($R$47:$R$60)*($T$47:$T$60+($O$47:$O$60&gt;0)*-INT(-(('Revenue &amp; Durability'!K$112-$U$47:$U$60)*('Revenue &amp; Durability'!K$112&gt;$U$47:$U$60)/(($W$47:$W$60)+($W$47:$W$60=0))*(1+$P$47:$P$60*(1-1)))*$X$47:$X$60)/$X$47:$X$60),$I$47:$I$60*(1-($Y$47:$Y$60-($Y$47:$Y$60&gt;$Z$47:$Z$60)*($Y$47:$Y$60-$Z$47:$Z$60))*(1-$H$25)))*(1+INDEX(Assumptions!$D$88:$F$88,1,2))^6</f>
        <v>7156639.0975919804</v>
      </c>
      <c r="L184" s="39">
        <f>SUMPRODUCT(('Revenue &amp; Durability'!L$112&gt;=$E$47:$E$60)*($R$47:$R$60)*($T$47:$T$60+($O$47:$O$60&gt;0)*-INT(-(('Revenue &amp; Durability'!L$112-$U$47:$U$60)*('Revenue &amp; Durability'!L$112&gt;$U$47:$U$60)/(($W$47:$W$60)+($W$47:$W$60=0))*(1+$P$47:$P$60*(1-1)))*$X$47:$X$60)/$X$47:$X$60),$I$47:$I$60*(1-($Y$47:$Y$60-($Y$47:$Y$60&gt;$Z$47:$Z$60)*($Y$47:$Y$60-$Z$47:$Z$60))*(1-$H$25)))*(1+INDEX(Assumptions!$D$88:$F$88,1,2))^7</f>
        <v>7371338.2705197409</v>
      </c>
      <c r="M184" s="39">
        <f>SUMPRODUCT(('Revenue &amp; Durability'!M$112&gt;=$E$47:$E$60)*($R$47:$R$60)*($T$47:$T$60+($O$47:$O$60&gt;0)*-INT(-(('Revenue &amp; Durability'!M$112-$U$47:$U$60)*('Revenue &amp; Durability'!M$112&gt;$U$47:$U$60)/(($W$47:$W$60)+($W$47:$W$60=0))*(1+$P$47:$P$60*(1-1)))*$X$47:$X$60)/$X$47:$X$60),$I$47:$I$60*(1-($Y$47:$Y$60-($Y$47:$Y$60&gt;$Z$47:$Z$60)*($Y$47:$Y$60-$Z$47:$Z$60))*(1-$H$25)))*(1+INDEX(Assumptions!$D$88:$F$88,1,2))^8</f>
        <v>7592478.418635332</v>
      </c>
      <c r="N184" s="39">
        <f>SUMPRODUCT(('Revenue &amp; Durability'!N$112&gt;=$E$47:$E$60)*($R$47:$R$60)*($T$47:$T$60+($O$47:$O$60&gt;0)*-INT(-(('Revenue &amp; Durability'!N$112-$U$47:$U$60)*('Revenue &amp; Durability'!N$112&gt;$U$47:$U$60)/(($W$47:$W$60)+($W$47:$W$60=0))*(1+$P$47:$P$60*(1-1)))*$X$47:$X$60)/$X$47:$X$60),$I$47:$I$60*(1-($Y$47:$Y$60-($Y$47:$Y$60&gt;$Z$47:$Z$60)*($Y$47:$Y$60-$Z$47:$Z$60))*(1-$H$25)))*(1+INDEX(Assumptions!$D$88:$F$88,1,2))^9</f>
        <v>7820252.7711943919</v>
      </c>
      <c r="O184" s="2"/>
      <c r="P184" s="2"/>
      <c r="Q184" s="2"/>
      <c r="R184" s="2"/>
      <c r="S184" s="2"/>
      <c r="T184" s="2"/>
      <c r="U184" s="2"/>
      <c r="V184" s="2"/>
    </row>
    <row r="185" spans="1:22" ht="15" customHeight="1" x14ac:dyDescent="0.3">
      <c r="A185" s="6" t="s">
        <v>1200</v>
      </c>
      <c r="B185" s="6" t="s">
        <v>219</v>
      </c>
      <c r="C185" s="6" t="s">
        <v>211</v>
      </c>
      <c r="D185" s="13">
        <f>SUMPRODUCT(--('Revenue &amp; Durability'!D$112&gt;=$C$66:$C$74),$K$66:$K$74)</f>
        <v>7</v>
      </c>
      <c r="E185" s="13">
        <f>SUMPRODUCT(--('Revenue &amp; Durability'!E$112&gt;=$C$66:$C$74),$K$66:$K$74)</f>
        <v>8</v>
      </c>
      <c r="F185" s="13">
        <f>SUMPRODUCT(--('Revenue &amp; Durability'!F$112&gt;=$C$66:$C$74),$K$66:$K$74)</f>
        <v>8</v>
      </c>
      <c r="G185" s="13">
        <f>SUMPRODUCT(--('Revenue &amp; Durability'!G$112&gt;=$C$66:$C$74),$K$66:$K$74)</f>
        <v>8</v>
      </c>
      <c r="H185" s="13">
        <f>SUMPRODUCT(--('Revenue &amp; Durability'!H$112&gt;=$C$66:$C$74),$K$66:$K$74)</f>
        <v>8</v>
      </c>
      <c r="I185" s="13">
        <f>SUMPRODUCT(--('Revenue &amp; Durability'!I$112&gt;=$C$66:$C$74),$K$66:$K$74)</f>
        <v>8</v>
      </c>
      <c r="J185" s="13">
        <f>SUMPRODUCT(--('Revenue &amp; Durability'!J$112&gt;=$C$66:$C$74),$K$66:$K$74)</f>
        <v>8</v>
      </c>
      <c r="K185" s="13">
        <f>SUMPRODUCT(--('Revenue &amp; Durability'!K$112&gt;=$C$66:$C$74),$K$66:$K$74)</f>
        <v>8</v>
      </c>
      <c r="L185" s="13">
        <f>SUMPRODUCT(--('Revenue &amp; Durability'!L$112&gt;=$C$66:$C$74),$K$66:$K$74)</f>
        <v>8</v>
      </c>
      <c r="M185" s="13">
        <f>SUMPRODUCT(--('Revenue &amp; Durability'!M$112&gt;=$C$66:$C$74),$K$66:$K$74)</f>
        <v>8</v>
      </c>
      <c r="N185" s="13">
        <f>SUMPRODUCT(--('Revenue &amp; Durability'!N$112&gt;=$C$66:$C$74),$K$66:$K$74)</f>
        <v>8</v>
      </c>
      <c r="O185" s="2"/>
      <c r="P185" s="2"/>
      <c r="Q185" s="2"/>
      <c r="R185" s="2"/>
      <c r="S185" s="2"/>
      <c r="T185" s="2"/>
      <c r="U185" s="2"/>
      <c r="V185" s="2"/>
    </row>
    <row r="186" spans="1:22" ht="15" customHeight="1" x14ac:dyDescent="0.3">
      <c r="A186" s="1" t="s">
        <v>1201</v>
      </c>
      <c r="B186" s="6" t="s">
        <v>218</v>
      </c>
      <c r="C186" s="6" t="s">
        <v>211</v>
      </c>
      <c r="D186" s="39">
        <f>SUMPRODUCT(--('Revenue &amp; Durability'!D$112&gt;=$C$66:$C$74),$I$66:$I$74,$K$66:$K$74)*(1+INDEX(Assumptions!$D$88:$F$88,1,2))^0</f>
        <v>1446175.214445</v>
      </c>
      <c r="E186" s="39">
        <f>SUMPRODUCT(--('Revenue &amp; Durability'!E$112&gt;=$C$66:$C$74),$I$66:$I$74,$K$66:$K$74)*(1+INDEX(Assumptions!$D$88:$F$88,1,2))^0</f>
        <v>1651887.6259450002</v>
      </c>
      <c r="F186" s="39">
        <f>SUMPRODUCT(--('Revenue &amp; Durability'!F$112&gt;=$C$66:$C$74),$I$66:$I$74,$K$66:$K$74)*(1+INDEX(Assumptions!$D$88:$F$88,1,2))^1</f>
        <v>1701444.2547233503</v>
      </c>
      <c r="G186" s="39">
        <f>SUMPRODUCT(--('Revenue &amp; Durability'!G$112&gt;=$C$66:$C$74),$I$66:$I$74,$K$66:$K$74)*(1+INDEX(Assumptions!$D$88:$F$88,1,2))^2</f>
        <v>1752487.5823650507</v>
      </c>
      <c r="H186" s="39">
        <f>SUMPRODUCT(--('Revenue &amp; Durability'!H$112&gt;=$C$66:$C$74),$I$66:$I$74,$K$66:$K$74)*(1+INDEX(Assumptions!$D$88:$F$88,1,2))^3</f>
        <v>1805062.2098360022</v>
      </c>
      <c r="I186" s="39">
        <f>SUMPRODUCT(--('Revenue &amp; Durability'!I$112&gt;=$C$66:$C$74),$I$66:$I$74,$K$66:$K$74)*(1+INDEX(Assumptions!$D$88:$F$88,1,2))^4</f>
        <v>1859214.0761310821</v>
      </c>
      <c r="J186" s="39">
        <f>SUMPRODUCT(--('Revenue &amp; Durability'!J$112&gt;=$C$66:$C$74),$I$66:$I$74,$K$66:$K$74)*(1+INDEX(Assumptions!$D$88:$F$88,1,2))^5</f>
        <v>1914990.4984150145</v>
      </c>
      <c r="K186" s="39">
        <f>SUMPRODUCT(--('Revenue &amp; Durability'!K$112&gt;=$C$66:$C$74),$I$66:$I$74,$K$66:$K$74)*(1+INDEX(Assumptions!$D$88:$F$88,1,2))^6</f>
        <v>1972440.2133674652</v>
      </c>
      <c r="L186" s="39">
        <f>SUMPRODUCT(--('Revenue &amp; Durability'!L$112&gt;=$C$66:$C$74),$I$66:$I$74,$K$66:$K$74)*(1+INDEX(Assumptions!$D$88:$F$88,1,2))^7</f>
        <v>2031613.4197684892</v>
      </c>
      <c r="M186" s="39">
        <f>SUMPRODUCT(--('Revenue &amp; Durability'!M$112&gt;=$C$66:$C$74),$I$66:$I$74,$K$66:$K$74)*(1+INDEX(Assumptions!$D$88:$F$88,1,2))^8</f>
        <v>2092561.8223615435</v>
      </c>
      <c r="N186" s="39">
        <f>SUMPRODUCT(--('Revenue &amp; Durability'!N$112&gt;=$C$66:$C$74),$I$66:$I$74,$K$66:$K$74)*(1+INDEX(Assumptions!$D$88:$F$88,1,2))^9</f>
        <v>2155338.6770323901</v>
      </c>
      <c r="O186" s="2"/>
      <c r="P186" s="2"/>
      <c r="Q186" s="2"/>
      <c r="R186" s="2"/>
      <c r="S186" s="2"/>
      <c r="T186" s="2"/>
      <c r="U186" s="2"/>
      <c r="V186" s="2"/>
    </row>
    <row r="187" spans="1:22" ht="15" customHeight="1" x14ac:dyDescent="0.3">
      <c r="A187" s="6" t="s">
        <v>1202</v>
      </c>
      <c r="B187" s="6" t="s">
        <v>218</v>
      </c>
      <c r="C187" s="6" t="s">
        <v>211</v>
      </c>
      <c r="D187" s="13">
        <f>SUMPRODUCT(--('Revenue &amp; Durability'!D$112&gt;=$C$66:$C$74),$I$66:$I$74,1-$K$66:$K$74)*(1+INDEX(Assumptions!$D$88:$F$88,1,2))^0</f>
        <v>0</v>
      </c>
      <c r="E187" s="13">
        <f>SUMPRODUCT(--('Revenue &amp; Durability'!E$112&gt;=$C$66:$C$74),$I$66:$I$74,1-$K$66:$K$74)*(1+INDEX(Assumptions!$D$88:$F$88,1,2))^0</f>
        <v>0</v>
      </c>
      <c r="F187" s="13">
        <f>SUMPRODUCT(--('Revenue &amp; Durability'!F$112&gt;=$C$66:$C$74),$I$66:$I$74,1-$K$66:$K$74)*(1+INDEX(Assumptions!$D$88:$F$88,1,2))^1</f>
        <v>0</v>
      </c>
      <c r="G187" s="13">
        <f>SUMPRODUCT(--('Revenue &amp; Durability'!G$112&gt;=$C$66:$C$74),$I$66:$I$74,1-$K$66:$K$74)*(1+INDEX(Assumptions!$D$88:$F$88,1,2))^2</f>
        <v>0</v>
      </c>
      <c r="H187" s="13">
        <f>SUMPRODUCT(--('Revenue &amp; Durability'!H$112&gt;=$C$66:$C$74),$I$66:$I$74,1-$K$66:$K$74)*(1+INDEX(Assumptions!$D$88:$F$88,1,2))^3</f>
        <v>0</v>
      </c>
      <c r="I187" s="13">
        <f>SUMPRODUCT(--('Revenue &amp; Durability'!I$112&gt;=$C$66:$C$74),$I$66:$I$74,1-$K$66:$K$74)*(1+INDEX(Assumptions!$D$88:$F$88,1,2))^4</f>
        <v>0</v>
      </c>
      <c r="J187" s="13">
        <f>SUMPRODUCT(--('Revenue &amp; Durability'!J$112&gt;=$C$66:$C$74),$I$66:$I$74,1-$K$66:$K$74)*(1+INDEX(Assumptions!$D$88:$F$88,1,2))^5</f>
        <v>0</v>
      </c>
      <c r="K187" s="13">
        <f>SUMPRODUCT(--('Revenue &amp; Durability'!K$112&gt;=$C$66:$C$74),$I$66:$I$74,1-$K$66:$K$74)*(1+INDEX(Assumptions!$D$88:$F$88,1,2))^6</f>
        <v>0</v>
      </c>
      <c r="L187" s="13">
        <f>SUMPRODUCT(--('Revenue &amp; Durability'!L$112&gt;=$C$66:$C$74),$I$66:$I$74,1-$K$66:$K$74)*(1+INDEX(Assumptions!$D$88:$F$88,1,2))^7</f>
        <v>0</v>
      </c>
      <c r="M187" s="13">
        <f>SUMPRODUCT(--('Revenue &amp; Durability'!M$112&gt;=$C$66:$C$74),$I$66:$I$74,1-$K$66:$K$74)*(1+INDEX(Assumptions!$D$88:$F$88,1,2))^8</f>
        <v>0</v>
      </c>
      <c r="N187" s="13">
        <f>SUMPRODUCT(--('Revenue &amp; Durability'!N$112&gt;=$C$66:$C$74),$I$66:$I$74,1-$K$66:$K$74)*(1+INDEX(Assumptions!$D$88:$F$88,1,2))^9</f>
        <v>0</v>
      </c>
      <c r="O187" s="2"/>
      <c r="P187" s="2"/>
      <c r="Q187" s="2"/>
      <c r="R187" s="2"/>
      <c r="S187" s="2"/>
      <c r="T187" s="2"/>
      <c r="U187" s="2"/>
      <c r="V187" s="2"/>
    </row>
    <row r="188" spans="1:22" ht="15" customHeight="1" x14ac:dyDescent="0.3">
      <c r="A188" s="6" t="s">
        <v>1203</v>
      </c>
      <c r="B188" s="6" t="s">
        <v>219</v>
      </c>
      <c r="C188" s="6" t="s">
        <v>217</v>
      </c>
      <c r="D188" s="13">
        <f>SUMPRODUCT(-INT(-('Revenue &amp; Durability'!D$127/$D$79:$D$82)))</f>
        <v>4</v>
      </c>
      <c r="E188" s="13">
        <f>SUMPRODUCT(-INT(-('Revenue &amp; Durability'!E$127/$D$79:$D$82)))</f>
        <v>4</v>
      </c>
      <c r="F188" s="13">
        <f>SUMPRODUCT(-INT(-('Revenue &amp; Durability'!F$127/$D$79:$D$82)))</f>
        <v>4</v>
      </c>
      <c r="G188" s="13">
        <f>SUMPRODUCT(-INT(-('Revenue &amp; Durability'!G$127/$D$79:$D$82)))</f>
        <v>4</v>
      </c>
      <c r="H188" s="13">
        <f>SUMPRODUCT(-INT(-('Revenue &amp; Durability'!H$127/$D$79:$D$82)))</f>
        <v>5</v>
      </c>
      <c r="I188" s="13">
        <f>SUMPRODUCT(-INT(-('Revenue &amp; Durability'!I$127/$D$79:$D$82)))</f>
        <v>5</v>
      </c>
      <c r="J188" s="13">
        <f>SUMPRODUCT(-INT(-('Revenue &amp; Durability'!J$127/$D$79:$D$82)))</f>
        <v>5</v>
      </c>
      <c r="K188" s="13">
        <f>SUMPRODUCT(-INT(-('Revenue &amp; Durability'!K$127/$D$79:$D$82)))</f>
        <v>5</v>
      </c>
      <c r="L188" s="13">
        <f>SUMPRODUCT(-INT(-('Revenue &amp; Durability'!L$127/$D$79:$D$82)))</f>
        <v>5</v>
      </c>
      <c r="M188" s="13">
        <f>SUMPRODUCT(-INT(-('Revenue &amp; Durability'!M$127/$D$79:$D$82)))</f>
        <v>5</v>
      </c>
      <c r="N188" s="13">
        <f>SUMPRODUCT(-INT(-('Revenue &amp; Durability'!N$127/$D$79:$D$82)))</f>
        <v>5</v>
      </c>
      <c r="O188" s="2"/>
      <c r="P188" s="2"/>
      <c r="Q188" s="2"/>
      <c r="R188" s="2"/>
      <c r="S188" s="2"/>
      <c r="T188" s="2"/>
      <c r="U188" s="2"/>
      <c r="V188" s="2"/>
    </row>
    <row r="189" spans="1:22" ht="15" customHeight="1" x14ac:dyDescent="0.3">
      <c r="A189" s="6" t="s">
        <v>187</v>
      </c>
      <c r="B189" s="6" t="s">
        <v>218</v>
      </c>
      <c r="C189" s="6" t="s">
        <v>217</v>
      </c>
      <c r="D189" s="13">
        <f>SUMPRODUCT(-INT(-('Revenue &amp; Durability'!D$127/$D$79:$D$82)),$I$79:$I$82)*(1+INDEX(Assumptions!$D$88:$F$88,1,2))^0</f>
        <v>685510.07499999995</v>
      </c>
      <c r="E189" s="13">
        <f>SUMPRODUCT(-INT(-('Revenue &amp; Durability'!E$127/$D$79:$D$82)),$I$79:$I$82)*(1+INDEX(Assumptions!$D$88:$F$88,1,2))^0</f>
        <v>685510.07499999995</v>
      </c>
      <c r="F189" s="13">
        <f>SUMPRODUCT(-INT(-('Revenue &amp; Durability'!F$127/$D$79:$D$82)),$I$79:$I$82)*(1+INDEX(Assumptions!$D$88:$F$88,1,2))^1</f>
        <v>706075.37725000002</v>
      </c>
      <c r="G189" s="13">
        <f>SUMPRODUCT(-INT(-('Revenue &amp; Durability'!G$127/$D$79:$D$82)),$I$79:$I$82)*(1+INDEX(Assumptions!$D$88:$F$88,1,2))^2</f>
        <v>727257.63856749993</v>
      </c>
      <c r="H189" s="13">
        <f>SUMPRODUCT(-INT(-('Revenue &amp; Durability'!H$127/$D$79:$D$82)),$I$79:$I$82)*(1+INDEX(Assumptions!$D$88:$F$88,1,2))^3</f>
        <v>885668.20963312499</v>
      </c>
      <c r="I189" s="13">
        <f>SUMPRODUCT(-INT(-('Revenue &amp; Durability'!I$127/$D$79:$D$82)),$I$79:$I$82)*(1+INDEX(Assumptions!$D$88:$F$88,1,2))^4</f>
        <v>912238.25592211867</v>
      </c>
      <c r="J189" s="13">
        <f>SUMPRODUCT(-INT(-('Revenue &amp; Durability'!J$127/$D$79:$D$82)),$I$79:$I$82)*(1+INDEX(Assumptions!$D$88:$F$88,1,2))^5</f>
        <v>939605.40359978215</v>
      </c>
      <c r="K189" s="13">
        <f>SUMPRODUCT(-INT(-('Revenue &amp; Durability'!K$127/$D$79:$D$82)),$I$79:$I$82)*(1+INDEX(Assumptions!$D$88:$F$88,1,2))^6</f>
        <v>967793.56570777576</v>
      </c>
      <c r="L189" s="13">
        <f>SUMPRODUCT(-INT(-('Revenue &amp; Durability'!L$127/$D$79:$D$82)),$I$79:$I$82)*(1+INDEX(Assumptions!$D$88:$F$88,1,2))^7</f>
        <v>996827.37267900899</v>
      </c>
      <c r="M189" s="13">
        <f>SUMPRODUCT(-INT(-('Revenue &amp; Durability'!M$127/$D$79:$D$82)),$I$79:$I$82)*(1+INDEX(Assumptions!$D$88:$F$88,1,2))^8</f>
        <v>1026732.1938593792</v>
      </c>
      <c r="N189" s="13">
        <f>SUMPRODUCT(-INT(-('Revenue &amp; Durability'!N$127/$D$79:$D$82)),$I$79:$I$82)*(1+INDEX(Assumptions!$D$88:$F$88,1,2))^9</f>
        <v>1057534.1596751607</v>
      </c>
      <c r="O189" s="2"/>
      <c r="P189" s="2"/>
      <c r="Q189" s="2"/>
      <c r="R189" s="2"/>
      <c r="S189" s="2"/>
      <c r="T189" s="2"/>
      <c r="U189" s="2"/>
      <c r="V189" s="2"/>
    </row>
    <row r="190" spans="1:22" ht="15" customHeight="1" x14ac:dyDescent="0.3">
      <c r="A190" s="6" t="s">
        <v>1204</v>
      </c>
      <c r="B190" s="6" t="s">
        <v>210</v>
      </c>
      <c r="C190" s="6" t="s">
        <v>222</v>
      </c>
      <c r="D190" s="63">
        <f>0</f>
        <v>0</v>
      </c>
      <c r="E190" s="13">
        <f>'Revenue &amp; Durability'!E$112*MIN(1,1/INDEX(Assumptions!$D$77:$F$77,1,2))*(INDEX(Assumptions!$D$76:$F$76,1,2)*(1-Assumptions!$D$8))</f>
        <v>1346.3541666666667</v>
      </c>
      <c r="F190" s="13">
        <f>'Revenue &amp; Durability'!F$112*MIN(1,2/INDEX(Assumptions!$D$77:$F$77,1,2))*(INDEX(Assumptions!$D$76:$F$76,1,2)*(1-Assumptions!$D$8))</f>
        <v>4236.9324999999999</v>
      </c>
      <c r="G190" s="13">
        <f>'Revenue &amp; Durability'!G$112*MIN(1,3/INDEX(Assumptions!$D$77:$F$77,1,2))*(INDEX(Assumptions!$D$76:$F$76,1,2)*(1-Assumptions!$D$8))</f>
        <v>10596.944099075003</v>
      </c>
      <c r="H190" s="13">
        <f>'Revenue &amp; Durability'!H$112*MIN(1,4/INDEX(Assumptions!$D$77:$F$77,1,2))*(INDEX(Assumptions!$D$76:$F$76,1,2)*(1-Assumptions!$D$8))</f>
        <v>14931.201574653356</v>
      </c>
      <c r="I190" s="13">
        <f>'Revenue &amp; Durability'!I$112*MIN(1,5/INDEX(Assumptions!$D$77:$F$77,1,2))*(INDEX(Assumptions!$D$76:$F$76,1,2)*(1-Assumptions!$D$8))</f>
        <v>17667.320864590503</v>
      </c>
      <c r="J190" s="13">
        <f>'Revenue &amp; Durability'!J$112*MIN(1,6/INDEX(Assumptions!$D$77:$F$77,1,2))*(INDEX(Assumptions!$D$76:$F$76,1,2)*(1-Assumptions!$D$8))</f>
        <v>20000</v>
      </c>
      <c r="K190" s="13">
        <f>'Revenue &amp; Durability'!K$112*MIN(1,7/INDEX(Assumptions!$D$77:$F$77,1,2))*(INDEX(Assumptions!$D$76:$F$76,1,2)*(1-Assumptions!$D$8))</f>
        <v>20000</v>
      </c>
      <c r="L190" s="13">
        <f>'Revenue &amp; Durability'!L$112*MIN(1,8/INDEX(Assumptions!$D$77:$F$77,1,2))*(INDEX(Assumptions!$D$76:$F$76,1,2)*(1-Assumptions!$D$8))</f>
        <v>20000</v>
      </c>
      <c r="M190" s="13">
        <f>'Revenue &amp; Durability'!M$112*MIN(1,9/INDEX(Assumptions!$D$77:$F$77,1,2))*(INDEX(Assumptions!$D$76:$F$76,1,2)*(1-Assumptions!$D$8))</f>
        <v>20000</v>
      </c>
      <c r="N190" s="13">
        <f>'Revenue &amp; Durability'!N$112*MIN(1,10/INDEX(Assumptions!$D$77:$F$77,1,2))*(INDEX(Assumptions!$D$76:$F$76,1,2)*(1-Assumptions!$D$8))</f>
        <v>20000</v>
      </c>
      <c r="O190" s="2"/>
      <c r="P190" s="2"/>
      <c r="Q190" s="2"/>
      <c r="R190" s="2"/>
      <c r="S190" s="2"/>
      <c r="T190" s="2"/>
      <c r="U190" s="2"/>
      <c r="V190" s="2"/>
    </row>
    <row r="191" spans="1:22" ht="15" customHeight="1" x14ac:dyDescent="0.3">
      <c r="A191" s="6" t="s">
        <v>1205</v>
      </c>
      <c r="B191" s="6" t="s">
        <v>219</v>
      </c>
      <c r="C191" s="6" t="s">
        <v>222</v>
      </c>
      <c r="D191" s="63">
        <f>0</f>
        <v>0</v>
      </c>
      <c r="E191" s="63">
        <f t="shared" ref="E191:N191" si="30">SUMPRODUCT(-INT(-(E190/$D$87:$D$89)))</f>
        <v>3</v>
      </c>
      <c r="F191" s="63">
        <f t="shared" si="30"/>
        <v>3</v>
      </c>
      <c r="G191" s="63">
        <f t="shared" si="30"/>
        <v>5</v>
      </c>
      <c r="H191" s="63">
        <f t="shared" si="30"/>
        <v>8</v>
      </c>
      <c r="I191" s="63">
        <f t="shared" si="30"/>
        <v>8</v>
      </c>
      <c r="J191" s="63">
        <f t="shared" si="30"/>
        <v>9</v>
      </c>
      <c r="K191" s="63">
        <f t="shared" si="30"/>
        <v>9</v>
      </c>
      <c r="L191" s="63">
        <f t="shared" si="30"/>
        <v>9</v>
      </c>
      <c r="M191" s="63">
        <f t="shared" si="30"/>
        <v>9</v>
      </c>
      <c r="N191" s="63">
        <f t="shared" si="30"/>
        <v>9</v>
      </c>
      <c r="O191" s="2"/>
      <c r="P191" s="2"/>
      <c r="Q191" s="2"/>
      <c r="R191" s="2"/>
      <c r="S191" s="2"/>
      <c r="T191" s="2"/>
      <c r="U191" s="2"/>
      <c r="V191" s="2"/>
    </row>
    <row r="192" spans="1:22" ht="15" customHeight="1" x14ac:dyDescent="0.3">
      <c r="A192" s="6" t="s">
        <v>247</v>
      </c>
      <c r="B192" s="6" t="s">
        <v>218</v>
      </c>
      <c r="C192" s="6" t="s">
        <v>222</v>
      </c>
      <c r="D192" s="63">
        <f>0</f>
        <v>0</v>
      </c>
      <c r="E192" s="13">
        <f>SUMPRODUCT(-INT(-(E190/$D$87:$D$89)),$I$87:$I$89)*(1+INDEX(Assumptions!$D$88:$F$88,1,2))^0</f>
        <v>343395.9975</v>
      </c>
      <c r="F192" s="13">
        <f>SUMPRODUCT(-INT(-(F190/$D$87:$D$89)),$I$87:$I$89)*(1+INDEX(Assumptions!$D$88:$F$88,1,2))^1</f>
        <v>353697.87742500001</v>
      </c>
      <c r="G192" s="13">
        <f>SUMPRODUCT(-INT(-(G190/$D$87:$D$89)),$I$87:$I$89)*(1+INDEX(Assumptions!$D$88:$F$88,1,2))^2</f>
        <v>564396.21776939998</v>
      </c>
      <c r="H192" s="13">
        <f>SUMPRODUCT(-INT(-(H190/$D$87:$D$89)),$I$87:$I$89)*(1+INDEX(Assumptions!$D$88:$F$88,1,2))^3</f>
        <v>956566.18246266444</v>
      </c>
      <c r="I192" s="13">
        <f>SUMPRODUCT(-INT(-(I190/$D$87:$D$89)),$I$87:$I$89)*(1+INDEX(Assumptions!$D$88:$F$88,1,2))^4</f>
        <v>985263.16793654428</v>
      </c>
      <c r="J192" s="13">
        <f>SUMPRODUCT(-INT(-(J190/$D$87:$D$89)),$I$87:$I$89)*(1+INDEX(Assumptions!$D$88:$F$88,1,2))^5</f>
        <v>1117227.8562964427</v>
      </c>
      <c r="K192" s="13">
        <f>SUMPRODUCT(-INT(-(K190/$D$87:$D$89)),$I$87:$I$89)*(1+INDEX(Assumptions!$D$88:$F$88,1,2))^6</f>
        <v>1150744.6919853359</v>
      </c>
      <c r="L192" s="13">
        <f>SUMPRODUCT(-INT(-(L190/$D$87:$D$89)),$I$87:$I$89)*(1+INDEX(Assumptions!$D$88:$F$88,1,2))^7</f>
        <v>1185267.0327448961</v>
      </c>
      <c r="M192" s="13">
        <f>SUMPRODUCT(-INT(-(M190/$D$87:$D$89)),$I$87:$I$89)*(1+INDEX(Assumptions!$D$88:$F$88,1,2))^8</f>
        <v>1220825.0437272429</v>
      </c>
      <c r="N192" s="13">
        <f>SUMPRODUCT(-INT(-(N190/$D$87:$D$89)),$I$87:$I$89)*(1+INDEX(Assumptions!$D$88:$F$88,1,2))^9</f>
        <v>1257449.7950390603</v>
      </c>
      <c r="O192" s="2"/>
      <c r="P192" s="2"/>
      <c r="Q192" s="2"/>
      <c r="R192" s="2"/>
      <c r="S192" s="2"/>
      <c r="T192" s="2"/>
      <c r="U192" s="2"/>
      <c r="V192" s="2"/>
    </row>
    <row r="193" spans="1:22" ht="15" customHeight="1" x14ac:dyDescent="0.3">
      <c r="A193" s="6" t="s">
        <v>1206</v>
      </c>
      <c r="B193" s="6" t="s">
        <v>218</v>
      </c>
      <c r="C193" s="6" t="s">
        <v>245</v>
      </c>
      <c r="D193" s="13">
        <f>MAX(0,D$180)*INDEX(Assumptions!$D$82:$F$82,1,2)</f>
        <v>671159.36935027409</v>
      </c>
      <c r="E193" s="13">
        <f>MAX(0,E$180-D$180)*INDEX(Assumptions!$D$82:$F$82,1,2)</f>
        <v>238750.17162256665</v>
      </c>
      <c r="F193" s="13">
        <f>MAX(0,F$180-E$180)*INDEX(Assumptions!$D$82:$F$82,1,2)</f>
        <v>457597.4603833328</v>
      </c>
      <c r="G193" s="13">
        <f>MAX(0,G$180-F$180)*INDEX(Assumptions!$D$82:$F$82,1,2)</f>
        <v>901330.25562120765</v>
      </c>
      <c r="H193" s="13">
        <f>MAX(0,H$180-G$180)*INDEX(Assumptions!$D$82:$F$82,1,2)</f>
        <v>917166.30889076367</v>
      </c>
      <c r="I193" s="13">
        <f>MAX(0,I$180-H$180)*INDEX(Assumptions!$D$82:$F$82,1,2)</f>
        <v>364865.67571130209</v>
      </c>
      <c r="J193" s="13">
        <f>MAX(0,J$180-I$180)*INDEX(Assumptions!$D$82:$F$82,1,2)</f>
        <v>359204.80495873699</v>
      </c>
      <c r="K193" s="13">
        <f>MAX(0,K$180-J$180)*INDEX(Assumptions!$D$82:$F$82,1,2)</f>
        <v>354398.25196954003</v>
      </c>
      <c r="L193" s="13">
        <f>MAX(0,L$180-K$180)*INDEX(Assumptions!$D$82:$F$82,1,2)</f>
        <v>56775.890878870152</v>
      </c>
      <c r="M193" s="13">
        <f>MAX(0,M$180-L$180)*INDEX(Assumptions!$D$82:$F$82,1,2)</f>
        <v>0</v>
      </c>
      <c r="N193" s="13">
        <f>MAX(0,N$180-M$180)*INDEX(Assumptions!$D$82:$F$82,1,2)</f>
        <v>0</v>
      </c>
      <c r="O193" s="2"/>
      <c r="P193" s="2"/>
      <c r="Q193" s="2"/>
      <c r="R193" s="2"/>
      <c r="S193" s="2"/>
      <c r="T193" s="2"/>
      <c r="U193" s="2"/>
      <c r="V193" s="2"/>
    </row>
    <row r="194" spans="1:22" ht="15" customHeight="1" x14ac:dyDescent="0.3">
      <c r="A194" s="6" t="s">
        <v>1207</v>
      </c>
      <c r="B194" s="6" t="s">
        <v>219</v>
      </c>
      <c r="C194" s="6" t="s">
        <v>222</v>
      </c>
      <c r="D194" s="13">
        <f>'Acquisition Schedule'!F$33</f>
        <v>1</v>
      </c>
      <c r="E194" s="13">
        <f>'Acquisition Schedule'!F$33+'Acquisition Schedule'!G$33</f>
        <v>1</v>
      </c>
      <c r="F194" s="13">
        <f>'Acquisition Schedule'!F$33+'Acquisition Schedule'!G$33+'Acquisition Schedule'!H$33</f>
        <v>1</v>
      </c>
      <c r="G194" s="13">
        <f>'Acquisition Schedule'!F$33+'Acquisition Schedule'!G$33+'Acquisition Schedule'!H$33+'Acquisition Schedule'!I$33</f>
        <v>2</v>
      </c>
      <c r="H194" s="13">
        <f>'Acquisition Schedule'!F$33+'Acquisition Schedule'!G$33+'Acquisition Schedule'!H$33+'Acquisition Schedule'!I$33+'Acquisition Schedule'!J$33</f>
        <v>2</v>
      </c>
      <c r="I194" s="13">
        <f>'Acquisition Schedule'!F$33+'Acquisition Schedule'!G$33+'Acquisition Schedule'!H$33+'Acquisition Schedule'!I$33+'Acquisition Schedule'!J$33+'Acquisition Schedule'!K$33</f>
        <v>2</v>
      </c>
      <c r="J194" s="13">
        <f>'Acquisition Schedule'!F$33+'Acquisition Schedule'!G$33+'Acquisition Schedule'!H$33+'Acquisition Schedule'!I$33+'Acquisition Schedule'!J$33+'Acquisition Schedule'!K$33+'Acquisition Schedule'!L$33</f>
        <v>2</v>
      </c>
      <c r="K194" s="13">
        <f>'Acquisition Schedule'!F$33+'Acquisition Schedule'!G$33+'Acquisition Schedule'!H$33+'Acquisition Schedule'!I$33+'Acquisition Schedule'!J$33+'Acquisition Schedule'!K$33+'Acquisition Schedule'!L$33+'Acquisition Schedule'!M$33</f>
        <v>2</v>
      </c>
      <c r="L194" s="13">
        <f>'Acquisition Schedule'!F$33+'Acquisition Schedule'!G$33+'Acquisition Schedule'!H$33+'Acquisition Schedule'!I$33+'Acquisition Schedule'!J$33+'Acquisition Schedule'!K$33+'Acquisition Schedule'!L$33+'Acquisition Schedule'!M$33+'Acquisition Schedule'!N$33</f>
        <v>2</v>
      </c>
      <c r="M194" s="13">
        <f>'Acquisition Schedule'!F$33+'Acquisition Schedule'!G$33+'Acquisition Schedule'!H$33+'Acquisition Schedule'!I$33+'Acquisition Schedule'!J$33+'Acquisition Schedule'!K$33+'Acquisition Schedule'!L$33+'Acquisition Schedule'!M$33+'Acquisition Schedule'!N$33+'Acquisition Schedule'!O$33</f>
        <v>2</v>
      </c>
      <c r="N194" s="13">
        <f>'Acquisition Schedule'!F$33+'Acquisition Schedule'!G$33+'Acquisition Schedule'!H$33+'Acquisition Schedule'!I$33+'Acquisition Schedule'!J$33+'Acquisition Schedule'!K$33+'Acquisition Schedule'!L$33+'Acquisition Schedule'!M$33+'Acquisition Schedule'!N$33+'Acquisition Schedule'!O$33+'Acquisition Schedule'!P$33</f>
        <v>2</v>
      </c>
      <c r="O194" s="2"/>
      <c r="P194" s="2"/>
      <c r="Q194" s="2"/>
      <c r="R194" s="2"/>
      <c r="S194" s="2"/>
      <c r="T194" s="2"/>
      <c r="U194" s="2"/>
      <c r="V194" s="2"/>
    </row>
    <row r="195" spans="1:22" ht="15" customHeight="1" x14ac:dyDescent="0.3">
      <c r="A195" s="1" t="s">
        <v>246</v>
      </c>
      <c r="B195" s="6" t="s">
        <v>218</v>
      </c>
      <c r="C195" s="6" t="s">
        <v>222</v>
      </c>
      <c r="D195" s="39">
        <f>D194*$I$50*(1+INDEX(Assumptions!$D$88:$F$88,1,2))^0*INDEX(Assumptions!$D$91:$F$91,1,2)*(1-Assumptions!$D$8)</f>
        <v>0</v>
      </c>
      <c r="E195" s="39">
        <f>E194*$I$50*(1+INDEX(Assumptions!$D$88:$F$88,1,2))^0*INDEX(Assumptions!$D$91:$F$91,1,2)*(1-Assumptions!$D$8)</f>
        <v>0</v>
      </c>
      <c r="F195" s="39">
        <f>F194*$I$50*(1+INDEX(Assumptions!$D$88:$F$88,1,2))^1*INDEX(Assumptions!$D$91:$F$91,1,2)*(1-Assumptions!$D$8)</f>
        <v>0</v>
      </c>
      <c r="G195" s="39">
        <f>G194*$I$50*(1+INDEX(Assumptions!$D$88:$F$88,1,2))^2*INDEX(Assumptions!$D$91:$F$91,1,2)*(1-Assumptions!$D$8)</f>
        <v>0</v>
      </c>
      <c r="H195" s="39">
        <f>H194*$I$50*(1+INDEX(Assumptions!$D$88:$F$88,1,2))^3*INDEX(Assumptions!$D$91:$F$91,1,2)*(1-Assumptions!$D$8)</f>
        <v>0</v>
      </c>
      <c r="I195" s="39">
        <f>I194*$I$50*(1+INDEX(Assumptions!$D$88:$F$88,1,2))^4*INDEX(Assumptions!$D$91:$F$91,1,2)*(1-Assumptions!$D$8)</f>
        <v>0</v>
      </c>
      <c r="J195" s="39">
        <f>J194*$I$50*(1+INDEX(Assumptions!$D$88:$F$88,1,2))^5*INDEX(Assumptions!$D$91:$F$91,1,2)*(1-Assumptions!$D$8)</f>
        <v>0</v>
      </c>
      <c r="K195" s="39">
        <f>K194*$I$50*(1+INDEX(Assumptions!$D$88:$F$88,1,2))^6*INDEX(Assumptions!$D$91:$F$91,1,2)*(1-Assumptions!$D$8)</f>
        <v>0</v>
      </c>
      <c r="L195" s="39">
        <f>L194*$I$50*(1+INDEX(Assumptions!$D$88:$F$88,1,2))^7*INDEX(Assumptions!$D$91:$F$91,1,2)*(1-Assumptions!$D$8)</f>
        <v>0</v>
      </c>
      <c r="M195" s="39">
        <f>M194*$I$50*(1+INDEX(Assumptions!$D$88:$F$88,1,2))^8*INDEX(Assumptions!$D$91:$F$91,1,2)*(1-Assumptions!$D$8)</f>
        <v>0</v>
      </c>
      <c r="N195" s="39">
        <f>N194*$I$50*(1+INDEX(Assumptions!$D$88:$F$88,1,2))^9*INDEX(Assumptions!$D$91:$F$91,1,2)*(1-Assumptions!$D$8)</f>
        <v>0</v>
      </c>
      <c r="O195" s="2"/>
      <c r="P195" s="2"/>
      <c r="Q195" s="2"/>
      <c r="R195" s="2"/>
      <c r="S195" s="2"/>
      <c r="T195" s="2"/>
      <c r="U195" s="2"/>
      <c r="V195" s="2"/>
    </row>
    <row r="196" spans="1:22" ht="15" customHeight="1" x14ac:dyDescent="0.3">
      <c r="A196" s="6" t="s">
        <v>248</v>
      </c>
      <c r="B196" s="6" t="s">
        <v>218</v>
      </c>
      <c r="C196" s="6" t="s">
        <v>222</v>
      </c>
      <c r="D196" s="13">
        <f>'Acquisition Schedule'!F$34*INDEX(Assumptions!$D$85:$F$85,1,2)</f>
        <v>480000</v>
      </c>
      <c r="E196" s="13">
        <f>'Acquisition Schedule'!G$34*INDEX(Assumptions!$D$85:$F$85,1,2)</f>
        <v>480000</v>
      </c>
      <c r="F196" s="13">
        <f>'Acquisition Schedule'!H$34*INDEX(Assumptions!$D$85:$F$85,1,2)</f>
        <v>480000</v>
      </c>
      <c r="G196" s="13">
        <f>'Acquisition Schedule'!I$34*INDEX(Assumptions!$D$85:$F$85,1,2)</f>
        <v>480000</v>
      </c>
      <c r="H196" s="13">
        <f>'Acquisition Schedule'!J$34*INDEX(Assumptions!$D$85:$F$85,1,2)</f>
        <v>480000</v>
      </c>
      <c r="I196" s="13">
        <f>'Acquisition Schedule'!K$34*INDEX(Assumptions!$D$85:$F$85,1,2)</f>
        <v>480000</v>
      </c>
      <c r="J196" s="13">
        <f>'Acquisition Schedule'!L$34*INDEX(Assumptions!$D$85:$F$85,1,2)</f>
        <v>480000</v>
      </c>
      <c r="K196" s="13">
        <f>'Acquisition Schedule'!M$34*INDEX(Assumptions!$D$85:$F$85,1,2)</f>
        <v>480000</v>
      </c>
      <c r="L196" s="13">
        <f>'Acquisition Schedule'!N$34*INDEX(Assumptions!$D$85:$F$85,1,2)</f>
        <v>0</v>
      </c>
      <c r="M196" s="13">
        <f>'Acquisition Schedule'!O$34*INDEX(Assumptions!$D$85:$F$85,1,2)</f>
        <v>0</v>
      </c>
      <c r="N196" s="13">
        <f>'Acquisition Schedule'!P$34*INDEX(Assumptions!$D$85:$F$85,1,2)</f>
        <v>0</v>
      </c>
      <c r="O196" s="2"/>
      <c r="P196" s="2"/>
      <c r="Q196" s="2"/>
      <c r="R196" s="2"/>
      <c r="S196" s="2"/>
      <c r="T196" s="2"/>
      <c r="U196" s="2"/>
      <c r="V196" s="2"/>
    </row>
    <row r="197" spans="1:22" ht="15" customHeight="1" x14ac:dyDescent="0.3">
      <c r="A197" s="6" t="s">
        <v>192</v>
      </c>
      <c r="B197" s="6" t="s">
        <v>218</v>
      </c>
      <c r="C197" s="6" t="s">
        <v>222</v>
      </c>
      <c r="D197" s="13">
        <f>INDEX(Assumptions!$D$86:$F$86,1,2)*(1+INDEX(Assumptions!$D$87:$F$87,1,2))^0</f>
        <v>700000</v>
      </c>
      <c r="E197" s="13">
        <f>INDEX(Assumptions!$D$86:$F$86,1,2)*(1+INDEX(Assumptions!$D$87:$F$87,1,2))^0</f>
        <v>700000</v>
      </c>
      <c r="F197" s="13">
        <f>INDEX(Assumptions!$D$86:$F$86,1,2)*(1+INDEX(Assumptions!$D$87:$F$87,1,2))^1</f>
        <v>742000</v>
      </c>
      <c r="G197" s="13">
        <f>INDEX(Assumptions!$D$86:$F$86,1,2)*(1+INDEX(Assumptions!$D$87:$F$87,1,2))^2</f>
        <v>786520.00000000012</v>
      </c>
      <c r="H197" s="13">
        <f>INDEX(Assumptions!$D$86:$F$86,1,2)*(1+INDEX(Assumptions!$D$87:$F$87,1,2))^3</f>
        <v>833711.20000000019</v>
      </c>
      <c r="I197" s="13">
        <f>INDEX(Assumptions!$D$86:$F$86,1,2)*(1+INDEX(Assumptions!$D$87:$F$87,1,2))^4</f>
        <v>883733.87200000021</v>
      </c>
      <c r="J197" s="13">
        <f>INDEX(Assumptions!$D$86:$F$86,1,2)*(1+INDEX(Assumptions!$D$87:$F$87,1,2))^5</f>
        <v>936757.90432000032</v>
      </c>
      <c r="K197" s="13">
        <f>INDEX(Assumptions!$D$86:$F$86,1,2)*(1+INDEX(Assumptions!$D$87:$F$87,1,2))^6</f>
        <v>992963.37857920036</v>
      </c>
      <c r="L197" s="13">
        <f>INDEX(Assumptions!$D$86:$F$86,1,2)*(1+INDEX(Assumptions!$D$87:$F$87,1,2))^7</f>
        <v>1052541.1812939525</v>
      </c>
      <c r="M197" s="13">
        <f>INDEX(Assumptions!$D$86:$F$86,1,2)*(1+INDEX(Assumptions!$D$87:$F$87,1,2))^8</f>
        <v>1115693.6521715897</v>
      </c>
      <c r="N197" s="13">
        <f>INDEX(Assumptions!$D$86:$F$86,1,2)*(1+INDEX(Assumptions!$D$87:$F$87,1,2))^9</f>
        <v>1182635.2713018849</v>
      </c>
      <c r="O197" s="2"/>
      <c r="P197" s="2"/>
      <c r="Q197" s="2"/>
      <c r="R197" s="2"/>
      <c r="S197" s="2"/>
      <c r="T197" s="2"/>
      <c r="U197" s="2"/>
      <c r="V197" s="2"/>
    </row>
    <row r="198" spans="1:22" ht="15" customHeight="1" x14ac:dyDescent="0.3">
      <c r="A198" s="1" t="s">
        <v>1208</v>
      </c>
      <c r="B198" s="6" t="s">
        <v>219</v>
      </c>
      <c r="C198" s="6" t="s">
        <v>211</v>
      </c>
      <c r="D198" s="61">
        <f t="shared" ref="D198:N198" si="31">D183+D185+D188+D191</f>
        <v>19</v>
      </c>
      <c r="E198" s="61">
        <f t="shared" si="31"/>
        <v>27.407813000000001</v>
      </c>
      <c r="F198" s="61">
        <f t="shared" si="31"/>
        <v>31.871079999999999</v>
      </c>
      <c r="G198" s="61">
        <f t="shared" si="31"/>
        <v>43.719389</v>
      </c>
      <c r="H198" s="61">
        <f t="shared" si="31"/>
        <v>57.586241000000001</v>
      </c>
      <c r="I198" s="61">
        <f t="shared" si="31"/>
        <v>63.133465000000001</v>
      </c>
      <c r="J198" s="61">
        <f t="shared" si="31"/>
        <v>68.599999999999994</v>
      </c>
      <c r="K198" s="61">
        <f t="shared" si="31"/>
        <v>68.599999999999994</v>
      </c>
      <c r="L198" s="61">
        <f t="shared" si="31"/>
        <v>68.599999999999994</v>
      </c>
      <c r="M198" s="61">
        <f t="shared" si="31"/>
        <v>68.599999999999994</v>
      </c>
      <c r="N198" s="61">
        <f t="shared" si="31"/>
        <v>68.599999999999994</v>
      </c>
      <c r="O198" s="2"/>
      <c r="P198" s="2"/>
      <c r="Q198" s="2"/>
      <c r="R198" s="2"/>
      <c r="S198" s="2"/>
      <c r="T198" s="2"/>
      <c r="U198" s="2"/>
      <c r="V198" s="2"/>
    </row>
    <row r="199" spans="1:22" ht="15" customHeight="1" x14ac:dyDescent="0.3">
      <c r="A199" s="6" t="s">
        <v>1209</v>
      </c>
      <c r="B199" s="6" t="s">
        <v>219</v>
      </c>
      <c r="C199" s="6" t="s">
        <v>220</v>
      </c>
      <c r="D199" s="13">
        <f>SUMPRODUCT(-INT(-(('Revenue &amp; Durability'!D$121*$O$94:$O$99+'Revenue &amp; Durability'!D$112*(1-$O$94:$O$99))/$D$94:$D$99)))</f>
        <v>178</v>
      </c>
      <c r="E199" s="13">
        <f>SUMPRODUCT(-INT(-(('Revenue &amp; Durability'!E$121*$O$94:$O$99+'Revenue &amp; Durability'!E$112*(1-$O$94:$O$99))/$D$94:$D$99)))</f>
        <v>244</v>
      </c>
      <c r="F199" s="13">
        <f>SUMPRODUCT(-INT(-(('Revenue &amp; Durability'!F$121*$O$94:$O$99+'Revenue &amp; Durability'!F$112*(1-$O$94:$O$99))/$D$94:$D$99)))</f>
        <v>382</v>
      </c>
      <c r="G199" s="13">
        <f>SUMPRODUCT(-INT(-(('Revenue &amp; Durability'!G$121*$O$94:$O$99+'Revenue &amp; Durability'!G$112*(1-$O$94:$O$99))/$D$94:$D$99)))</f>
        <v>633</v>
      </c>
      <c r="H199" s="13">
        <f>SUMPRODUCT(-INT(-(('Revenue &amp; Durability'!H$121*$O$94:$O$99+'Revenue &amp; Durability'!H$112*(1-$O$94:$O$99))/$D$94:$D$99)))</f>
        <v>894</v>
      </c>
      <c r="I199" s="13">
        <f>SUMPRODUCT(-INT(-(('Revenue &amp; Durability'!I$121*$O$94:$O$99+'Revenue &amp; Durability'!I$112*(1-$O$94:$O$99))/$D$94:$D$99)))</f>
        <v>1056</v>
      </c>
      <c r="J199" s="13">
        <f>SUMPRODUCT(-INT(-(('Revenue &amp; Durability'!J$121*$O$94:$O$99+'Revenue &amp; Durability'!J$112*(1-$O$94:$O$99))/$D$94:$D$99)))</f>
        <v>1193</v>
      </c>
      <c r="K199" s="13">
        <f>SUMPRODUCT(-INT(-(('Revenue &amp; Durability'!K$121*$O$94:$O$99+'Revenue &amp; Durability'!K$112*(1-$O$94:$O$99))/$D$94:$D$99)))</f>
        <v>1193</v>
      </c>
      <c r="L199" s="13">
        <f>SUMPRODUCT(-INT(-(('Revenue &amp; Durability'!L$121*$O$94:$O$99+'Revenue &amp; Durability'!L$112*(1-$O$94:$O$99))/$D$94:$D$99)))</f>
        <v>1193</v>
      </c>
      <c r="M199" s="13">
        <f>SUMPRODUCT(-INT(-(('Revenue &amp; Durability'!M$121*$O$94:$O$99+'Revenue &amp; Durability'!M$112*(1-$O$94:$O$99))/$D$94:$D$99)))</f>
        <v>1193</v>
      </c>
      <c r="N199" s="13">
        <f>SUMPRODUCT(-INT(-(('Revenue &amp; Durability'!N$121*$O$94:$O$99+'Revenue &amp; Durability'!N$112*(1-$O$94:$O$99))/$D$94:$D$99)))</f>
        <v>1193</v>
      </c>
      <c r="O199" s="2"/>
      <c r="P199" s="2"/>
      <c r="Q199" s="2"/>
      <c r="R199" s="2"/>
      <c r="S199" s="2"/>
      <c r="T199" s="2"/>
      <c r="U199" s="2"/>
      <c r="V199" s="2"/>
    </row>
    <row r="200" spans="1:22" ht="15" customHeight="1" x14ac:dyDescent="0.3">
      <c r="A200" s="6" t="s">
        <v>1210</v>
      </c>
      <c r="B200" s="6" t="s">
        <v>219</v>
      </c>
      <c r="C200" s="6" t="s">
        <v>220</v>
      </c>
      <c r="D200" s="13">
        <f>'Revenue &amp; Durability'!D$112/$D$7</f>
        <v>149.87244897959184</v>
      </c>
      <c r="E200" s="13">
        <f>'Revenue &amp; Durability'!E$112/$D$7</f>
        <v>206.07461734693877</v>
      </c>
      <c r="F200" s="13">
        <f>'Revenue &amp; Durability'!F$112/$D$7</f>
        <v>324.25503826530615</v>
      </c>
      <c r="G200" s="13">
        <f>'Revenue &amp; Durability'!G$112/$D$7</f>
        <v>540.66041321811235</v>
      </c>
      <c r="H200" s="13">
        <f>'Revenue &amp; Durability'!H$112/$D$7</f>
        <v>761.79599870680386</v>
      </c>
      <c r="I200" s="13">
        <f>'Revenue &amp; Durability'!I$112/$D$7</f>
        <v>901.39392166278071</v>
      </c>
      <c r="J200" s="13">
        <f>'Revenue &amp; Durability'!J$112/$D$7</f>
        <v>1020.4081632653061</v>
      </c>
      <c r="K200" s="13">
        <f>'Revenue &amp; Durability'!K$112/$D$7</f>
        <v>1020.4081632653061</v>
      </c>
      <c r="L200" s="13">
        <f>'Revenue &amp; Durability'!L$112/$D$7</f>
        <v>1020.4081632653061</v>
      </c>
      <c r="M200" s="13">
        <f>'Revenue &amp; Durability'!M$112/$D$7</f>
        <v>1020.4081632653061</v>
      </c>
      <c r="N200" s="13">
        <f>'Revenue &amp; Durability'!N$112/$D$7</f>
        <v>1020.4081632653061</v>
      </c>
      <c r="O200" s="2"/>
      <c r="P200" s="2"/>
      <c r="Q200" s="2"/>
      <c r="R200" s="2"/>
      <c r="S200" s="2"/>
      <c r="T200" s="2"/>
      <c r="U200" s="2"/>
      <c r="V200" s="2"/>
    </row>
    <row r="201" spans="1:22" ht="15" customHeight="1" x14ac:dyDescent="0.3">
      <c r="A201" s="6" t="s">
        <v>1211</v>
      </c>
      <c r="B201" s="6" t="s">
        <v>219</v>
      </c>
      <c r="C201" s="6" t="s">
        <v>211</v>
      </c>
      <c r="D201" s="63">
        <f t="shared" ref="D201:N201" si="32">D199-D200</f>
        <v>28.127551020408163</v>
      </c>
      <c r="E201" s="63">
        <f t="shared" si="32"/>
        <v>37.925382653061234</v>
      </c>
      <c r="F201" s="63">
        <f t="shared" si="32"/>
        <v>57.744961734693845</v>
      </c>
      <c r="G201" s="63">
        <f t="shared" si="32"/>
        <v>92.339586781887647</v>
      </c>
      <c r="H201" s="63">
        <f t="shared" si="32"/>
        <v>132.20400129319614</v>
      </c>
      <c r="I201" s="63">
        <f t="shared" si="32"/>
        <v>154.60607833721929</v>
      </c>
      <c r="J201" s="63">
        <f t="shared" si="32"/>
        <v>172.59183673469386</v>
      </c>
      <c r="K201" s="63">
        <f t="shared" si="32"/>
        <v>172.59183673469386</v>
      </c>
      <c r="L201" s="63">
        <f t="shared" si="32"/>
        <v>172.59183673469386</v>
      </c>
      <c r="M201" s="63">
        <f t="shared" si="32"/>
        <v>172.59183673469386</v>
      </c>
      <c r="N201" s="63">
        <f t="shared" si="32"/>
        <v>172.59183673469386</v>
      </c>
      <c r="O201" s="2"/>
      <c r="P201" s="2"/>
      <c r="Q201" s="2"/>
      <c r="R201" s="2"/>
      <c r="S201" s="2"/>
      <c r="T201" s="2"/>
      <c r="U201" s="2"/>
      <c r="V201" s="2"/>
    </row>
    <row r="202" spans="1:22" ht="15" customHeight="1" x14ac:dyDescent="0.3">
      <c r="A202" s="6" t="s">
        <v>1212</v>
      </c>
      <c r="B202" s="6" t="s">
        <v>218</v>
      </c>
      <c r="C202" s="6" t="s">
        <v>220</v>
      </c>
      <c r="D202" s="13">
        <f>SUMPRODUCT(-INT(-(('Revenue &amp; Durability'!D$121*$O$94:$O$99+'Revenue &amp; Durability'!D$112*(1-$O$94:$O$99))/$D$94:$D$99)),$I$94:$I$99)*(1+INDEX(Assumptions!$D$88:$F$88,1,2))^0</f>
        <v>12969207.5</v>
      </c>
      <c r="E202" s="13">
        <f>SUMPRODUCT(-INT(-(('Revenue &amp; Durability'!E$121*$O$94:$O$99+'Revenue &amp; Durability'!E$112*(1-$O$94:$O$99))/$D$94:$D$99)),$I$94:$I$99)*(1+INDEX(Assumptions!$D$88:$F$88,1,2))^0</f>
        <v>17772495</v>
      </c>
      <c r="F202" s="13">
        <f>SUMPRODUCT(-INT(-(('Revenue &amp; Durability'!F$121*$O$94:$O$99+'Revenue &amp; Durability'!F$112*(1-$O$94:$O$99))/$D$94:$D$99)),$I$94:$I$99)*(1+INDEX(Assumptions!$D$88:$F$88,1,2))^1</f>
        <v>28646754.490000002</v>
      </c>
      <c r="G202" s="13">
        <f>SUMPRODUCT(-INT(-(('Revenue &amp; Durability'!G$121*$O$94:$O$99+'Revenue &amp; Durability'!G$112*(1-$O$94:$O$99))/$D$94:$D$99)),$I$94:$I$99)*(1+INDEX(Assumptions!$D$88:$F$88,1,2))^2</f>
        <v>48895341.634099998</v>
      </c>
      <c r="H202" s="13">
        <f>SUMPRODUCT(-INT(-(('Revenue &amp; Durability'!H$121*$O$94:$O$99+'Revenue &amp; Durability'!H$112*(1-$O$94:$O$99))/$D$94:$D$99)),$I$94:$I$99)*(1+INDEX(Assumptions!$D$88:$F$88,1,2))^3</f>
        <v>71139703.711025506</v>
      </c>
      <c r="I202" s="13">
        <f>SUMPRODUCT(-INT(-(('Revenue &amp; Durability'!I$121*$O$94:$O$99+'Revenue &amp; Durability'!I$112*(1-$O$94:$O$99))/$D$94:$D$99)),$I$94:$I$99)*(1+INDEX(Assumptions!$D$88:$F$88,1,2))^4</f>
        <v>86538490.550169677</v>
      </c>
      <c r="J202" s="13">
        <f>SUMPRODUCT(-INT(-(('Revenue &amp; Durability'!J$121*$O$94:$O$99+'Revenue &amp; Durability'!J$112*(1-$O$94:$O$99))/$D$94:$D$99)),$I$94:$I$99)*(1+INDEX(Assumptions!$D$88:$F$88,1,2))^5</f>
        <v>100706300.55317435</v>
      </c>
      <c r="K202" s="13">
        <f>SUMPRODUCT(-INT(-(('Revenue &amp; Durability'!K$121*$O$94:$O$99+'Revenue &amp; Durability'!K$112*(1-$O$94:$O$99))/$D$94:$D$99)),$I$94:$I$99)*(1+INDEX(Assumptions!$D$88:$F$88,1,2))^6</f>
        <v>103727489.56976959</v>
      </c>
      <c r="L202" s="13">
        <f>SUMPRODUCT(-INT(-(('Revenue &amp; Durability'!L$121*$O$94:$O$99+'Revenue &amp; Durability'!L$112*(1-$O$94:$O$99))/$D$94:$D$99)),$I$94:$I$99)*(1+INDEX(Assumptions!$D$88:$F$88,1,2))^7</f>
        <v>106839314.25686269</v>
      </c>
      <c r="M202" s="13">
        <f>SUMPRODUCT(-INT(-(('Revenue &amp; Durability'!M$121*$O$94:$O$99+'Revenue &amp; Durability'!M$112*(1-$O$94:$O$99))/$D$94:$D$99)),$I$94:$I$99)*(1+INDEX(Assumptions!$D$88:$F$88,1,2))^8</f>
        <v>110044493.68456855</v>
      </c>
      <c r="N202" s="13">
        <f>SUMPRODUCT(-INT(-(('Revenue &amp; Durability'!N$121*$O$94:$O$99+'Revenue &amp; Durability'!N$112*(1-$O$94:$O$99))/$D$94:$D$99)),$I$94:$I$99)*(1+INDEX(Assumptions!$D$88:$F$88,1,2))^9</f>
        <v>113345828.49510561</v>
      </c>
      <c r="O202" s="2"/>
      <c r="P202" s="2"/>
      <c r="Q202" s="2"/>
      <c r="R202" s="2"/>
      <c r="S202" s="2"/>
      <c r="T202" s="2"/>
      <c r="U202" s="2"/>
      <c r="V202" s="2"/>
    </row>
    <row r="203" spans="1:22" ht="15" customHeight="1" x14ac:dyDescent="0.3">
      <c r="A203" s="2"/>
      <c r="B203" s="2"/>
      <c r="C203" s="2"/>
      <c r="D203" s="2"/>
      <c r="E203" s="2"/>
      <c r="F203" s="2"/>
      <c r="G203" s="2"/>
      <c r="H203" s="2"/>
      <c r="I203" s="2"/>
      <c r="J203" s="2"/>
      <c r="K203" s="2"/>
      <c r="L203" s="2"/>
      <c r="M203" s="2"/>
      <c r="N203" s="2"/>
      <c r="O203" s="2"/>
      <c r="P203" s="2"/>
      <c r="Q203" s="2"/>
      <c r="R203" s="2"/>
      <c r="S203" s="2"/>
      <c r="T203" s="2"/>
      <c r="U203" s="2"/>
      <c r="V203" s="2"/>
    </row>
    <row r="204" spans="1:22" ht="15" customHeight="1" x14ac:dyDescent="0.3">
      <c r="A204" s="21" t="s">
        <v>1214</v>
      </c>
      <c r="B204" s="10"/>
      <c r="C204" s="10"/>
      <c r="D204" s="10"/>
      <c r="E204" s="10"/>
      <c r="F204" s="10"/>
      <c r="G204" s="10"/>
      <c r="H204" s="10"/>
      <c r="I204" s="10"/>
      <c r="J204" s="10"/>
      <c r="K204" s="10"/>
      <c r="L204" s="10"/>
      <c r="M204" s="10"/>
      <c r="N204" s="10"/>
      <c r="O204" s="2"/>
      <c r="P204" s="2"/>
      <c r="Q204" s="2"/>
      <c r="R204" s="2"/>
      <c r="S204" s="2"/>
      <c r="T204" s="2"/>
      <c r="U204" s="2"/>
      <c r="V204" s="2"/>
    </row>
    <row r="205" spans="1:22" ht="15" customHeight="1" x14ac:dyDescent="0.3">
      <c r="A205" s="21" t="s">
        <v>202</v>
      </c>
      <c r="B205" s="10"/>
      <c r="C205" s="10"/>
      <c r="D205" s="21" t="s">
        <v>203</v>
      </c>
      <c r="E205" s="21" t="s">
        <v>204</v>
      </c>
      <c r="F205" s="21" t="s">
        <v>205</v>
      </c>
      <c r="G205" s="21" t="s">
        <v>9</v>
      </c>
      <c r="H205" s="21" t="s">
        <v>206</v>
      </c>
      <c r="I205" s="21" t="s">
        <v>10</v>
      </c>
      <c r="J205" s="21" t="s">
        <v>207</v>
      </c>
      <c r="K205" s="21" t="s">
        <v>11</v>
      </c>
      <c r="L205" s="21" t="s">
        <v>208</v>
      </c>
      <c r="M205" s="21" t="s">
        <v>209</v>
      </c>
      <c r="N205" s="21" t="s">
        <v>12</v>
      </c>
      <c r="O205" s="2"/>
      <c r="P205" s="2"/>
      <c r="Q205" s="2"/>
      <c r="R205" s="2"/>
      <c r="S205" s="2"/>
      <c r="T205" s="2"/>
      <c r="U205" s="2"/>
      <c r="V205" s="2"/>
    </row>
    <row r="206" spans="1:22" ht="15" customHeight="1" x14ac:dyDescent="0.3">
      <c r="A206" s="6" t="s">
        <v>1186</v>
      </c>
      <c r="B206" s="6" t="s">
        <v>265</v>
      </c>
      <c r="C206" s="6" t="s">
        <v>211</v>
      </c>
      <c r="D206" s="88">
        <f>IF('Acquisition Schedule'!F$20=0,0,'Revenue &amp; Durability'!D$144/'Acquisition Schedule'!F$20)</f>
        <v>0.96</v>
      </c>
      <c r="E206" s="88">
        <f>IF('Acquisition Schedule'!F$20=0,0,'Revenue &amp; Durability'!E$144/'Acquisition Schedule'!F$20)</f>
        <v>0.96</v>
      </c>
      <c r="F206" s="88">
        <f>IF('Acquisition Schedule'!F$20=0,0,'Revenue &amp; Durability'!F$144/'Acquisition Schedule'!F$20)</f>
        <v>0.89712000000000003</v>
      </c>
      <c r="G206" s="88">
        <f>IF('Acquisition Schedule'!F$20=0,0,'Revenue &amp; Durability'!G$144/'Acquisition Schedule'!F$20)</f>
        <v>0.83835864000000004</v>
      </c>
      <c r="H206" s="88">
        <f>IF('Acquisition Schedule'!F$20=0,0,'Revenue &amp; Durability'!H$144/'Acquisition Schedule'!F$20)</f>
        <v>0.78344614907999999</v>
      </c>
      <c r="I206" s="88">
        <f>IF('Acquisition Schedule'!F$20=0,0,'Revenue &amp; Durability'!I$144/'Acquisition Schedule'!F$20)</f>
        <v>0.73213042631526015</v>
      </c>
      <c r="J206" s="88">
        <f>IF('Acquisition Schedule'!F$20=0,0,'Revenue &amp; Durability'!J$144/'Acquisition Schedule'!F$20)</f>
        <v>0.68417588339161062</v>
      </c>
      <c r="K206" s="88">
        <f>IF('Acquisition Schedule'!F$20=0,0,'Revenue &amp; Durability'!K$144/'Acquisition Schedule'!F$20)</f>
        <v>0.63936236302946015</v>
      </c>
      <c r="L206" s="88">
        <f>IF('Acquisition Schedule'!F$20=0,0,'Revenue &amp; Durability'!L$144/'Acquisition Schedule'!F$20)</f>
        <v>0.59748412825103048</v>
      </c>
      <c r="M206" s="88">
        <f>IF('Acquisition Schedule'!F$20=0,0,'Revenue &amp; Durability'!M$144/'Acquisition Schedule'!F$20)</f>
        <v>0.55834891785058804</v>
      </c>
      <c r="N206" s="88">
        <f>IF('Acquisition Schedule'!F$20=0,0,'Revenue &amp; Durability'!N$144/'Acquisition Schedule'!F$20)</f>
        <v>0.52177706373137456</v>
      </c>
      <c r="O206" s="2"/>
      <c r="P206" s="2"/>
      <c r="Q206" s="2"/>
      <c r="R206" s="2"/>
      <c r="S206" s="2"/>
      <c r="T206" s="2"/>
      <c r="U206" s="2"/>
      <c r="V206" s="2"/>
    </row>
    <row r="207" spans="1:22" ht="15" customHeight="1" x14ac:dyDescent="0.3">
      <c r="A207" s="6" t="s">
        <v>1187</v>
      </c>
      <c r="B207" s="6" t="s">
        <v>265</v>
      </c>
      <c r="C207" s="6" t="s">
        <v>211</v>
      </c>
      <c r="D207" s="88">
        <f>IF('Acquisition Schedule'!G$20=0,0,'Revenue &amp; Durability'!D$145/'Acquisition Schedule'!G$20)</f>
        <v>0</v>
      </c>
      <c r="E207" s="88">
        <f>IF('Acquisition Schedule'!G$20=0,0,'Revenue &amp; Durability'!E$145/'Acquisition Schedule'!G$20)</f>
        <v>0.48</v>
      </c>
      <c r="F207" s="88">
        <f>IF('Acquisition Schedule'!G$20=0,0,'Revenue &amp; Durability'!F$145/'Acquisition Schedule'!G$20)</f>
        <v>0.96</v>
      </c>
      <c r="G207" s="88">
        <f>IF('Acquisition Schedule'!G$20=0,0,'Revenue &amp; Durability'!G$145/'Acquisition Schedule'!G$20)</f>
        <v>0.89712000000000003</v>
      </c>
      <c r="H207" s="88">
        <f>IF('Acquisition Schedule'!G$20=0,0,'Revenue &amp; Durability'!H$145/'Acquisition Schedule'!G$20)</f>
        <v>0.83835863999999993</v>
      </c>
      <c r="I207" s="88">
        <f>IF('Acquisition Schedule'!G$20=0,0,'Revenue &amp; Durability'!I$145/'Acquisition Schedule'!G$20)</f>
        <v>0.78344614907999999</v>
      </c>
      <c r="J207" s="88">
        <f>IF('Acquisition Schedule'!G$20=0,0,'Revenue &amp; Durability'!J$145/'Acquisition Schedule'!G$20)</f>
        <v>0.73213042631526015</v>
      </c>
      <c r="K207" s="88">
        <f>IF('Acquisition Schedule'!G$20=0,0,'Revenue &amp; Durability'!K$145/'Acquisition Schedule'!G$20)</f>
        <v>0.68417588339161062</v>
      </c>
      <c r="L207" s="88">
        <f>IF('Acquisition Schedule'!G$20=0,0,'Revenue &amp; Durability'!L$145/'Acquisition Schedule'!G$20)</f>
        <v>0.63936236302946015</v>
      </c>
      <c r="M207" s="88">
        <f>IF('Acquisition Schedule'!G$20=0,0,'Revenue &amp; Durability'!M$145/'Acquisition Schedule'!G$20)</f>
        <v>0.59748412825103037</v>
      </c>
      <c r="N207" s="88">
        <f>IF('Acquisition Schedule'!G$20=0,0,'Revenue &amp; Durability'!N$145/'Acquisition Schedule'!G$20)</f>
        <v>0.55834891785058804</v>
      </c>
      <c r="O207" s="2"/>
      <c r="P207" s="2"/>
      <c r="Q207" s="2"/>
      <c r="R207" s="2"/>
      <c r="S207" s="2"/>
      <c r="T207" s="2"/>
      <c r="U207" s="2"/>
      <c r="V207" s="2"/>
    </row>
    <row r="208" spans="1:22" ht="15" customHeight="1" x14ac:dyDescent="0.3">
      <c r="A208" s="6" t="s">
        <v>1188</v>
      </c>
      <c r="B208" s="6" t="s">
        <v>265</v>
      </c>
      <c r="C208" s="6" t="s">
        <v>211</v>
      </c>
      <c r="D208" s="88">
        <f>IF('Acquisition Schedule'!H$20=0,0,'Revenue &amp; Durability'!D$146/'Acquisition Schedule'!H$20)</f>
        <v>0</v>
      </c>
      <c r="E208" s="88">
        <f>IF('Acquisition Schedule'!H$20=0,0,'Revenue &amp; Durability'!E$146/'Acquisition Schedule'!H$20)</f>
        <v>0</v>
      </c>
      <c r="F208" s="88">
        <f>IF('Acquisition Schedule'!H$20=0,0,'Revenue &amp; Durability'!F$146/'Acquisition Schedule'!H$20)</f>
        <v>0.48</v>
      </c>
      <c r="G208" s="88">
        <f>IF('Acquisition Schedule'!H$20=0,0,'Revenue &amp; Durability'!G$146/'Acquisition Schedule'!H$20)</f>
        <v>0.96</v>
      </c>
      <c r="H208" s="88">
        <f>IF('Acquisition Schedule'!H$20=0,0,'Revenue &amp; Durability'!H$146/'Acquisition Schedule'!H$20)</f>
        <v>0.89712000000000003</v>
      </c>
      <c r="I208" s="88">
        <f>IF('Acquisition Schedule'!H$20=0,0,'Revenue &amp; Durability'!I$146/'Acquisition Schedule'!H$20)</f>
        <v>0.83835863999999993</v>
      </c>
      <c r="J208" s="88">
        <f>IF('Acquisition Schedule'!H$20=0,0,'Revenue &amp; Durability'!J$146/'Acquisition Schedule'!H$20)</f>
        <v>0.78344614907999999</v>
      </c>
      <c r="K208" s="88">
        <f>IF('Acquisition Schedule'!H$20=0,0,'Revenue &amp; Durability'!K$146/'Acquisition Schedule'!H$20)</f>
        <v>0.73213042631526015</v>
      </c>
      <c r="L208" s="88">
        <f>IF('Acquisition Schedule'!H$20=0,0,'Revenue &amp; Durability'!L$146/'Acquisition Schedule'!H$20)</f>
        <v>0.68417588339161062</v>
      </c>
      <c r="M208" s="88">
        <f>IF('Acquisition Schedule'!H$20=0,0,'Revenue &amp; Durability'!M$146/'Acquisition Schedule'!H$20)</f>
        <v>0.63936236302946015</v>
      </c>
      <c r="N208" s="88">
        <f>IF('Acquisition Schedule'!H$20=0,0,'Revenue &amp; Durability'!N$146/'Acquisition Schedule'!H$20)</f>
        <v>0.59748412825103037</v>
      </c>
      <c r="O208" s="2"/>
      <c r="P208" s="2"/>
      <c r="Q208" s="2"/>
      <c r="R208" s="2"/>
      <c r="S208" s="2"/>
      <c r="T208" s="2"/>
      <c r="U208" s="2"/>
      <c r="V208" s="2"/>
    </row>
    <row r="209" spans="1:22" ht="15" customHeight="1" x14ac:dyDescent="0.3">
      <c r="A209" s="6" t="s">
        <v>1189</v>
      </c>
      <c r="B209" s="6" t="s">
        <v>265</v>
      </c>
      <c r="C209" s="6" t="s">
        <v>211</v>
      </c>
      <c r="D209" s="88">
        <f>IF('Acquisition Schedule'!I$20=0,0,'Revenue &amp; Durability'!D$147/'Acquisition Schedule'!I$20)</f>
        <v>0</v>
      </c>
      <c r="E209" s="88">
        <f>IF('Acquisition Schedule'!I$20=0,0,'Revenue &amp; Durability'!E$147/'Acquisition Schedule'!I$20)</f>
        <v>0</v>
      </c>
      <c r="F209" s="88">
        <f>IF('Acquisition Schedule'!I$20=0,0,'Revenue &amp; Durability'!F$147/'Acquisition Schedule'!I$20)</f>
        <v>0</v>
      </c>
      <c r="G209" s="88">
        <f>IF('Acquisition Schedule'!I$20=0,0,'Revenue &amp; Durability'!G$147/'Acquisition Schedule'!I$20)</f>
        <v>0.48</v>
      </c>
      <c r="H209" s="88">
        <f>IF('Acquisition Schedule'!I$20=0,0,'Revenue &amp; Durability'!H$147/'Acquisition Schedule'!I$20)</f>
        <v>0.96</v>
      </c>
      <c r="I209" s="88">
        <f>IF('Acquisition Schedule'!I$20=0,0,'Revenue &amp; Durability'!I$147/'Acquisition Schedule'!I$20)</f>
        <v>0.89712000000000003</v>
      </c>
      <c r="J209" s="88">
        <f>IF('Acquisition Schedule'!I$20=0,0,'Revenue &amp; Durability'!J$147/'Acquisition Schedule'!I$20)</f>
        <v>0.83835864000000004</v>
      </c>
      <c r="K209" s="88">
        <f>IF('Acquisition Schedule'!I$20=0,0,'Revenue &amp; Durability'!K$147/'Acquisition Schedule'!I$20)</f>
        <v>0.78344614907999999</v>
      </c>
      <c r="L209" s="88">
        <f>IF('Acquisition Schedule'!I$20=0,0,'Revenue &amp; Durability'!L$147/'Acquisition Schedule'!I$20)</f>
        <v>0.73213042631526015</v>
      </c>
      <c r="M209" s="88">
        <f>IF('Acquisition Schedule'!I$20=0,0,'Revenue &amp; Durability'!M$147/'Acquisition Schedule'!I$20)</f>
        <v>0.68417588339161062</v>
      </c>
      <c r="N209" s="88">
        <f>IF('Acquisition Schedule'!I$20=0,0,'Revenue &amp; Durability'!N$147/'Acquisition Schedule'!I$20)</f>
        <v>0.63936236302946015</v>
      </c>
      <c r="O209" s="2"/>
      <c r="P209" s="2"/>
      <c r="Q209" s="2"/>
      <c r="R209" s="2"/>
      <c r="S209" s="2"/>
      <c r="T209" s="2"/>
      <c r="U209" s="2"/>
      <c r="V209" s="2"/>
    </row>
    <row r="210" spans="1:22" ht="15" customHeight="1" x14ac:dyDescent="0.3">
      <c r="A210" s="6" t="s">
        <v>1190</v>
      </c>
      <c r="B210" s="6" t="s">
        <v>265</v>
      </c>
      <c r="C210" s="6" t="s">
        <v>211</v>
      </c>
      <c r="D210" s="88">
        <f>IF('Acquisition Schedule'!J$20=0,0,'Revenue &amp; Durability'!D$148/'Acquisition Schedule'!J$20)</f>
        <v>0</v>
      </c>
      <c r="E210" s="88">
        <f>IF('Acquisition Schedule'!J$20=0,0,'Revenue &amp; Durability'!E$148/'Acquisition Schedule'!J$20)</f>
        <v>0</v>
      </c>
      <c r="F210" s="88">
        <f>IF('Acquisition Schedule'!J$20=0,0,'Revenue &amp; Durability'!F$148/'Acquisition Schedule'!J$20)</f>
        <v>0</v>
      </c>
      <c r="G210" s="88">
        <f>IF('Acquisition Schedule'!J$20=0,0,'Revenue &amp; Durability'!G$148/'Acquisition Schedule'!J$20)</f>
        <v>0</v>
      </c>
      <c r="H210" s="88">
        <f>IF('Acquisition Schedule'!J$20=0,0,'Revenue &amp; Durability'!H$148/'Acquisition Schedule'!J$20)</f>
        <v>0.48</v>
      </c>
      <c r="I210" s="88">
        <f>IF('Acquisition Schedule'!J$20=0,0,'Revenue &amp; Durability'!I$148/'Acquisition Schedule'!J$20)</f>
        <v>0.96</v>
      </c>
      <c r="J210" s="88">
        <f>IF('Acquisition Schedule'!J$20=0,0,'Revenue &amp; Durability'!J$148/'Acquisition Schedule'!J$20)</f>
        <v>0.89712000000000003</v>
      </c>
      <c r="K210" s="88">
        <f>IF('Acquisition Schedule'!J$20=0,0,'Revenue &amp; Durability'!K$148/'Acquisition Schedule'!J$20)</f>
        <v>0.83835863999999993</v>
      </c>
      <c r="L210" s="88">
        <f>IF('Acquisition Schedule'!J$20=0,0,'Revenue &amp; Durability'!L$148/'Acquisition Schedule'!J$20)</f>
        <v>0.78344614907999999</v>
      </c>
      <c r="M210" s="88">
        <f>IF('Acquisition Schedule'!J$20=0,0,'Revenue &amp; Durability'!M$148/'Acquisition Schedule'!J$20)</f>
        <v>0.73213042631526015</v>
      </c>
      <c r="N210" s="88">
        <f>IF('Acquisition Schedule'!J$20=0,0,'Revenue &amp; Durability'!N$148/'Acquisition Schedule'!J$20)</f>
        <v>0.68417588339161062</v>
      </c>
      <c r="O210" s="2"/>
      <c r="P210" s="2"/>
      <c r="Q210" s="2"/>
      <c r="R210" s="2"/>
      <c r="S210" s="2"/>
      <c r="T210" s="2"/>
      <c r="U210" s="2"/>
      <c r="V210" s="2"/>
    </row>
    <row r="211" spans="1:22" ht="15" customHeight="1" x14ac:dyDescent="0.3">
      <c r="A211" s="6" t="s">
        <v>1191</v>
      </c>
      <c r="B211" s="6" t="s">
        <v>265</v>
      </c>
      <c r="C211" s="6" t="s">
        <v>211</v>
      </c>
      <c r="D211" s="88">
        <f>IF('Acquisition Schedule'!K$20=0,0,'Revenue &amp; Durability'!D$149/'Acquisition Schedule'!K$20)</f>
        <v>0</v>
      </c>
      <c r="E211" s="88">
        <f>IF('Acquisition Schedule'!K$20=0,0,'Revenue &amp; Durability'!E$149/'Acquisition Schedule'!K$20)</f>
        <v>0</v>
      </c>
      <c r="F211" s="88">
        <f>IF('Acquisition Schedule'!K$20=0,0,'Revenue &amp; Durability'!F$149/'Acquisition Schedule'!K$20)</f>
        <v>0</v>
      </c>
      <c r="G211" s="88">
        <f>IF('Acquisition Schedule'!K$20=0,0,'Revenue &amp; Durability'!G$149/'Acquisition Schedule'!K$20)</f>
        <v>0</v>
      </c>
      <c r="H211" s="88">
        <f>IF('Acquisition Schedule'!K$20=0,0,'Revenue &amp; Durability'!H$149/'Acquisition Schedule'!K$20)</f>
        <v>0</v>
      </c>
      <c r="I211" s="88">
        <f>IF('Acquisition Schedule'!K$20=0,0,'Revenue &amp; Durability'!I$149/'Acquisition Schedule'!K$20)</f>
        <v>0.48</v>
      </c>
      <c r="J211" s="88">
        <f>IF('Acquisition Schedule'!K$20=0,0,'Revenue &amp; Durability'!J$149/'Acquisition Schedule'!K$20)</f>
        <v>0.96</v>
      </c>
      <c r="K211" s="88">
        <f>IF('Acquisition Schedule'!K$20=0,0,'Revenue &amp; Durability'!K$149/'Acquisition Schedule'!K$20)</f>
        <v>0.89712000000000003</v>
      </c>
      <c r="L211" s="88">
        <f>IF('Acquisition Schedule'!K$20=0,0,'Revenue &amp; Durability'!L$149/'Acquisition Schedule'!K$20)</f>
        <v>0.83835863999999993</v>
      </c>
      <c r="M211" s="88">
        <f>IF('Acquisition Schedule'!K$20=0,0,'Revenue &amp; Durability'!M$149/'Acquisition Schedule'!K$20)</f>
        <v>0.78344614907999999</v>
      </c>
      <c r="N211" s="88">
        <f>IF('Acquisition Schedule'!K$20=0,0,'Revenue &amp; Durability'!N$149/'Acquisition Schedule'!K$20)</f>
        <v>0.73213042631526015</v>
      </c>
      <c r="O211" s="2"/>
      <c r="P211" s="2"/>
      <c r="Q211" s="2"/>
      <c r="R211" s="2"/>
      <c r="S211" s="2"/>
      <c r="T211" s="2"/>
      <c r="U211" s="2"/>
      <c r="V211" s="2"/>
    </row>
    <row r="212" spans="1:22" ht="15" customHeight="1" x14ac:dyDescent="0.3">
      <c r="A212" s="6" t="s">
        <v>1192</v>
      </c>
      <c r="B212" s="6" t="s">
        <v>265</v>
      </c>
      <c r="C212" s="6" t="s">
        <v>211</v>
      </c>
      <c r="D212" s="88">
        <f>IF('Acquisition Schedule'!L$20=0,0,'Revenue &amp; Durability'!D$150/'Acquisition Schedule'!L$20)</f>
        <v>0</v>
      </c>
      <c r="E212" s="88">
        <f>IF('Acquisition Schedule'!L$20=0,0,'Revenue &amp; Durability'!E$150/'Acquisition Schedule'!L$20)</f>
        <v>0</v>
      </c>
      <c r="F212" s="88">
        <f>IF('Acquisition Schedule'!L$20=0,0,'Revenue &amp; Durability'!F$150/'Acquisition Schedule'!L$20)</f>
        <v>0</v>
      </c>
      <c r="G212" s="88">
        <f>IF('Acquisition Schedule'!L$20=0,0,'Revenue &amp; Durability'!G$150/'Acquisition Schedule'!L$20)</f>
        <v>0</v>
      </c>
      <c r="H212" s="88">
        <f>IF('Acquisition Schedule'!L$20=0,0,'Revenue &amp; Durability'!H$150/'Acquisition Schedule'!L$20)</f>
        <v>0</v>
      </c>
      <c r="I212" s="88">
        <f>IF('Acquisition Schedule'!L$20=0,0,'Revenue &amp; Durability'!I$150/'Acquisition Schedule'!L$20)</f>
        <v>0</v>
      </c>
      <c r="J212" s="88">
        <f>IF('Acquisition Schedule'!L$20=0,0,'Revenue &amp; Durability'!J$150/'Acquisition Schedule'!L$20)</f>
        <v>0.48</v>
      </c>
      <c r="K212" s="88">
        <f>IF('Acquisition Schedule'!L$20=0,0,'Revenue &amp; Durability'!K$150/'Acquisition Schedule'!L$20)</f>
        <v>0.96</v>
      </c>
      <c r="L212" s="88">
        <f>IF('Acquisition Schedule'!L$20=0,0,'Revenue &amp; Durability'!L$150/'Acquisition Schedule'!L$20)</f>
        <v>0.89712000000000003</v>
      </c>
      <c r="M212" s="88">
        <f>IF('Acquisition Schedule'!L$20=0,0,'Revenue &amp; Durability'!M$150/'Acquisition Schedule'!L$20)</f>
        <v>0.83835863999999993</v>
      </c>
      <c r="N212" s="88">
        <f>IF('Acquisition Schedule'!L$20=0,0,'Revenue &amp; Durability'!N$150/'Acquisition Schedule'!L$20)</f>
        <v>0.78344614907999999</v>
      </c>
      <c r="O212" s="2"/>
      <c r="P212" s="2"/>
      <c r="Q212" s="2"/>
      <c r="R212" s="2"/>
      <c r="S212" s="2"/>
      <c r="T212" s="2"/>
      <c r="U212" s="2"/>
      <c r="V212" s="2"/>
    </row>
    <row r="213" spans="1:22" ht="15" customHeight="1" x14ac:dyDescent="0.3">
      <c r="A213" s="6" t="s">
        <v>1193</v>
      </c>
      <c r="B213" s="6" t="s">
        <v>265</v>
      </c>
      <c r="C213" s="6" t="s">
        <v>211</v>
      </c>
      <c r="D213" s="88">
        <f>IF('Acquisition Schedule'!M$20=0,0,'Revenue &amp; Durability'!D$151/'Acquisition Schedule'!M$20)</f>
        <v>0</v>
      </c>
      <c r="E213" s="88">
        <f>IF('Acquisition Schedule'!M$20=0,0,'Revenue &amp; Durability'!E$151/'Acquisition Schedule'!M$20)</f>
        <v>0</v>
      </c>
      <c r="F213" s="88">
        <f>IF('Acquisition Schedule'!M$20=0,0,'Revenue &amp; Durability'!F$151/'Acquisition Schedule'!M$20)</f>
        <v>0</v>
      </c>
      <c r="G213" s="88">
        <f>IF('Acquisition Schedule'!M$20=0,0,'Revenue &amp; Durability'!G$151/'Acquisition Schedule'!M$20)</f>
        <v>0</v>
      </c>
      <c r="H213" s="88">
        <f>IF('Acquisition Schedule'!M$20=0,0,'Revenue &amp; Durability'!H$151/'Acquisition Schedule'!M$20)</f>
        <v>0</v>
      </c>
      <c r="I213" s="88">
        <f>IF('Acquisition Schedule'!M$20=0,0,'Revenue &amp; Durability'!I$151/'Acquisition Schedule'!M$20)</f>
        <v>0</v>
      </c>
      <c r="J213" s="88">
        <f>IF('Acquisition Schedule'!M$20=0,0,'Revenue &amp; Durability'!J$151/'Acquisition Schedule'!M$20)</f>
        <v>0</v>
      </c>
      <c r="K213" s="88">
        <f>IF('Acquisition Schedule'!M$20=0,0,'Revenue &amp; Durability'!K$151/'Acquisition Schedule'!M$20)</f>
        <v>0.48</v>
      </c>
      <c r="L213" s="88">
        <f>IF('Acquisition Schedule'!M$20=0,0,'Revenue &amp; Durability'!L$151/'Acquisition Schedule'!M$20)</f>
        <v>0.96</v>
      </c>
      <c r="M213" s="88">
        <f>IF('Acquisition Schedule'!M$20=0,0,'Revenue &amp; Durability'!M$151/'Acquisition Schedule'!M$20)</f>
        <v>0.89712000000000003</v>
      </c>
      <c r="N213" s="88">
        <f>IF('Acquisition Schedule'!M$20=0,0,'Revenue &amp; Durability'!N$151/'Acquisition Schedule'!M$20)</f>
        <v>0.83835863999999993</v>
      </c>
      <c r="O213" s="2"/>
      <c r="P213" s="2"/>
      <c r="Q213" s="2"/>
      <c r="R213" s="2"/>
      <c r="S213" s="2"/>
      <c r="T213" s="2"/>
      <c r="U213" s="2"/>
      <c r="V213" s="2"/>
    </row>
    <row r="214" spans="1:22" ht="15" customHeight="1" x14ac:dyDescent="0.3">
      <c r="A214" s="2"/>
      <c r="B214" s="2"/>
      <c r="C214" s="2"/>
      <c r="D214" s="2"/>
      <c r="E214" s="2"/>
      <c r="F214" s="2"/>
      <c r="G214" s="2"/>
      <c r="H214" s="2"/>
      <c r="I214" s="2"/>
      <c r="J214" s="2"/>
      <c r="K214" s="2"/>
      <c r="L214" s="2"/>
      <c r="M214" s="2"/>
      <c r="N214" s="2"/>
      <c r="O214" s="2"/>
      <c r="P214" s="2"/>
      <c r="Q214" s="2"/>
      <c r="R214" s="2"/>
      <c r="S214" s="2"/>
      <c r="T214" s="2"/>
      <c r="U214" s="2"/>
      <c r="V214" s="2"/>
    </row>
    <row r="215" spans="1:22" ht="15" customHeight="1" x14ac:dyDescent="0.3">
      <c r="A215" s="6" t="s">
        <v>1194</v>
      </c>
      <c r="B215" s="6" t="s">
        <v>219</v>
      </c>
      <c r="C215" s="6" t="s">
        <v>211</v>
      </c>
      <c r="D215" s="63">
        <f>D$122*D206+E$122*D207+F$122*D208+G$122*D209+H$122*D210+I$122*D211+J$122*D212+K$122*D213</f>
        <v>6.72</v>
      </c>
      <c r="E215" s="63">
        <f>D$122*E206+E$122*E207+F$122*E208+G$122*E209+H$122*E210+I$122*E211+J$122*E212+K$122*E213</f>
        <v>9.6</v>
      </c>
      <c r="F215" s="63">
        <f>D$122*F206+E$122*F207+F$122*F208+G$122*F209+H$122*F210+I$122*F211+J$122*F212+K$122*F213</f>
        <v>14.919840000000001</v>
      </c>
      <c r="G215" s="63">
        <f>D$122*G206+E$122*G207+F$122*G208+G$122*G209+H$122*G210+I$122*G211+J$122*G212+K$122*G213</f>
        <v>24.211230480000001</v>
      </c>
      <c r="H215" s="63">
        <f>D$122*H206+E$122*H207+F$122*H208+G$122*H209+H$122*H210+I$122*H211+J$122*H212+K$122*H213</f>
        <v>33.176994883559999</v>
      </c>
      <c r="I215" s="63">
        <f>D$122*I206+E$122*I207+F$122*I208+G$122*I209+H$122*I210+I$122*I211+J$122*I212+K$122*I213</f>
        <v>36.952541718686824</v>
      </c>
      <c r="J215" s="63">
        <f>D$122*J206+E$122*J207+F$122*J208+G$122*J209+H$122*J210+I$122*J211+J$122*J212+K$122*J213</f>
        <v>40.480790236112838</v>
      </c>
      <c r="K215" s="63">
        <f>D$122*K206+E$122*K207+F$122*K208+G$122*K209+H$122*K210+I$122*K211+J$122*K212+K$122*K213</f>
        <v>43.777938475647446</v>
      </c>
      <c r="L215" s="63">
        <f>D$122*L206+E$122*L207+F$122*L208+G$122*L209+H$122*L210+I$122*L211+J$122*L212+K$122*L213</f>
        <v>43.979123505492538</v>
      </c>
      <c r="M215" s="63">
        <f>D$122*M206+E$122*M207+F$122*M208+G$122*M209+H$122*M210+I$122*M211+J$122*M212+K$122*M213</f>
        <v>41.098490915882785</v>
      </c>
      <c r="N215" s="63">
        <f>D$122*N206+E$122*N207+F$122*N208+G$122*N209+H$122*N210+I$122*N211+J$122*N212+K$122*N213</f>
        <v>38.406539760892464</v>
      </c>
      <c r="O215" s="2"/>
      <c r="P215" s="2"/>
      <c r="Q215" s="2"/>
      <c r="R215" s="2"/>
      <c r="S215" s="2"/>
      <c r="T215" s="2"/>
      <c r="U215" s="2"/>
      <c r="V215" s="2"/>
    </row>
    <row r="216" spans="1:22" ht="15" customHeight="1" x14ac:dyDescent="0.3">
      <c r="A216" s="6" t="s">
        <v>1195</v>
      </c>
      <c r="B216" s="6" t="s">
        <v>218</v>
      </c>
      <c r="C216" s="6" t="s">
        <v>211</v>
      </c>
      <c r="D216" s="13">
        <f>(D$119*D206+E$119*D207+F$119*D208+G$119*D209+H$119*D210+I$119*D211+J$119*D212+K$119*D213)*(1+INDEX(Assumptions!$D$88:$F$88,1,3))^0</f>
        <v>1031183.4512611006</v>
      </c>
      <c r="E216" s="13">
        <f>(D$119*E206+E$119*E207+F$119*E208+G$119*E209+H$119*E210+I$119*E211+J$119*E212+K$119*E213)*(1+INDEX(Assumptions!$D$88:$F$88,1,3))^0</f>
        <v>1413583.9999267862</v>
      </c>
      <c r="F216" s="13">
        <f>(D$119*F206+E$119*F207+F$119*F208+G$119*F209+H$119*F210+I$119*F211+J$119*F212+K$119*F213)*(1+INDEX(Assumptions!$D$88:$F$88,1,3))^1</f>
        <v>2165724.4883117694</v>
      </c>
      <c r="G216" s="13">
        <f>(D$119*G206+E$119*G207+F$119*G208+G$119*G209+H$119*G210+I$119*G211+J$119*G212+K$119*G213)*(1+INDEX(Assumptions!$D$88:$F$88,1,3))^2</f>
        <v>3631396.6779440311</v>
      </c>
      <c r="H216" s="13">
        <f>(D$119*H206+E$119*H207+F$119*H208+G$119*H209+H$119*H210+I$119*H211+J$119*H212+K$119*H213)*(1+INDEX(Assumptions!$D$88:$F$88,1,3))^3</f>
        <v>5125724.5012231674</v>
      </c>
      <c r="I216" s="13">
        <f>(D$119*I206+E$119*I207+F$119*I208+G$119*I209+H$119*I210+I$119*I211+J$119*I212+K$119*I213)*(1+INDEX(Assumptions!$D$88:$F$88,1,3))^4</f>
        <v>5789781.3498069085</v>
      </c>
      <c r="J216" s="13">
        <f>(D$119*J206+E$119*J207+F$119*J208+G$119*J209+H$119*J210+I$119*J211+J$119*J212+K$119*J213)*(1+INDEX(Assumptions!$D$88:$F$88,1,3))^5</f>
        <v>6449233.6180138532</v>
      </c>
      <c r="K216" s="13">
        <f>(D$119*K206+E$119*K207+F$119*K208+G$119*K209+H$119*K210+I$119*K211+J$119*K212+K$119*K213)*(1+INDEX(Assumptions!$D$88:$F$88,1,3))^6</f>
        <v>7104862.6987721054</v>
      </c>
      <c r="L216" s="13">
        <f>(D$119*L206+E$119*L207+F$119*L208+G$119*L209+H$119*L210+I$119*L211+J$119*L212+K$119*L213)*(1+INDEX(Assumptions!$D$88:$F$88,1,3))^7</f>
        <v>7299765.7160563376</v>
      </c>
      <c r="M216" s="13">
        <f>(D$119*M206+E$119*M207+F$119*M208+G$119*M209+H$119*M210+I$119*M211+J$119*M212+K$119*M213)*(1+INDEX(Assumptions!$D$88:$F$88,1,3))^8</f>
        <v>6998993.4692576677</v>
      </c>
      <c r="N216" s="13">
        <f>(D$119*N206+E$119*N207+F$119*N208+G$119*N209+H$119*N210+I$119*N211+J$119*N212+K$119*N213)*(1+INDEX(Assumptions!$D$88:$F$88,1,3))^9</f>
        <v>6710613.9413438439</v>
      </c>
      <c r="O216" s="2"/>
      <c r="P216" s="2"/>
      <c r="Q216" s="2"/>
      <c r="R216" s="2"/>
      <c r="S216" s="2"/>
      <c r="T216" s="2"/>
      <c r="U216" s="2"/>
      <c r="V216" s="2"/>
    </row>
    <row r="217" spans="1:22" ht="15" customHeight="1" x14ac:dyDescent="0.3">
      <c r="A217" s="6" t="s">
        <v>1196</v>
      </c>
      <c r="B217" s="6" t="s">
        <v>219</v>
      </c>
      <c r="C217" s="6" t="s">
        <v>211</v>
      </c>
      <c r="D217" s="63">
        <f>D$123*D206+E$123*D207+F$123*D208+G$123*D209+H$123*D210+I$123*D211+J$123*D212+K$123*D213</f>
        <v>11.52</v>
      </c>
      <c r="E217" s="63">
        <f>D$123*E206+E$123*E207+F$123*E208+G$123*E209+H$123*E210+I$123*E211+J$123*E212+K$123*E213</f>
        <v>16.32</v>
      </c>
      <c r="F217" s="63">
        <f>D$123*F206+E$123*F207+F$123*F208+G$123*F209+H$123*F210+I$123*F211+J$123*F212+K$123*F213</f>
        <v>25.16544</v>
      </c>
      <c r="G217" s="63">
        <f>D$123*G206+E$123*G207+F$123*G208+G$123*G209+H$123*G210+I$123*G211+J$123*G212+K$123*G213</f>
        <v>40.631503680000002</v>
      </c>
      <c r="H217" s="63">
        <f>D$123*H206+E$123*H207+F$123*H208+G$123*H209+H$123*H210+I$123*H211+J$123*H212+K$123*H213</f>
        <v>55.556140188960001</v>
      </c>
      <c r="I217" s="63">
        <f>D$123*I206+E$123*I207+F$123*I208+G$123*I209+H$123*I210+I$123*I211+J$123*I212+K$123*I213</f>
        <v>61.831613006583119</v>
      </c>
      <c r="J217" s="63">
        <f>D$123*J206+E$123*J207+F$123*J208+G$123*J209+H$123*J210+I$123*J211+J$123*J212+K$123*J213</f>
        <v>67.696042354651937</v>
      </c>
      <c r="K217" s="63">
        <f>D$123*K206+E$123*K207+F$123*K208+G$123*K209+H$123*K210+I$123*K211+J$123*K212+K$123*K213</f>
        <v>73.176351580422221</v>
      </c>
      <c r="L217" s="63">
        <f>D$123*L206+E$123*L207+F$123*L208+G$123*L209+H$123*L210+I$123*L211+J$123*L212+K$123*L213</f>
        <v>73.497700551904572</v>
      </c>
      <c r="M217" s="63">
        <f>D$123*M206+E$123*M207+F$123*M208+G$123*M209+H$123*M210+I$123*M211+J$123*M212+K$123*M213</f>
        <v>68.683601165754837</v>
      </c>
      <c r="N217" s="63">
        <f>D$123*N206+E$123*N207+F$123*N208+G$123*N209+H$123*N210+I$123*N211+J$123*N212+K$123*N213</f>
        <v>64.184825289397878</v>
      </c>
      <c r="O217" s="2"/>
      <c r="P217" s="2"/>
      <c r="Q217" s="2"/>
      <c r="R217" s="2"/>
      <c r="S217" s="2"/>
      <c r="T217" s="2"/>
      <c r="U217" s="2"/>
      <c r="V217" s="2"/>
    </row>
    <row r="218" spans="1:22" ht="15" customHeight="1" x14ac:dyDescent="0.3">
      <c r="A218" s="1" t="s">
        <v>242</v>
      </c>
      <c r="B218" s="6" t="s">
        <v>218</v>
      </c>
      <c r="C218" s="6" t="s">
        <v>211</v>
      </c>
      <c r="D218" s="39">
        <f>(D$120*D206+E$120*D207+F$120*D208+G$120*D209+H$120*D210+I$120*D211+J$120*D212+K$120*D213)*(1+INDEX(Assumptions!$D$88:$F$88,1,3))^0*(1-Assumptions!$D$8)</f>
        <v>1370878.7118643895</v>
      </c>
      <c r="E218" s="39">
        <f>(D$120*E206+E$120*E207+F$120*E208+G$120*E209+H$120*E210+I$120*E211+J$120*E212+K$120*E213)*(1+INDEX(Assumptions!$D$88:$F$88,1,3))^0*(1-Assumptions!$D$8)</f>
        <v>1858538.6368806958</v>
      </c>
      <c r="F218" s="39">
        <f>(D$120*F206+E$120*F207+F$120*F208+G$120*F209+H$120*F210+I$120*F211+J$120*F212+K$120*F213)*(1+INDEX(Assumptions!$D$88:$F$88,1,3))^1*(1-Assumptions!$D$8)</f>
        <v>2815411.6454996322</v>
      </c>
      <c r="G218" s="39">
        <f>(D$120*G206+E$120*G207+F$120*G208+G$120*G209+H$120*G210+I$120*G211+J$120*G212+K$120*G213)*(1+INDEX(Assumptions!$D$88:$F$88,1,3))^2*(1-Assumptions!$D$8)</f>
        <v>4685009.8543340508</v>
      </c>
      <c r="H218" s="39">
        <f>(D$120*H206+E$120*H207+F$120*H208+G$120*H209+H$120*H210+I$120*H211+J$120*H212+K$120*H213)*(1+INDEX(Assumptions!$D$88:$F$88,1,3))^3*(1-Assumptions!$D$8)</f>
        <v>6591382.3447504994</v>
      </c>
      <c r="I218" s="39">
        <f>(D$120*I206+E$120*I207+F$120*I208+G$120*I209+H$120*I210+I$120*I211+J$120*I212+K$120*I213)*(1+INDEX(Assumptions!$D$88:$F$88,1,3))^4*(1-Assumptions!$D$8)</f>
        <v>7435971.1246943614</v>
      </c>
      <c r="J218" s="39">
        <f>(D$120*J206+E$120*J207+F$120*J208+G$120*J209+H$120*J210+I$120*J211+J$120*J212+K$120*J213)*(1+INDEX(Assumptions!$D$88:$F$88,1,3))^5*(1-Assumptions!$D$8)</f>
        <v>8274780.8243122585</v>
      </c>
      <c r="K218" s="39">
        <f>(D$120*K206+E$120*K207+F$120*K208+G$120*K209+H$120*K210+I$120*K211+J$120*K212+K$120*K213)*(1+INDEX(Assumptions!$D$88:$F$88,1,3))^6*(1-Assumptions!$D$8)</f>
        <v>9108804.0923413821</v>
      </c>
      <c r="L218" s="39">
        <f>(D$120*L206+E$120*L207+F$120*L208+G$120*L209+H$120*L210+I$120*L211+J$120*L212+K$120*L213)*(1+INDEX(Assumptions!$D$88:$F$88,1,3))^7*(1-Assumptions!$D$8)</f>
        <v>9355367.5322894976</v>
      </c>
      <c r="M218" s="39">
        <f>(D$120*M206+E$120*M207+F$120*M208+G$120*M209+H$120*M210+I$120*M211+J$120*M212+K$120*M213)*(1+INDEX(Assumptions!$D$88:$F$88,1,3))^8*(1-Assumptions!$D$8)</f>
        <v>8969898.3238565736</v>
      </c>
      <c r="N218" s="39">
        <f>(D$120*N206+E$120*N207+F$120*N208+G$120*N209+H$120*N210+I$120*N211+J$120*N212+K$120*N213)*(1+INDEX(Assumptions!$D$88:$F$88,1,3))^9*(1-Assumptions!$D$8)</f>
        <v>8600311.60321871</v>
      </c>
      <c r="O218" s="2"/>
      <c r="P218" s="2"/>
      <c r="Q218" s="2"/>
      <c r="R218" s="2"/>
      <c r="S218" s="2"/>
      <c r="T218" s="2"/>
      <c r="U218" s="2"/>
      <c r="V218" s="2"/>
    </row>
    <row r="219" spans="1:22" ht="15" customHeight="1" x14ac:dyDescent="0.3">
      <c r="A219" s="6" t="s">
        <v>1197</v>
      </c>
      <c r="B219" s="6" t="s">
        <v>219</v>
      </c>
      <c r="C219" s="6" t="s">
        <v>211</v>
      </c>
      <c r="D219" s="63">
        <f>D$124*D206+E$124*D207+F$124*D208+G$124*D209+H$124*D210+I$124*D211+J$124*D212+K$124*D213</f>
        <v>2.88</v>
      </c>
      <c r="E219" s="63">
        <f>D$124*E206+E$124*E207+F$124*E208+G$124*E209+H$124*E210+I$124*E211+J$124*E212+K$124*E213</f>
        <v>4.32</v>
      </c>
      <c r="F219" s="63">
        <f>D$124*F206+E$124*F207+F$124*F208+G$124*F209+H$124*F210+I$124*F211+J$124*F212+K$124*F213</f>
        <v>7.0113599999999998</v>
      </c>
      <c r="G219" s="63">
        <f>D$124*G206+E$124*G207+F$124*G208+G$124*G209+H$124*G210+I$124*G211+J$124*G212+K$124*G213</f>
        <v>10.966435919999999</v>
      </c>
      <c r="H219" s="63">
        <f>D$124*H206+E$124*H207+F$124*H208+G$124*H209+H$124*H210+I$124*H211+J$124*H212+K$124*H213</f>
        <v>14.756774367239998</v>
      </c>
      <c r="I219" s="63">
        <f>D$124*I206+E$124*I207+F$124*I208+G$124*I209+H$124*I210+I$124*I211+J$124*I212+K$124*I213</f>
        <v>16.764525646185781</v>
      </c>
      <c r="J219" s="63">
        <f>D$124*J206+E$124*J207+F$124*J208+G$124*J209+H$124*J210+I$124*J211+J$124*J212+K$124*J213</f>
        <v>18.640769216360614</v>
      </c>
      <c r="K219" s="63">
        <f>D$124*K206+E$124*K207+F$124*K208+G$124*K209+H$124*K210+I$124*K211+J$124*K212+K$124*K213</f>
        <v>20.394118832688992</v>
      </c>
      <c r="L219" s="63">
        <f>D$124*L206+E$124*L207+F$124*L208+G$124*L209+H$124*L210+I$124*L211+J$124*L212+K$124*L213</f>
        <v>20.592624049147865</v>
      </c>
      <c r="M219" s="63">
        <f>D$124*M206+E$124*M207+F$124*M208+G$124*M209+H$124*M210+I$124*M211+J$124*M212+K$124*M213</f>
        <v>19.24380717392868</v>
      </c>
      <c r="N219" s="63">
        <f>D$124*N206+E$124*N207+F$124*N208+G$124*N209+H$124*N210+I$124*N211+J$124*N212+K$124*N213</f>
        <v>17.983337804036353</v>
      </c>
      <c r="O219" s="2"/>
      <c r="P219" s="2"/>
      <c r="Q219" s="2"/>
      <c r="R219" s="2"/>
      <c r="S219" s="2"/>
      <c r="T219" s="2"/>
      <c r="U219" s="2"/>
      <c r="V219" s="2"/>
    </row>
    <row r="220" spans="1:22" ht="15" customHeight="1" x14ac:dyDescent="0.3">
      <c r="A220" s="6" t="s">
        <v>1198</v>
      </c>
      <c r="B220" s="6" t="s">
        <v>218</v>
      </c>
      <c r="C220" s="6" t="s">
        <v>211</v>
      </c>
      <c r="D220" s="13">
        <f>(D$121*D206+E$121*D207+F$121*D208+G$121*D209+H$121*D210+I$121*D211+J$121*D212+K$121*D213)*(1+INDEX(Assumptions!$D$88:$F$88,1,3))^0</f>
        <v>553779.39801420085</v>
      </c>
      <c r="E220" s="13">
        <f>(D$121*E206+E$121*E207+F$121*E208+G$121*E209+H$121*E210+I$121*E211+J$121*E212+K$121*E213)*(1+INDEX(Assumptions!$D$88:$F$88,1,3))^0</f>
        <v>792159.50975959306</v>
      </c>
      <c r="F220" s="13">
        <f>(D$121*F206+E$121*F207+F$121*F208+G$121*F209+H$121*F210+I$121*F211+J$121*F212+K$121*F213)*(1+INDEX(Assumptions!$D$88:$F$88,1,3))^1</f>
        <v>1264696.0094301389</v>
      </c>
      <c r="G220" s="13">
        <f>(D$121*G206+E$121*G207+F$121*G208+G$121*G209+H$121*G210+I$121*G211+J$121*G212+K$121*G213)*(1+INDEX(Assumptions!$D$88:$F$88,1,3))^2</f>
        <v>2026878.1485968211</v>
      </c>
      <c r="H220" s="13">
        <f>(D$121*H206+E$121*H207+F$121*H208+G$121*H209+H$121*H210+I$121*H211+J$121*H212+K$121*H213)*(1+INDEX(Assumptions!$D$88:$F$88,1,3))^3</f>
        <v>2798718.4841067153</v>
      </c>
      <c r="I220" s="13">
        <f>(D$121*I206+E$121*I207+F$121*I208+G$121*I209+H$121*I210+I$121*I211+J$121*I212+K$121*I213)*(1+INDEX(Assumptions!$D$88:$F$88,1,3))^4</f>
        <v>3229015.8260877766</v>
      </c>
      <c r="J220" s="13">
        <f>(D$121*J206+E$121*J207+F$121*J208+G$121*J209+H$121*J210+I$121*J211+J$121*J212+K$121*J213)*(1+INDEX(Assumptions!$D$88:$F$88,1,3))^5</f>
        <v>3655769.5631189169</v>
      </c>
      <c r="K220" s="13">
        <f>(D$121*K206+E$121*K207+F$121*K208+G$121*K209+H$121*K210+I$121*K211+J$121*K212+K$121*K213)*(1+INDEX(Assumptions!$D$88:$F$88,1,3))^6</f>
        <v>4079494.5367021118</v>
      </c>
      <c r="L220" s="13">
        <f>(D$121*L206+E$121*L207+F$121*L208+G$121*L209+H$121*L210+I$121*L211+J$121*L212+K$121*L213)*(1+INDEX(Assumptions!$D$88:$F$88,1,3))^7</f>
        <v>4215394.1142740315</v>
      </c>
      <c r="M220" s="13">
        <f>(D$121*M206+E$121*M207+F$121*M208+G$121*M209+H$121*M210+I$121*M211+J$121*M212+K$121*M213)*(1+INDEX(Assumptions!$D$88:$F$88,1,3))^8</f>
        <v>4041707.2305835984</v>
      </c>
      <c r="N220" s="13">
        <f>(D$121*N206+E$121*N207+F$121*N208+G$121*N209+H$121*N210+I$121*N211+J$121*N212+K$121*N213)*(1+INDEX(Assumptions!$D$88:$F$88,1,3))^9</f>
        <v>3875176.7675618622</v>
      </c>
      <c r="O220" s="2"/>
      <c r="P220" s="2"/>
      <c r="Q220" s="2"/>
      <c r="R220" s="2"/>
      <c r="S220" s="2"/>
      <c r="T220" s="2"/>
      <c r="U220" s="2"/>
      <c r="V220" s="2"/>
    </row>
    <row r="221" spans="1:22" ht="15" customHeight="1" x14ac:dyDescent="0.3">
      <c r="A221" s="6" t="s">
        <v>1199</v>
      </c>
      <c r="B221" s="6" t="s">
        <v>219</v>
      </c>
      <c r="C221" s="6" t="s">
        <v>211</v>
      </c>
      <c r="D221" s="13">
        <f>SUMPRODUCT(('Revenue &amp; Durability'!D$175&gt;=$E$47:$E$60)*($R$47:$R$60)*($T$47:$T$60+($O$47:$O$60&gt;0)*-INT(-(('Revenue &amp; Durability'!D$175-$U$47:$U$60)*('Revenue &amp; Durability'!D$175&gt;$U$47:$U$60)/(($W$47:$W$60)+($W$47:$W$60=0))*(1+$P$47:$P$60*(1-1)))*$X$47:$X$60)/$X$47:$X$60))</f>
        <v>8</v>
      </c>
      <c r="E221" s="13">
        <f>SUMPRODUCT(('Revenue &amp; Durability'!E$175&gt;=$E$47:$E$60)*($R$47:$R$60)*($T$47:$T$60+($O$47:$O$60&gt;0)*-INT(-(('Revenue &amp; Durability'!E$175-$U$47:$U$60)*('Revenue &amp; Durability'!E$175&gt;$U$47:$U$60)/(($W$47:$W$60)+($W$47:$W$60=0))*(1+$P$47:$P$60*(1-1)))*$X$47:$X$60)/$X$47:$X$60))</f>
        <v>12.425000000000001</v>
      </c>
      <c r="F221" s="13">
        <f>SUMPRODUCT(('Revenue &amp; Durability'!F$175&gt;=$E$47:$E$60)*($R$47:$R$60)*($T$47:$T$60+($O$47:$O$60&gt;0)*-INT(-(('Revenue &amp; Durability'!F$175-$U$47:$U$60)*('Revenue &amp; Durability'!F$175&gt;$U$47:$U$60)/(($W$47:$W$60)+($W$47:$W$60=0))*(1+$P$47:$P$60*(1-1)))*$X$47:$X$60)/$X$47:$X$60))</f>
        <v>16.936626</v>
      </c>
      <c r="G221" s="13">
        <f>SUMPRODUCT(('Revenue &amp; Durability'!G$175&gt;=$E$47:$E$60)*($R$47:$R$60)*($T$47:$T$60+($O$47:$O$60&gt;0)*-INT(-(('Revenue &amp; Durability'!G$175-$U$47:$U$60)*('Revenue &amp; Durability'!G$175&gt;$U$47:$U$60)/(($W$47:$W$60)+($W$47:$W$60=0))*(1+$P$47:$P$60*(1-1)))*$X$47:$X$60)/$X$47:$X$60))</f>
        <v>26.875802</v>
      </c>
      <c r="H221" s="13">
        <f>SUMPRODUCT(('Revenue &amp; Durability'!H$175&gt;=$E$47:$E$60)*($R$47:$R$60)*($T$47:$T$60+($O$47:$O$60&gt;0)*-INT(-(('Revenue &amp; Durability'!H$175-$U$47:$U$60)*('Revenue &amp; Durability'!H$175&gt;$U$47:$U$60)/(($W$47:$W$60)+($W$47:$W$60=0))*(1+$P$47:$P$60*(1-1)))*$X$47:$X$60)/$X$47:$X$60))</f>
        <v>37.872923</v>
      </c>
      <c r="I221" s="13">
        <f>SUMPRODUCT(('Revenue &amp; Durability'!I$175&gt;=$E$47:$E$60)*($R$47:$R$60)*($T$47:$T$60+($O$47:$O$60&gt;0)*-INT(-(('Revenue &amp; Durability'!I$175-$U$47:$U$60)*('Revenue &amp; Durability'!I$175&gt;$U$47:$U$60)/(($W$47:$W$60)+($W$47:$W$60=0))*(1+$P$47:$P$60*(1-1)))*$X$47:$X$60)/$X$47:$X$60))</f>
        <v>46.6</v>
      </c>
      <c r="J221" s="13">
        <f>SUMPRODUCT(('Revenue &amp; Durability'!J$175&gt;=$E$47:$E$60)*($R$47:$R$60)*($T$47:$T$60+($O$47:$O$60&gt;0)*-INT(-(('Revenue &amp; Durability'!J$175-$U$47:$U$60)*('Revenue &amp; Durability'!J$175&gt;$U$47:$U$60)/(($W$47:$W$60)+($W$47:$W$60=0))*(1+$P$47:$P$60*(1-1)))*$X$47:$X$60)/$X$47:$X$60))</f>
        <v>46.6</v>
      </c>
      <c r="K221" s="13">
        <f>SUMPRODUCT(('Revenue &amp; Durability'!K$175&gt;=$E$47:$E$60)*($R$47:$R$60)*($T$47:$T$60+($O$47:$O$60&gt;0)*-INT(-(('Revenue &amp; Durability'!K$175-$U$47:$U$60)*('Revenue &amp; Durability'!K$175&gt;$U$47:$U$60)/(($W$47:$W$60)+($W$47:$W$60=0))*(1+$P$47:$P$60*(1-1)))*$X$47:$X$60)/$X$47:$X$60))</f>
        <v>46.6</v>
      </c>
      <c r="L221" s="13">
        <f>SUMPRODUCT(('Revenue &amp; Durability'!L$175&gt;=$E$47:$E$60)*($R$47:$R$60)*($T$47:$T$60+($O$47:$O$60&gt;0)*-INT(-(('Revenue &amp; Durability'!L$175-$U$47:$U$60)*('Revenue &amp; Durability'!L$175&gt;$U$47:$U$60)/(($W$47:$W$60)+($W$47:$W$60=0))*(1+$P$47:$P$60*(1-1)))*$X$47:$X$60)/$X$47:$X$60))</f>
        <v>46.6</v>
      </c>
      <c r="M221" s="13">
        <f>SUMPRODUCT(('Revenue &amp; Durability'!M$175&gt;=$E$47:$E$60)*($R$47:$R$60)*($T$47:$T$60+($O$47:$O$60&gt;0)*-INT(-(('Revenue &amp; Durability'!M$175-$U$47:$U$60)*('Revenue &amp; Durability'!M$175&gt;$U$47:$U$60)/(($W$47:$W$60)+($W$47:$W$60=0))*(1+$P$47:$P$60*(1-1)))*$X$47:$X$60)/$X$47:$X$60))</f>
        <v>46.6</v>
      </c>
      <c r="N221" s="13">
        <f>SUMPRODUCT(('Revenue &amp; Durability'!N$175&gt;=$E$47:$E$60)*($R$47:$R$60)*($T$47:$T$60+($O$47:$O$60&gt;0)*-INT(-(('Revenue &amp; Durability'!N$175-$U$47:$U$60)*('Revenue &amp; Durability'!N$175&gt;$U$47:$U$60)/(($W$47:$W$60)+($W$47:$W$60=0))*(1+$P$47:$P$60*(1-1)))*$X$47:$X$60)/$X$47:$X$60))</f>
        <v>46.6</v>
      </c>
      <c r="O221" s="2"/>
      <c r="P221" s="2"/>
      <c r="Q221" s="2"/>
      <c r="R221" s="2"/>
      <c r="S221" s="2"/>
      <c r="T221" s="2"/>
      <c r="U221" s="2"/>
      <c r="V221" s="2"/>
    </row>
    <row r="222" spans="1:22" ht="15" customHeight="1" x14ac:dyDescent="0.3">
      <c r="A222" s="1" t="s">
        <v>243</v>
      </c>
      <c r="B222" s="6" t="s">
        <v>218</v>
      </c>
      <c r="C222" s="6" t="s">
        <v>211</v>
      </c>
      <c r="D222" s="39">
        <f>SUMPRODUCT(('Revenue &amp; Durability'!D$175&gt;=$E$47:$E$60)*($R$47:$R$60)*($T$47:$T$60+($O$47:$O$60&gt;0)*-INT(-(('Revenue &amp; Durability'!D$175-$U$47:$U$60)*('Revenue &amp; Durability'!D$175&gt;$U$47:$U$60)/(($W$47:$W$60)+($W$47:$W$60=0))*(1+$P$47:$P$60*(1-1)))*$X$47:$X$60)/$X$47:$X$60),$I$47:$I$60*(1-($Y$47:$Y$60-($Y$47:$Y$60&gt;$Z$47:$Z$60)*($Y$47:$Y$60-$Z$47:$Z$60))*(1-$H$25)))*(1+INDEX(Assumptions!$D$88:$F$88,1,3))^0</f>
        <v>862012.62999999989</v>
      </c>
      <c r="E222" s="39">
        <f>SUMPRODUCT(('Revenue &amp; Durability'!E$175&gt;=$E$47:$E$60)*($R$47:$R$60)*($T$47:$T$60+($O$47:$O$60&gt;0)*-INT(-(('Revenue &amp; Durability'!E$175-$U$47:$U$60)*('Revenue &amp; Durability'!E$175&gt;$U$47:$U$60)/(($W$47:$W$60)+($W$47:$W$60=0))*(1+$P$47:$P$60*(1-1)))*$X$47:$X$60)/$X$47:$X$60),$I$47:$I$60*(1-($Y$47:$Y$60-($Y$47:$Y$60&gt;$Z$47:$Z$60)*($Y$47:$Y$60-$Z$47:$Z$60))*(1-$H$25)))*(1+INDEX(Assumptions!$D$88:$F$88,1,3))^0</f>
        <v>1744125.8287499999</v>
      </c>
      <c r="F222" s="39">
        <f>SUMPRODUCT(('Revenue &amp; Durability'!F$175&gt;=$E$47:$E$60)*($R$47:$R$60)*($T$47:$T$60+($O$47:$O$60&gt;0)*-INT(-(('Revenue &amp; Durability'!F$175-$U$47:$U$60)*('Revenue &amp; Durability'!F$175&gt;$U$47:$U$60)/(($W$47:$W$60)+($W$47:$W$60=0))*(1+$P$47:$P$60*(1-1)))*$X$47:$X$60)/$X$47:$X$60),$I$47:$I$60*(1-($Y$47:$Y$60-($Y$47:$Y$60&gt;$Z$47:$Z$60)*($Y$47:$Y$60-$Z$47:$Z$60))*(1-$H$25)))*(1+INDEX(Assumptions!$D$88:$F$88,1,3))^1</f>
        <v>2346981.0083806589</v>
      </c>
      <c r="G222" s="39">
        <f>SUMPRODUCT(('Revenue &amp; Durability'!G$175&gt;=$E$47:$E$60)*($R$47:$R$60)*($T$47:$T$60+($O$47:$O$60&gt;0)*-INT(-(('Revenue &amp; Durability'!G$175-$U$47:$U$60)*('Revenue &amp; Durability'!G$175&gt;$U$47:$U$60)/(($W$47:$W$60)+($W$47:$W$60=0))*(1+$P$47:$P$60*(1-1)))*$X$47:$X$60)/$X$47:$X$60),$I$47:$I$60*(1-($Y$47:$Y$60-($Y$47:$Y$60&gt;$Z$47:$Z$60)*($Y$47:$Y$60-$Z$47:$Z$60))*(1-$H$25)))*(1+INDEX(Assumptions!$D$88:$F$88,1,3))^2</f>
        <v>3790855.7665790427</v>
      </c>
      <c r="H222" s="39">
        <f>SUMPRODUCT(('Revenue &amp; Durability'!H$175&gt;=$E$47:$E$60)*($R$47:$R$60)*($T$47:$T$60+($O$47:$O$60&gt;0)*-INT(-(('Revenue &amp; Durability'!H$175-$U$47:$U$60)*('Revenue &amp; Durability'!H$175&gt;$U$47:$U$60)/(($W$47:$W$60)+($W$47:$W$60=0))*(1+$P$47:$P$60*(1-1)))*$X$47:$X$60)/$X$47:$X$60),$I$47:$I$60*(1-($Y$47:$Y$60-($Y$47:$Y$60&gt;$Z$47:$Z$60)*($Y$47:$Y$60-$Z$47:$Z$60))*(1-$H$25)))*(1+INDEX(Assumptions!$D$88:$F$88,1,3))^3</f>
        <v>5246463.9160518497</v>
      </c>
      <c r="I222" s="39">
        <f>SUMPRODUCT(('Revenue &amp; Durability'!I$175&gt;=$E$47:$E$60)*($R$47:$R$60)*($T$47:$T$60+($O$47:$O$60&gt;0)*-INT(-(('Revenue &amp; Durability'!I$175-$U$47:$U$60)*('Revenue &amp; Durability'!I$175&gt;$U$47:$U$60)/(($W$47:$W$60)+($W$47:$W$60=0))*(1+$P$47:$P$60*(1-1)))*$X$47:$X$60)/$X$47:$X$60),$I$47:$I$60*(1-($Y$47:$Y$60-($Y$47:$Y$60&gt;$Z$47:$Z$60)*($Y$47:$Y$60-$Z$47:$Z$60))*(1-$H$25)))*(1+INDEX(Assumptions!$D$88:$F$88,1,3))^4</f>
        <v>6641638.1642093323</v>
      </c>
      <c r="J222" s="39">
        <f>SUMPRODUCT(('Revenue &amp; Durability'!J$175&gt;=$E$47:$E$60)*($R$47:$R$60)*($T$47:$T$60+($O$47:$O$60&gt;0)*-INT(-(('Revenue &amp; Durability'!J$175-$U$47:$U$60)*('Revenue &amp; Durability'!J$175&gt;$U$47:$U$60)/(($W$47:$W$60)+($W$47:$W$60=0))*(1+$P$47:$P$60*(1-1)))*$X$47:$X$60)/$X$47:$X$60),$I$47:$I$60*(1-($Y$47:$Y$60-($Y$47:$Y$60&gt;$Z$47:$Z$60)*($Y$47:$Y$60-$Z$47:$Z$60))*(1-$H$25)))*(1+INDEX(Assumptions!$D$88:$F$88,1,3))^5</f>
        <v>6814320.7564787762</v>
      </c>
      <c r="K222" s="39">
        <f>SUMPRODUCT(('Revenue &amp; Durability'!K$175&gt;=$E$47:$E$60)*($R$47:$R$60)*($T$47:$T$60+($O$47:$O$60&gt;0)*-INT(-(('Revenue &amp; Durability'!K$175-$U$47:$U$60)*('Revenue &amp; Durability'!K$175&gt;$U$47:$U$60)/(($W$47:$W$60)+($W$47:$W$60=0))*(1+$P$47:$P$60*(1-1)))*$X$47:$X$60)/$X$47:$X$60),$I$47:$I$60*(1-($Y$47:$Y$60-($Y$47:$Y$60&gt;$Z$47:$Z$60)*($Y$47:$Y$60-$Z$47:$Z$60))*(1-$H$25)))*(1+INDEX(Assumptions!$D$88:$F$88,1,3))^6</f>
        <v>6991493.0961472234</v>
      </c>
      <c r="L222" s="39">
        <f>SUMPRODUCT(('Revenue &amp; Durability'!L$175&gt;=$E$47:$E$60)*($R$47:$R$60)*($T$47:$T$60+($O$47:$O$60&gt;0)*-INT(-(('Revenue &amp; Durability'!L$175-$U$47:$U$60)*('Revenue &amp; Durability'!L$175&gt;$U$47:$U$60)/(($W$47:$W$60)+($W$47:$W$60=0))*(1+$P$47:$P$60*(1-1)))*$X$47:$X$60)/$X$47:$X$60),$I$47:$I$60*(1-($Y$47:$Y$60-($Y$47:$Y$60&gt;$Z$47:$Z$60)*($Y$47:$Y$60-$Z$47:$Z$60))*(1-$H$25)))*(1+INDEX(Assumptions!$D$88:$F$88,1,3))^7</f>
        <v>7173271.9166470515</v>
      </c>
      <c r="M222" s="39">
        <f>SUMPRODUCT(('Revenue &amp; Durability'!M$175&gt;=$E$47:$E$60)*($R$47:$R$60)*($T$47:$T$60+($O$47:$O$60&gt;0)*-INT(-(('Revenue &amp; Durability'!M$175-$U$47:$U$60)*('Revenue &amp; Durability'!M$175&gt;$U$47:$U$60)/(($W$47:$W$60)+($W$47:$W$60=0))*(1+$P$47:$P$60*(1-1)))*$X$47:$X$60)/$X$47:$X$60),$I$47:$I$60*(1-($Y$47:$Y$60-($Y$47:$Y$60&gt;$Z$47:$Z$60)*($Y$47:$Y$60-$Z$47:$Z$60))*(1-$H$25)))*(1+INDEX(Assumptions!$D$88:$F$88,1,3))^8</f>
        <v>7359776.9864798738</v>
      </c>
      <c r="N222" s="39">
        <f>SUMPRODUCT(('Revenue &amp; Durability'!N$175&gt;=$E$47:$E$60)*($R$47:$R$60)*($T$47:$T$60+($O$47:$O$60&gt;0)*-INT(-(('Revenue &amp; Durability'!N$175-$U$47:$U$60)*('Revenue &amp; Durability'!N$175&gt;$U$47:$U$60)/(($W$47:$W$60)+($W$47:$W$60=0))*(1+$P$47:$P$60*(1-1)))*$X$47:$X$60)/$X$47:$X$60),$I$47:$I$60*(1-($Y$47:$Y$60-($Y$47:$Y$60&gt;$Z$47:$Z$60)*($Y$47:$Y$60-$Z$47:$Z$60))*(1-$H$25)))*(1+INDEX(Assumptions!$D$88:$F$88,1,3))^9</f>
        <v>7551131.1881283503</v>
      </c>
      <c r="O222" s="2"/>
      <c r="P222" s="2"/>
      <c r="Q222" s="2"/>
      <c r="R222" s="2"/>
      <c r="S222" s="2"/>
      <c r="T222" s="2"/>
      <c r="U222" s="2"/>
      <c r="V222" s="2"/>
    </row>
    <row r="223" spans="1:22" ht="15" customHeight="1" x14ac:dyDescent="0.3">
      <c r="A223" s="6" t="s">
        <v>1200</v>
      </c>
      <c r="B223" s="6" t="s">
        <v>219</v>
      </c>
      <c r="C223" s="6" t="s">
        <v>211</v>
      </c>
      <c r="D223" s="13">
        <f>SUMPRODUCT(--('Revenue &amp; Durability'!D$175&gt;=$C$66:$C$74),$K$66:$K$74)</f>
        <v>7</v>
      </c>
      <c r="E223" s="13">
        <f>SUMPRODUCT(--('Revenue &amp; Durability'!E$175&gt;=$C$66:$C$74),$K$66:$K$74)</f>
        <v>8</v>
      </c>
      <c r="F223" s="13">
        <f>SUMPRODUCT(--('Revenue &amp; Durability'!F$175&gt;=$C$66:$C$74),$K$66:$K$74)</f>
        <v>8</v>
      </c>
      <c r="G223" s="13">
        <f>SUMPRODUCT(--('Revenue &amp; Durability'!G$175&gt;=$C$66:$C$74),$K$66:$K$74)</f>
        <v>8</v>
      </c>
      <c r="H223" s="13">
        <f>SUMPRODUCT(--('Revenue &amp; Durability'!H$175&gt;=$C$66:$C$74),$K$66:$K$74)</f>
        <v>8</v>
      </c>
      <c r="I223" s="13">
        <f>SUMPRODUCT(--('Revenue &amp; Durability'!I$175&gt;=$C$66:$C$74),$K$66:$K$74)</f>
        <v>8</v>
      </c>
      <c r="J223" s="13">
        <f>SUMPRODUCT(--('Revenue &amp; Durability'!J$175&gt;=$C$66:$C$74),$K$66:$K$74)</f>
        <v>8</v>
      </c>
      <c r="K223" s="13">
        <f>SUMPRODUCT(--('Revenue &amp; Durability'!K$175&gt;=$C$66:$C$74),$K$66:$K$74)</f>
        <v>8</v>
      </c>
      <c r="L223" s="13">
        <f>SUMPRODUCT(--('Revenue &amp; Durability'!L$175&gt;=$C$66:$C$74),$K$66:$K$74)</f>
        <v>8</v>
      </c>
      <c r="M223" s="13">
        <f>SUMPRODUCT(--('Revenue &amp; Durability'!M$175&gt;=$C$66:$C$74),$K$66:$K$74)</f>
        <v>8</v>
      </c>
      <c r="N223" s="13">
        <f>SUMPRODUCT(--('Revenue &amp; Durability'!N$175&gt;=$C$66:$C$74),$K$66:$K$74)</f>
        <v>8</v>
      </c>
      <c r="O223" s="2"/>
      <c r="P223" s="2"/>
      <c r="Q223" s="2"/>
      <c r="R223" s="2"/>
      <c r="S223" s="2"/>
      <c r="T223" s="2"/>
      <c r="U223" s="2"/>
      <c r="V223" s="2"/>
    </row>
    <row r="224" spans="1:22" ht="15" customHeight="1" x14ac:dyDescent="0.3">
      <c r="A224" s="1" t="s">
        <v>1201</v>
      </c>
      <c r="B224" s="6" t="s">
        <v>218</v>
      </c>
      <c r="C224" s="6" t="s">
        <v>211</v>
      </c>
      <c r="D224" s="39">
        <f>SUMPRODUCT(--('Revenue &amp; Durability'!D$175&gt;=$C$66:$C$74),$I$66:$I$74,$K$66:$K$74)*(1+INDEX(Assumptions!$D$88:$F$88,1,3))^0</f>
        <v>1446175.214445</v>
      </c>
      <c r="E224" s="39">
        <f>SUMPRODUCT(--('Revenue &amp; Durability'!E$175&gt;=$C$66:$C$74),$I$66:$I$74,$K$66:$K$74)*(1+INDEX(Assumptions!$D$88:$F$88,1,3))^0</f>
        <v>1651887.6259450002</v>
      </c>
      <c r="F224" s="39">
        <f>SUMPRODUCT(--('Revenue &amp; Durability'!F$175&gt;=$C$66:$C$74),$I$66:$I$74,$K$66:$K$74)*(1+INDEX(Assumptions!$D$88:$F$88,1,3))^1</f>
        <v>1694836.7042195702</v>
      </c>
      <c r="G224" s="39">
        <f>SUMPRODUCT(--('Revenue &amp; Durability'!G$175&gt;=$C$66:$C$74),$I$66:$I$74,$K$66:$K$74)*(1+INDEX(Assumptions!$D$88:$F$88,1,3))^2</f>
        <v>1738902.4585292789</v>
      </c>
      <c r="H224" s="39">
        <f>SUMPRODUCT(--('Revenue &amp; Durability'!H$175&gt;=$C$66:$C$74),$I$66:$I$74,$K$66:$K$74)*(1+INDEX(Assumptions!$D$88:$F$88,1,3))^3</f>
        <v>1784113.9224510405</v>
      </c>
      <c r="I224" s="39">
        <f>SUMPRODUCT(--('Revenue &amp; Durability'!I$175&gt;=$C$66:$C$74),$I$66:$I$74,$K$66:$K$74)*(1+INDEX(Assumptions!$D$88:$F$88,1,3))^4</f>
        <v>1830500.8844347673</v>
      </c>
      <c r="J224" s="39">
        <f>SUMPRODUCT(--('Revenue &amp; Durability'!J$175&gt;=$C$66:$C$74),$I$66:$I$74,$K$66:$K$74)*(1+INDEX(Assumptions!$D$88:$F$88,1,3))^5</f>
        <v>1878093.9074300714</v>
      </c>
      <c r="K224" s="39">
        <f>SUMPRODUCT(--('Revenue &amp; Durability'!K$175&gt;=$C$66:$C$74),$I$66:$I$74,$K$66:$K$74)*(1+INDEX(Assumptions!$D$88:$F$88,1,3))^6</f>
        <v>1926924.349023253</v>
      </c>
      <c r="L224" s="39">
        <f>SUMPRODUCT(--('Revenue &amp; Durability'!L$175&gt;=$C$66:$C$74),$I$66:$I$74,$K$66:$K$74)*(1+INDEX(Assumptions!$D$88:$F$88,1,3))^7</f>
        <v>1977024.3820978578</v>
      </c>
      <c r="M224" s="39">
        <f>SUMPRODUCT(--('Revenue &amp; Durability'!M$175&gt;=$C$66:$C$74),$I$66:$I$74,$K$66:$K$74)*(1+INDEX(Assumptions!$D$88:$F$88,1,3))^8</f>
        <v>2028427.0160324017</v>
      </c>
      <c r="N224" s="39">
        <f>SUMPRODUCT(--('Revenue &amp; Durability'!N$175&gt;=$C$66:$C$74),$I$66:$I$74,$K$66:$K$74)*(1+INDEX(Assumptions!$D$88:$F$88,1,3))^9</f>
        <v>2081166.1184492442</v>
      </c>
      <c r="O224" s="2"/>
      <c r="P224" s="2"/>
      <c r="Q224" s="2"/>
      <c r="R224" s="2"/>
      <c r="S224" s="2"/>
      <c r="T224" s="2"/>
      <c r="U224" s="2"/>
      <c r="V224" s="2"/>
    </row>
    <row r="225" spans="1:22" ht="15" customHeight="1" x14ac:dyDescent="0.3">
      <c r="A225" s="6" t="s">
        <v>1202</v>
      </c>
      <c r="B225" s="6" t="s">
        <v>218</v>
      </c>
      <c r="C225" s="6" t="s">
        <v>211</v>
      </c>
      <c r="D225" s="13">
        <f>SUMPRODUCT(--('Revenue &amp; Durability'!D$175&gt;=$C$66:$C$74),$I$66:$I$74,1-$K$66:$K$74)*(1+INDEX(Assumptions!$D$88:$F$88,1,3))^0</f>
        <v>0</v>
      </c>
      <c r="E225" s="13">
        <f>SUMPRODUCT(--('Revenue &amp; Durability'!E$175&gt;=$C$66:$C$74),$I$66:$I$74,1-$K$66:$K$74)*(1+INDEX(Assumptions!$D$88:$F$88,1,3))^0</f>
        <v>0</v>
      </c>
      <c r="F225" s="13">
        <f>SUMPRODUCT(--('Revenue &amp; Durability'!F$175&gt;=$C$66:$C$74),$I$66:$I$74,1-$K$66:$K$74)*(1+INDEX(Assumptions!$D$88:$F$88,1,3))^1</f>
        <v>0</v>
      </c>
      <c r="G225" s="13">
        <f>SUMPRODUCT(--('Revenue &amp; Durability'!G$175&gt;=$C$66:$C$74),$I$66:$I$74,1-$K$66:$K$74)*(1+INDEX(Assumptions!$D$88:$F$88,1,3))^2</f>
        <v>0</v>
      </c>
      <c r="H225" s="13">
        <f>SUMPRODUCT(--('Revenue &amp; Durability'!H$175&gt;=$C$66:$C$74),$I$66:$I$74,1-$K$66:$K$74)*(1+INDEX(Assumptions!$D$88:$F$88,1,3))^3</f>
        <v>0</v>
      </c>
      <c r="I225" s="13">
        <f>SUMPRODUCT(--('Revenue &amp; Durability'!I$175&gt;=$C$66:$C$74),$I$66:$I$74,1-$K$66:$K$74)*(1+INDEX(Assumptions!$D$88:$F$88,1,3))^4</f>
        <v>0</v>
      </c>
      <c r="J225" s="13">
        <f>SUMPRODUCT(--('Revenue &amp; Durability'!J$175&gt;=$C$66:$C$74),$I$66:$I$74,1-$K$66:$K$74)*(1+INDEX(Assumptions!$D$88:$F$88,1,3))^5</f>
        <v>0</v>
      </c>
      <c r="K225" s="13">
        <f>SUMPRODUCT(--('Revenue &amp; Durability'!K$175&gt;=$C$66:$C$74),$I$66:$I$74,1-$K$66:$K$74)*(1+INDEX(Assumptions!$D$88:$F$88,1,3))^6</f>
        <v>0</v>
      </c>
      <c r="L225" s="13">
        <f>SUMPRODUCT(--('Revenue &amp; Durability'!L$175&gt;=$C$66:$C$74),$I$66:$I$74,1-$K$66:$K$74)*(1+INDEX(Assumptions!$D$88:$F$88,1,3))^7</f>
        <v>0</v>
      </c>
      <c r="M225" s="13">
        <f>SUMPRODUCT(--('Revenue &amp; Durability'!M$175&gt;=$C$66:$C$74),$I$66:$I$74,1-$K$66:$K$74)*(1+INDEX(Assumptions!$D$88:$F$88,1,3))^8</f>
        <v>0</v>
      </c>
      <c r="N225" s="13">
        <f>SUMPRODUCT(--('Revenue &amp; Durability'!N$175&gt;=$C$66:$C$74),$I$66:$I$74,1-$K$66:$K$74)*(1+INDEX(Assumptions!$D$88:$F$88,1,3))^9</f>
        <v>0</v>
      </c>
      <c r="O225" s="2"/>
      <c r="P225" s="2"/>
      <c r="Q225" s="2"/>
      <c r="R225" s="2"/>
      <c r="S225" s="2"/>
      <c r="T225" s="2"/>
      <c r="U225" s="2"/>
      <c r="V225" s="2"/>
    </row>
    <row r="226" spans="1:22" ht="15" customHeight="1" x14ac:dyDescent="0.3">
      <c r="A226" s="6" t="s">
        <v>1203</v>
      </c>
      <c r="B226" s="6" t="s">
        <v>219</v>
      </c>
      <c r="C226" s="6" t="s">
        <v>217</v>
      </c>
      <c r="D226" s="13">
        <f>SUMPRODUCT(-INT(-('Revenue &amp; Durability'!D$190/$D$79:$D$82)))</f>
        <v>4</v>
      </c>
      <c r="E226" s="13">
        <f>SUMPRODUCT(-INT(-('Revenue &amp; Durability'!E$190/$D$79:$D$82)))</f>
        <v>4</v>
      </c>
      <c r="F226" s="13">
        <f>SUMPRODUCT(-INT(-('Revenue &amp; Durability'!F$190/$D$79:$D$82)))</f>
        <v>4</v>
      </c>
      <c r="G226" s="13">
        <f>SUMPRODUCT(-INT(-('Revenue &amp; Durability'!G$190/$D$79:$D$82)))</f>
        <v>4</v>
      </c>
      <c r="H226" s="13">
        <f>SUMPRODUCT(-INT(-('Revenue &amp; Durability'!H$190/$D$79:$D$82)))</f>
        <v>5</v>
      </c>
      <c r="I226" s="13">
        <f>SUMPRODUCT(-INT(-('Revenue &amp; Durability'!I$190/$D$79:$D$82)))</f>
        <v>5</v>
      </c>
      <c r="J226" s="13">
        <f>SUMPRODUCT(-INT(-('Revenue &amp; Durability'!J$190/$D$79:$D$82)))</f>
        <v>5</v>
      </c>
      <c r="K226" s="13">
        <f>SUMPRODUCT(-INT(-('Revenue &amp; Durability'!K$190/$D$79:$D$82)))</f>
        <v>5</v>
      </c>
      <c r="L226" s="13">
        <f>SUMPRODUCT(-INT(-('Revenue &amp; Durability'!L$190/$D$79:$D$82)))</f>
        <v>5</v>
      </c>
      <c r="M226" s="13">
        <f>SUMPRODUCT(-INT(-('Revenue &amp; Durability'!M$190/$D$79:$D$82)))</f>
        <v>5</v>
      </c>
      <c r="N226" s="13">
        <f>SUMPRODUCT(-INT(-('Revenue &amp; Durability'!N$190/$D$79:$D$82)))</f>
        <v>5</v>
      </c>
      <c r="O226" s="2"/>
      <c r="P226" s="2"/>
      <c r="Q226" s="2"/>
      <c r="R226" s="2"/>
      <c r="S226" s="2"/>
      <c r="T226" s="2"/>
      <c r="U226" s="2"/>
      <c r="V226" s="2"/>
    </row>
    <row r="227" spans="1:22" ht="15" customHeight="1" x14ac:dyDescent="0.3">
      <c r="A227" s="6" t="s">
        <v>187</v>
      </c>
      <c r="B227" s="6" t="s">
        <v>218</v>
      </c>
      <c r="C227" s="6" t="s">
        <v>217</v>
      </c>
      <c r="D227" s="13">
        <f>SUMPRODUCT(-INT(-('Revenue &amp; Durability'!D$190/$D$79:$D$82)),$I$79:$I$82)*(1+INDEX(Assumptions!$D$88:$F$88,1,3))^0</f>
        <v>685510.07499999995</v>
      </c>
      <c r="E227" s="13">
        <f>SUMPRODUCT(-INT(-('Revenue &amp; Durability'!E$190/$D$79:$D$82)),$I$79:$I$82)*(1+INDEX(Assumptions!$D$88:$F$88,1,3))^0</f>
        <v>685510.07499999995</v>
      </c>
      <c r="F227" s="13">
        <f>SUMPRODUCT(-INT(-('Revenue &amp; Durability'!F$190/$D$79:$D$82)),$I$79:$I$82)*(1+INDEX(Assumptions!$D$88:$F$88,1,3))^1</f>
        <v>703333.33694999991</v>
      </c>
      <c r="G227" s="13">
        <f>SUMPRODUCT(-INT(-('Revenue &amp; Durability'!G$190/$D$79:$D$82)),$I$79:$I$82)*(1+INDEX(Assumptions!$D$88:$F$88,1,3))^2</f>
        <v>721620.00371069997</v>
      </c>
      <c r="H227" s="13">
        <f>SUMPRODUCT(-INT(-('Revenue &amp; Durability'!H$190/$D$79:$D$82)),$I$79:$I$82)*(1+INDEX(Assumptions!$D$88:$F$88,1,3))^3</f>
        <v>875389.764889215</v>
      </c>
      <c r="I227" s="13">
        <f>SUMPRODUCT(-INT(-('Revenue &amp; Durability'!I$190/$D$79:$D$82)),$I$79:$I$82)*(1+INDEX(Assumptions!$D$88:$F$88,1,3))^4</f>
        <v>898149.89877633459</v>
      </c>
      <c r="J227" s="13">
        <f>SUMPRODUCT(-INT(-('Revenue &amp; Durability'!J$190/$D$79:$D$82)),$I$79:$I$82)*(1+INDEX(Assumptions!$D$88:$F$88,1,3))^5</f>
        <v>921501.79614451935</v>
      </c>
      <c r="K227" s="13">
        <f>SUMPRODUCT(-INT(-('Revenue &amp; Durability'!K$190/$D$79:$D$82)),$I$79:$I$82)*(1+INDEX(Assumptions!$D$88:$F$88,1,3))^6</f>
        <v>945460.84284427669</v>
      </c>
      <c r="L227" s="13">
        <f>SUMPRODUCT(-INT(-('Revenue &amp; Durability'!L$190/$D$79:$D$82)),$I$79:$I$82)*(1+INDEX(Assumptions!$D$88:$F$88,1,3))^7</f>
        <v>970042.82475822791</v>
      </c>
      <c r="M227" s="13">
        <f>SUMPRODUCT(-INT(-('Revenue &amp; Durability'!M$190/$D$79:$D$82)),$I$79:$I$82)*(1+INDEX(Assumptions!$D$88:$F$88,1,3))^8</f>
        <v>995263.93820194178</v>
      </c>
      <c r="N227" s="13">
        <f>SUMPRODUCT(-INT(-('Revenue &amp; Durability'!N$190/$D$79:$D$82)),$I$79:$I$82)*(1+INDEX(Assumptions!$D$88:$F$88,1,3))^9</f>
        <v>1021140.8005951922</v>
      </c>
      <c r="O227" s="2"/>
      <c r="P227" s="2"/>
      <c r="Q227" s="2"/>
      <c r="R227" s="2"/>
      <c r="S227" s="2"/>
      <c r="T227" s="2"/>
      <c r="U227" s="2"/>
      <c r="V227" s="2"/>
    </row>
    <row r="228" spans="1:22" ht="15" customHeight="1" x14ac:dyDescent="0.3">
      <c r="A228" s="6" t="s">
        <v>1204</v>
      </c>
      <c r="B228" s="6" t="s">
        <v>210</v>
      </c>
      <c r="C228" s="6" t="s">
        <v>222</v>
      </c>
      <c r="D228" s="63">
        <f>0</f>
        <v>0</v>
      </c>
      <c r="E228" s="13">
        <f>'Revenue &amp; Durability'!E$175*MIN(1,1/INDEX(Assumptions!$D$77:$F$77,1,3))*(INDEX(Assumptions!$D$76:$F$76,1,3)*(1-Assumptions!$D$8))</f>
        <v>1787.5</v>
      </c>
      <c r="F228" s="13">
        <f>'Revenue &amp; Durability'!F$175*MIN(1,2/INDEX(Assumptions!$D$77:$F$77,1,3))*(INDEX(Assumptions!$D$76:$F$76,1,3)*(1-Assumptions!$D$8))</f>
        <v>5792.0459999999994</v>
      </c>
      <c r="G228" s="13">
        <f>'Revenue &amp; Durability'!G$175*MIN(1,3/INDEX(Assumptions!$D$77:$F$77,1,3))*(INDEX(Assumptions!$D$76:$F$76,1,3)*(1-Assumptions!$D$8))</f>
        <v>14792.707191990001</v>
      </c>
      <c r="H228" s="13">
        <f>'Revenue &amp; Durability'!H$175*MIN(1,4/INDEX(Assumptions!$D$77:$F$77,1,3))*(INDEX(Assumptions!$D$76:$F$76,1,3)*(1-Assumptions!$D$8))</f>
        <v>21273.997147679293</v>
      </c>
      <c r="I228" s="13">
        <f>'Revenue &amp; Durability'!I$175*MIN(1,5/INDEX(Assumptions!$D$77:$F$77,1,3))*(INDEX(Assumptions!$D$76:$F$76,1,3)*(1-Assumptions!$D$8))</f>
        <v>26000</v>
      </c>
      <c r="J228" s="13">
        <f>'Revenue &amp; Durability'!J$175*MIN(1,6/INDEX(Assumptions!$D$77:$F$77,1,3))*(INDEX(Assumptions!$D$76:$F$76,1,3)*(1-Assumptions!$D$8))</f>
        <v>26000</v>
      </c>
      <c r="K228" s="13">
        <f>'Revenue &amp; Durability'!K$175*MIN(1,7/INDEX(Assumptions!$D$77:$F$77,1,3))*(INDEX(Assumptions!$D$76:$F$76,1,3)*(1-Assumptions!$D$8))</f>
        <v>26000</v>
      </c>
      <c r="L228" s="13">
        <f>'Revenue &amp; Durability'!L$175*MIN(1,8/INDEX(Assumptions!$D$77:$F$77,1,3))*(INDEX(Assumptions!$D$76:$F$76,1,3)*(1-Assumptions!$D$8))</f>
        <v>26000</v>
      </c>
      <c r="M228" s="13">
        <f>'Revenue &amp; Durability'!M$175*MIN(1,9/INDEX(Assumptions!$D$77:$F$77,1,3))*(INDEX(Assumptions!$D$76:$F$76,1,3)*(1-Assumptions!$D$8))</f>
        <v>26000</v>
      </c>
      <c r="N228" s="13">
        <f>'Revenue &amp; Durability'!N$175*MIN(1,10/INDEX(Assumptions!$D$77:$F$77,1,3))*(INDEX(Assumptions!$D$76:$F$76,1,3)*(1-Assumptions!$D$8))</f>
        <v>26000</v>
      </c>
      <c r="O228" s="2"/>
      <c r="P228" s="2"/>
      <c r="Q228" s="2"/>
      <c r="R228" s="2"/>
      <c r="S228" s="2"/>
      <c r="T228" s="2"/>
      <c r="U228" s="2"/>
      <c r="V228" s="2"/>
    </row>
    <row r="229" spans="1:22" ht="15" customHeight="1" x14ac:dyDescent="0.3">
      <c r="A229" s="6" t="s">
        <v>1205</v>
      </c>
      <c r="B229" s="6" t="s">
        <v>219</v>
      </c>
      <c r="C229" s="6" t="s">
        <v>222</v>
      </c>
      <c r="D229" s="63">
        <f>0</f>
        <v>0</v>
      </c>
      <c r="E229" s="63">
        <f t="shared" ref="E229:N229" si="33">SUMPRODUCT(-INT(-(E228/$D$87:$D$89)))</f>
        <v>3</v>
      </c>
      <c r="F229" s="63">
        <f t="shared" si="33"/>
        <v>3</v>
      </c>
      <c r="G229" s="63">
        <f t="shared" si="33"/>
        <v>8</v>
      </c>
      <c r="H229" s="63">
        <f t="shared" si="33"/>
        <v>10</v>
      </c>
      <c r="I229" s="63">
        <f t="shared" si="33"/>
        <v>12</v>
      </c>
      <c r="J229" s="63">
        <f t="shared" si="33"/>
        <v>12</v>
      </c>
      <c r="K229" s="63">
        <f t="shared" si="33"/>
        <v>12</v>
      </c>
      <c r="L229" s="63">
        <f t="shared" si="33"/>
        <v>12</v>
      </c>
      <c r="M229" s="63">
        <f t="shared" si="33"/>
        <v>12</v>
      </c>
      <c r="N229" s="63">
        <f t="shared" si="33"/>
        <v>12</v>
      </c>
      <c r="O229" s="2"/>
      <c r="P229" s="2"/>
      <c r="Q229" s="2"/>
      <c r="R229" s="2"/>
      <c r="S229" s="2"/>
      <c r="T229" s="2"/>
      <c r="U229" s="2"/>
      <c r="V229" s="2"/>
    </row>
    <row r="230" spans="1:22" ht="15" customHeight="1" x14ac:dyDescent="0.3">
      <c r="A230" s="6" t="s">
        <v>247</v>
      </c>
      <c r="B230" s="6" t="s">
        <v>218</v>
      </c>
      <c r="C230" s="6" t="s">
        <v>222</v>
      </c>
      <c r="D230" s="63">
        <f>0</f>
        <v>0</v>
      </c>
      <c r="E230" s="13">
        <f>SUMPRODUCT(-INT(-(E228/$D$87:$D$89)),$I$87:$I$89)*(1+INDEX(Assumptions!$D$88:$F$88,1,3))^0</f>
        <v>343395.9975</v>
      </c>
      <c r="F230" s="13">
        <f>SUMPRODUCT(-INT(-(F228/$D$87:$D$89)),$I$87:$I$89)*(1+INDEX(Assumptions!$D$88:$F$88,1,3))^1</f>
        <v>352324.293435</v>
      </c>
      <c r="G230" s="13">
        <f>SUMPRODUCT(-INT(-(G228/$D$87:$D$89)),$I$87:$I$89)*(1+INDEX(Assumptions!$D$88:$F$88,1,3))^2</f>
        <v>921505.79485092591</v>
      </c>
      <c r="H230" s="13">
        <f>SUMPRODUCT(-INT(-(H228/$D$87:$D$89)),$I$87:$I$89)*(1+INDEX(Assumptions!$D$88:$F$88,1,3))^3</f>
        <v>1149163.235202136</v>
      </c>
      <c r="I230" s="13">
        <f>SUMPRODUCT(-INT(-(I228/$D$87:$D$89)),$I$87:$I$89)*(1+INDEX(Assumptions!$D$88:$F$88,1,3))^4</f>
        <v>1448461.9216725642</v>
      </c>
      <c r="J230" s="13">
        <f>SUMPRODUCT(-INT(-(J228/$D$87:$D$89)),$I$87:$I$89)*(1+INDEX(Assumptions!$D$88:$F$88,1,3))^5</f>
        <v>1486121.931636051</v>
      </c>
      <c r="K230" s="13">
        <f>SUMPRODUCT(-INT(-(K228/$D$87:$D$89)),$I$87:$I$89)*(1+INDEX(Assumptions!$D$88:$F$88,1,3))^6</f>
        <v>1524761.1018585884</v>
      </c>
      <c r="L230" s="13">
        <f>SUMPRODUCT(-INT(-(L228/$D$87:$D$89)),$I$87:$I$89)*(1+INDEX(Assumptions!$D$88:$F$88,1,3))^7</f>
        <v>1564404.8905069116</v>
      </c>
      <c r="M230" s="13">
        <f>SUMPRODUCT(-INT(-(M228/$D$87:$D$89)),$I$87:$I$89)*(1+INDEX(Assumptions!$D$88:$F$88,1,3))^8</f>
        <v>1605079.4176600911</v>
      </c>
      <c r="N230" s="13">
        <f>SUMPRODUCT(-INT(-(N228/$D$87:$D$89)),$I$87:$I$89)*(1+INDEX(Assumptions!$D$88:$F$88,1,3))^9</f>
        <v>1646811.4825192534</v>
      </c>
      <c r="O230" s="2"/>
      <c r="P230" s="2"/>
      <c r="Q230" s="2"/>
      <c r="R230" s="2"/>
      <c r="S230" s="2"/>
      <c r="T230" s="2"/>
      <c r="U230" s="2"/>
      <c r="V230" s="2"/>
    </row>
    <row r="231" spans="1:22" ht="15" customHeight="1" x14ac:dyDescent="0.3">
      <c r="A231" s="6" t="s">
        <v>1206</v>
      </c>
      <c r="B231" s="6" t="s">
        <v>218</v>
      </c>
      <c r="C231" s="6" t="s">
        <v>245</v>
      </c>
      <c r="D231" s="13">
        <f>MAX(0,D$218)*INDEX(Assumptions!$D$82:$F$82,1,3)</f>
        <v>685439.35593219474</v>
      </c>
      <c r="E231" s="13">
        <f>MAX(0,E$218-D$218)*INDEX(Assumptions!$D$82:$F$82,1,3)</f>
        <v>243829.96250815317</v>
      </c>
      <c r="F231" s="13">
        <f>MAX(0,F$218-E$218)*INDEX(Assumptions!$D$82:$F$82,1,3)</f>
        <v>478436.5043094682</v>
      </c>
      <c r="G231" s="13">
        <f>MAX(0,G$218-F$218)*INDEX(Assumptions!$D$82:$F$82,1,3)</f>
        <v>934799.10441720928</v>
      </c>
      <c r="H231" s="13">
        <f>MAX(0,H$218-G$218)*INDEX(Assumptions!$D$82:$F$82,1,3)</f>
        <v>953186.24520822428</v>
      </c>
      <c r="I231" s="13">
        <f>MAX(0,I$218-H$218)*INDEX(Assumptions!$D$82:$F$82,1,3)</f>
        <v>422294.389971931</v>
      </c>
      <c r="J231" s="13">
        <f>MAX(0,J$218-I$218)*INDEX(Assumptions!$D$82:$F$82,1,3)</f>
        <v>419404.84980894858</v>
      </c>
      <c r="K231" s="13">
        <f>MAX(0,K$218-J$218)*INDEX(Assumptions!$D$82:$F$82,1,3)</f>
        <v>417011.63401456177</v>
      </c>
      <c r="L231" s="13">
        <f>MAX(0,L$218-K$218)*INDEX(Assumptions!$D$82:$F$82,1,3)</f>
        <v>123281.71997405775</v>
      </c>
      <c r="M231" s="13">
        <f>MAX(0,M$218-L$218)*INDEX(Assumptions!$D$82:$F$82,1,3)</f>
        <v>0</v>
      </c>
      <c r="N231" s="13">
        <f>MAX(0,N$218-M$218)*INDEX(Assumptions!$D$82:$F$82,1,3)</f>
        <v>0</v>
      </c>
      <c r="O231" s="2"/>
      <c r="P231" s="2"/>
      <c r="Q231" s="2"/>
      <c r="R231" s="2"/>
      <c r="S231" s="2"/>
      <c r="T231" s="2"/>
      <c r="U231" s="2"/>
      <c r="V231" s="2"/>
    </row>
    <row r="232" spans="1:22" ht="15" customHeight="1" x14ac:dyDescent="0.3">
      <c r="A232" s="6" t="s">
        <v>1207</v>
      </c>
      <c r="B232" s="6" t="s">
        <v>219</v>
      </c>
      <c r="C232" s="6" t="s">
        <v>222</v>
      </c>
      <c r="D232" s="13">
        <f>'Acquisition Schedule'!F$33</f>
        <v>1</v>
      </c>
      <c r="E232" s="13">
        <f>'Acquisition Schedule'!F$33+'Acquisition Schedule'!G$33</f>
        <v>1</v>
      </c>
      <c r="F232" s="13">
        <f>'Acquisition Schedule'!F$33+'Acquisition Schedule'!G$33+'Acquisition Schedule'!H$33</f>
        <v>1</v>
      </c>
      <c r="G232" s="13">
        <f>'Acquisition Schedule'!F$33+'Acquisition Schedule'!G$33+'Acquisition Schedule'!H$33+'Acquisition Schedule'!I$33</f>
        <v>2</v>
      </c>
      <c r="H232" s="13">
        <f>'Acquisition Schedule'!F$33+'Acquisition Schedule'!G$33+'Acquisition Schedule'!H$33+'Acquisition Schedule'!I$33+'Acquisition Schedule'!J$33</f>
        <v>2</v>
      </c>
      <c r="I232" s="13">
        <f>'Acquisition Schedule'!F$33+'Acquisition Schedule'!G$33+'Acquisition Schedule'!H$33+'Acquisition Schedule'!I$33+'Acquisition Schedule'!J$33+'Acquisition Schedule'!K$33</f>
        <v>2</v>
      </c>
      <c r="J232" s="13">
        <f>'Acquisition Schedule'!F$33+'Acquisition Schedule'!G$33+'Acquisition Schedule'!H$33+'Acquisition Schedule'!I$33+'Acquisition Schedule'!J$33+'Acquisition Schedule'!K$33+'Acquisition Schedule'!L$33</f>
        <v>2</v>
      </c>
      <c r="K232" s="13">
        <f>'Acquisition Schedule'!F$33+'Acquisition Schedule'!G$33+'Acquisition Schedule'!H$33+'Acquisition Schedule'!I$33+'Acquisition Schedule'!J$33+'Acquisition Schedule'!K$33+'Acquisition Schedule'!L$33+'Acquisition Schedule'!M$33</f>
        <v>2</v>
      </c>
      <c r="L232" s="13">
        <f>'Acquisition Schedule'!F$33+'Acquisition Schedule'!G$33+'Acquisition Schedule'!H$33+'Acquisition Schedule'!I$33+'Acquisition Schedule'!J$33+'Acquisition Schedule'!K$33+'Acquisition Schedule'!L$33+'Acquisition Schedule'!M$33+'Acquisition Schedule'!N$33</f>
        <v>2</v>
      </c>
      <c r="M232" s="13">
        <f>'Acquisition Schedule'!F$33+'Acquisition Schedule'!G$33+'Acquisition Schedule'!H$33+'Acquisition Schedule'!I$33+'Acquisition Schedule'!J$33+'Acquisition Schedule'!K$33+'Acquisition Schedule'!L$33+'Acquisition Schedule'!M$33+'Acquisition Schedule'!N$33+'Acquisition Schedule'!O$33</f>
        <v>2</v>
      </c>
      <c r="N232" s="13">
        <f>'Acquisition Schedule'!F$33+'Acquisition Schedule'!G$33+'Acquisition Schedule'!H$33+'Acquisition Schedule'!I$33+'Acquisition Schedule'!J$33+'Acquisition Schedule'!K$33+'Acquisition Schedule'!L$33+'Acquisition Schedule'!M$33+'Acquisition Schedule'!N$33+'Acquisition Schedule'!O$33+'Acquisition Schedule'!P$33</f>
        <v>2</v>
      </c>
      <c r="O232" s="2"/>
      <c r="P232" s="2"/>
      <c r="Q232" s="2"/>
      <c r="R232" s="2"/>
      <c r="S232" s="2"/>
      <c r="T232" s="2"/>
      <c r="U232" s="2"/>
      <c r="V232" s="2"/>
    </row>
    <row r="233" spans="1:22" ht="15" customHeight="1" x14ac:dyDescent="0.3">
      <c r="A233" s="1" t="s">
        <v>246</v>
      </c>
      <c r="B233" s="6" t="s">
        <v>218</v>
      </c>
      <c r="C233" s="6" t="s">
        <v>222</v>
      </c>
      <c r="D233" s="39">
        <f>D232*$I$50*(1+INDEX(Assumptions!$D$88:$F$88,1,3))^0*INDEX(Assumptions!$D$91:$F$91,1,3)*(1-Assumptions!$D$8)</f>
        <v>0</v>
      </c>
      <c r="E233" s="39">
        <f>E232*$I$50*(1+INDEX(Assumptions!$D$88:$F$88,1,3))^0*INDEX(Assumptions!$D$91:$F$91,1,3)*(1-Assumptions!$D$8)</f>
        <v>0</v>
      </c>
      <c r="F233" s="39">
        <f>F232*$I$50*(1+INDEX(Assumptions!$D$88:$F$88,1,3))^1*INDEX(Assumptions!$D$91:$F$91,1,3)*(1-Assumptions!$D$8)</f>
        <v>0</v>
      </c>
      <c r="G233" s="39">
        <f>G232*$I$50*(1+INDEX(Assumptions!$D$88:$F$88,1,3))^2*INDEX(Assumptions!$D$91:$F$91,1,3)*(1-Assumptions!$D$8)</f>
        <v>0</v>
      </c>
      <c r="H233" s="39">
        <f>H232*$I$50*(1+INDEX(Assumptions!$D$88:$F$88,1,3))^3*INDEX(Assumptions!$D$91:$F$91,1,3)*(1-Assumptions!$D$8)</f>
        <v>0</v>
      </c>
      <c r="I233" s="39">
        <f>I232*$I$50*(1+INDEX(Assumptions!$D$88:$F$88,1,3))^4*INDEX(Assumptions!$D$91:$F$91,1,3)*(1-Assumptions!$D$8)</f>
        <v>0</v>
      </c>
      <c r="J233" s="39">
        <f>J232*$I$50*(1+INDEX(Assumptions!$D$88:$F$88,1,3))^5*INDEX(Assumptions!$D$91:$F$91,1,3)*(1-Assumptions!$D$8)</f>
        <v>0</v>
      </c>
      <c r="K233" s="39">
        <f>K232*$I$50*(1+INDEX(Assumptions!$D$88:$F$88,1,3))^6*INDEX(Assumptions!$D$91:$F$91,1,3)*(1-Assumptions!$D$8)</f>
        <v>0</v>
      </c>
      <c r="L233" s="39">
        <f>L232*$I$50*(1+INDEX(Assumptions!$D$88:$F$88,1,3))^7*INDEX(Assumptions!$D$91:$F$91,1,3)*(1-Assumptions!$D$8)</f>
        <v>0</v>
      </c>
      <c r="M233" s="39">
        <f>M232*$I$50*(1+INDEX(Assumptions!$D$88:$F$88,1,3))^8*INDEX(Assumptions!$D$91:$F$91,1,3)*(1-Assumptions!$D$8)</f>
        <v>0</v>
      </c>
      <c r="N233" s="39">
        <f>N232*$I$50*(1+INDEX(Assumptions!$D$88:$F$88,1,3))^9*INDEX(Assumptions!$D$91:$F$91,1,3)*(1-Assumptions!$D$8)</f>
        <v>0</v>
      </c>
      <c r="O233" s="2"/>
      <c r="P233" s="2"/>
      <c r="Q233" s="2"/>
      <c r="R233" s="2"/>
      <c r="S233" s="2"/>
      <c r="T233" s="2"/>
      <c r="U233" s="2"/>
      <c r="V233" s="2"/>
    </row>
    <row r="234" spans="1:22" ht="15" customHeight="1" x14ac:dyDescent="0.3">
      <c r="A234" s="6" t="s">
        <v>248</v>
      </c>
      <c r="B234" s="6" t="s">
        <v>218</v>
      </c>
      <c r="C234" s="6" t="s">
        <v>222</v>
      </c>
      <c r="D234" s="13">
        <f>'Acquisition Schedule'!F$34*INDEX(Assumptions!$D$85:$F$85,1,3)</f>
        <v>430000</v>
      </c>
      <c r="E234" s="13">
        <f>'Acquisition Schedule'!G$34*INDEX(Assumptions!$D$85:$F$85,1,3)</f>
        <v>430000</v>
      </c>
      <c r="F234" s="13">
        <f>'Acquisition Schedule'!H$34*INDEX(Assumptions!$D$85:$F$85,1,3)</f>
        <v>430000</v>
      </c>
      <c r="G234" s="13">
        <f>'Acquisition Schedule'!I$34*INDEX(Assumptions!$D$85:$F$85,1,3)</f>
        <v>430000</v>
      </c>
      <c r="H234" s="13">
        <f>'Acquisition Schedule'!J$34*INDEX(Assumptions!$D$85:$F$85,1,3)</f>
        <v>430000</v>
      </c>
      <c r="I234" s="13">
        <f>'Acquisition Schedule'!K$34*INDEX(Assumptions!$D$85:$F$85,1,3)</f>
        <v>430000</v>
      </c>
      <c r="J234" s="13">
        <f>'Acquisition Schedule'!L$34*INDEX(Assumptions!$D$85:$F$85,1,3)</f>
        <v>430000</v>
      </c>
      <c r="K234" s="13">
        <f>'Acquisition Schedule'!M$34*INDEX(Assumptions!$D$85:$F$85,1,3)</f>
        <v>430000</v>
      </c>
      <c r="L234" s="13">
        <f>'Acquisition Schedule'!N$34*INDEX(Assumptions!$D$85:$F$85,1,3)</f>
        <v>0</v>
      </c>
      <c r="M234" s="13">
        <f>'Acquisition Schedule'!O$34*INDEX(Assumptions!$D$85:$F$85,1,3)</f>
        <v>0</v>
      </c>
      <c r="N234" s="13">
        <f>'Acquisition Schedule'!P$34*INDEX(Assumptions!$D$85:$F$85,1,3)</f>
        <v>0</v>
      </c>
      <c r="O234" s="2"/>
      <c r="P234" s="2"/>
      <c r="Q234" s="2"/>
      <c r="R234" s="2"/>
      <c r="S234" s="2"/>
      <c r="T234" s="2"/>
      <c r="U234" s="2"/>
      <c r="V234" s="2"/>
    </row>
    <row r="235" spans="1:22" ht="15" customHeight="1" x14ac:dyDescent="0.3">
      <c r="A235" s="6" t="s">
        <v>192</v>
      </c>
      <c r="B235" s="6" t="s">
        <v>218</v>
      </c>
      <c r="C235" s="6" t="s">
        <v>222</v>
      </c>
      <c r="D235" s="13">
        <f>INDEX(Assumptions!$D$86:$F$86,1,3)*(1+INDEX(Assumptions!$D$87:$F$87,1,3))^0</f>
        <v>610000</v>
      </c>
      <c r="E235" s="13">
        <f>INDEX(Assumptions!$D$86:$F$86,1,3)*(1+INDEX(Assumptions!$D$87:$F$87,1,3))^0</f>
        <v>610000</v>
      </c>
      <c r="F235" s="13">
        <f>INDEX(Assumptions!$D$86:$F$86,1,3)*(1+INDEX(Assumptions!$D$87:$F$87,1,3))^1</f>
        <v>640500</v>
      </c>
      <c r="G235" s="13">
        <f>INDEX(Assumptions!$D$86:$F$86,1,3)*(1+INDEX(Assumptions!$D$87:$F$87,1,3))^2</f>
        <v>672525</v>
      </c>
      <c r="H235" s="13">
        <f>INDEX(Assumptions!$D$86:$F$86,1,3)*(1+INDEX(Assumptions!$D$87:$F$87,1,3))^3</f>
        <v>706151.25000000012</v>
      </c>
      <c r="I235" s="13">
        <f>INDEX(Assumptions!$D$86:$F$86,1,3)*(1+INDEX(Assumptions!$D$87:$F$87,1,3))^4</f>
        <v>741458.8125</v>
      </c>
      <c r="J235" s="13">
        <f>INDEX(Assumptions!$D$86:$F$86,1,3)*(1+INDEX(Assumptions!$D$87:$F$87,1,3))^5</f>
        <v>778531.75312500005</v>
      </c>
      <c r="K235" s="13">
        <f>INDEX(Assumptions!$D$86:$F$86,1,3)*(1+INDEX(Assumptions!$D$87:$F$87,1,3))^6</f>
        <v>817458.34078125004</v>
      </c>
      <c r="L235" s="13">
        <f>INDEX(Assumptions!$D$86:$F$86,1,3)*(1+INDEX(Assumptions!$D$87:$F$87,1,3))^7</f>
        <v>858331.25782031263</v>
      </c>
      <c r="M235" s="13">
        <f>INDEX(Assumptions!$D$86:$F$86,1,3)*(1+INDEX(Assumptions!$D$87:$F$87,1,3))^8</f>
        <v>901247.82071132818</v>
      </c>
      <c r="N235" s="13">
        <f>INDEX(Assumptions!$D$86:$F$86,1,3)*(1+INDEX(Assumptions!$D$87:$F$87,1,3))^9</f>
        <v>946310.21174689464</v>
      </c>
      <c r="O235" s="2"/>
      <c r="P235" s="2"/>
      <c r="Q235" s="2"/>
      <c r="R235" s="2"/>
      <c r="S235" s="2"/>
      <c r="T235" s="2"/>
      <c r="U235" s="2"/>
      <c r="V235" s="2"/>
    </row>
    <row r="236" spans="1:22" ht="15" customHeight="1" x14ac:dyDescent="0.3">
      <c r="A236" s="1" t="s">
        <v>1208</v>
      </c>
      <c r="B236" s="6" t="s">
        <v>219</v>
      </c>
      <c r="C236" s="6" t="s">
        <v>211</v>
      </c>
      <c r="D236" s="61">
        <f t="shared" ref="D236:N236" si="34">D221+D223+D226+D229</f>
        <v>19</v>
      </c>
      <c r="E236" s="61">
        <f t="shared" si="34"/>
        <v>27.425000000000001</v>
      </c>
      <c r="F236" s="61">
        <f t="shared" si="34"/>
        <v>31.936626</v>
      </c>
      <c r="G236" s="61">
        <f t="shared" si="34"/>
        <v>46.875802</v>
      </c>
      <c r="H236" s="61">
        <f t="shared" si="34"/>
        <v>60.872923</v>
      </c>
      <c r="I236" s="61">
        <f t="shared" si="34"/>
        <v>71.599999999999994</v>
      </c>
      <c r="J236" s="61">
        <f t="shared" si="34"/>
        <v>71.599999999999994</v>
      </c>
      <c r="K236" s="61">
        <f t="shared" si="34"/>
        <v>71.599999999999994</v>
      </c>
      <c r="L236" s="61">
        <f t="shared" si="34"/>
        <v>71.599999999999994</v>
      </c>
      <c r="M236" s="61">
        <f t="shared" si="34"/>
        <v>71.599999999999994</v>
      </c>
      <c r="N236" s="61">
        <f t="shared" si="34"/>
        <v>71.599999999999994</v>
      </c>
      <c r="O236" s="2"/>
      <c r="P236" s="2"/>
      <c r="Q236" s="2"/>
      <c r="R236" s="2"/>
      <c r="S236" s="2"/>
      <c r="T236" s="2"/>
      <c r="U236" s="2"/>
      <c r="V236" s="2"/>
    </row>
    <row r="237" spans="1:22" ht="15" customHeight="1" x14ac:dyDescent="0.3">
      <c r="A237" s="6" t="s">
        <v>1209</v>
      </c>
      <c r="B237" s="6" t="s">
        <v>219</v>
      </c>
      <c r="C237" s="6" t="s">
        <v>220</v>
      </c>
      <c r="D237" s="13">
        <f>SUMPRODUCT(-INT(-(('Revenue &amp; Durability'!D$184*$O$94:$O$99+'Revenue &amp; Durability'!D$175*(1-$O$94:$O$99))/$D$94:$D$99)))</f>
        <v>180</v>
      </c>
      <c r="E237" s="13">
        <f>SUMPRODUCT(-INT(-(('Revenue &amp; Durability'!E$184*$O$94:$O$99+'Revenue &amp; Durability'!E$175*(1-$O$94:$O$99))/$D$94:$D$99)))</f>
        <v>250</v>
      </c>
      <c r="F237" s="13">
        <f>SUMPRODUCT(-INT(-(('Revenue &amp; Durability'!F$184*$O$94:$O$99+'Revenue &amp; Durability'!F$175*(1-$O$94:$O$99))/$D$94:$D$99)))</f>
        <v>400</v>
      </c>
      <c r="G237" s="13">
        <f>SUMPRODUCT(-INT(-(('Revenue &amp; Durability'!G$184*$O$94:$O$99+'Revenue &amp; Durability'!G$175*(1-$O$94:$O$99))/$D$94:$D$99)))</f>
        <v>681</v>
      </c>
      <c r="H237" s="13">
        <f>SUMPRODUCT(-INT(-(('Revenue &amp; Durability'!H$184*$O$94:$O$99+'Revenue &amp; Durability'!H$175*(1-$O$94:$O$99))/$D$94:$D$99)))</f>
        <v>978</v>
      </c>
      <c r="I237" s="13">
        <f>SUMPRODUCT(-INT(-(('Revenue &amp; Durability'!I$184*$O$94:$O$99+'Revenue &amp; Durability'!I$175*(1-$O$94:$O$99))/$D$94:$D$99)))</f>
        <v>1193</v>
      </c>
      <c r="J237" s="13">
        <f>SUMPRODUCT(-INT(-(('Revenue &amp; Durability'!J$184*$O$94:$O$99+'Revenue &amp; Durability'!J$175*(1-$O$94:$O$99))/$D$94:$D$99)))</f>
        <v>1193</v>
      </c>
      <c r="K237" s="13">
        <f>SUMPRODUCT(-INT(-(('Revenue &amp; Durability'!K$184*$O$94:$O$99+'Revenue &amp; Durability'!K$175*(1-$O$94:$O$99))/$D$94:$D$99)))</f>
        <v>1193</v>
      </c>
      <c r="L237" s="13">
        <f>SUMPRODUCT(-INT(-(('Revenue &amp; Durability'!L$184*$O$94:$O$99+'Revenue &amp; Durability'!L$175*(1-$O$94:$O$99))/$D$94:$D$99)))</f>
        <v>1193</v>
      </c>
      <c r="M237" s="13">
        <f>SUMPRODUCT(-INT(-(('Revenue &amp; Durability'!M$184*$O$94:$O$99+'Revenue &amp; Durability'!M$175*(1-$O$94:$O$99))/$D$94:$D$99)))</f>
        <v>1193</v>
      </c>
      <c r="N237" s="13">
        <f>SUMPRODUCT(-INT(-(('Revenue &amp; Durability'!N$184*$O$94:$O$99+'Revenue &amp; Durability'!N$175*(1-$O$94:$O$99))/$D$94:$D$99)))</f>
        <v>1193</v>
      </c>
      <c r="O237" s="2"/>
      <c r="P237" s="2"/>
      <c r="Q237" s="2"/>
      <c r="R237" s="2"/>
      <c r="S237" s="2"/>
      <c r="T237" s="2"/>
      <c r="U237" s="2"/>
      <c r="V237" s="2"/>
    </row>
    <row r="238" spans="1:22" ht="15" customHeight="1" x14ac:dyDescent="0.3">
      <c r="A238" s="6" t="s">
        <v>1210</v>
      </c>
      <c r="B238" s="6" t="s">
        <v>219</v>
      </c>
      <c r="C238" s="6" t="s">
        <v>220</v>
      </c>
      <c r="D238" s="13">
        <f>'Revenue &amp; Durability'!D$175/$D$7</f>
        <v>153.0612244897959</v>
      </c>
      <c r="E238" s="13">
        <f>'Revenue &amp; Durability'!E$175/$D$7</f>
        <v>210.4591836734694</v>
      </c>
      <c r="F238" s="13">
        <f>'Revenue &amp; Durability'!F$175/$D$7</f>
        <v>340.97602040816327</v>
      </c>
      <c r="G238" s="13">
        <f>'Revenue &amp; Durability'!G$175/$D$7</f>
        <v>580.56150675000004</v>
      </c>
      <c r="H238" s="13">
        <f>'Revenue &amp; Durability'!H$175/$D$7</f>
        <v>834.92924441441482</v>
      </c>
      <c r="I238" s="13">
        <f>'Revenue &amp; Durability'!I$175/$D$7</f>
        <v>1020.4081632653061</v>
      </c>
      <c r="J238" s="13">
        <f>'Revenue &amp; Durability'!J$175/$D$7</f>
        <v>1020.4081632653061</v>
      </c>
      <c r="K238" s="13">
        <f>'Revenue &amp; Durability'!K$175/$D$7</f>
        <v>1020.4081632653061</v>
      </c>
      <c r="L238" s="13">
        <f>'Revenue &amp; Durability'!L$175/$D$7</f>
        <v>1020.4081632653061</v>
      </c>
      <c r="M238" s="13">
        <f>'Revenue &amp; Durability'!M$175/$D$7</f>
        <v>1020.4081632653061</v>
      </c>
      <c r="N238" s="13">
        <f>'Revenue &amp; Durability'!N$175/$D$7</f>
        <v>1020.4081632653061</v>
      </c>
      <c r="O238" s="2"/>
      <c r="P238" s="2"/>
      <c r="Q238" s="2"/>
      <c r="R238" s="2"/>
      <c r="S238" s="2"/>
      <c r="T238" s="2"/>
      <c r="U238" s="2"/>
      <c r="V238" s="2"/>
    </row>
    <row r="239" spans="1:22" ht="15" customHeight="1" x14ac:dyDescent="0.3">
      <c r="A239" s="6" t="s">
        <v>1211</v>
      </c>
      <c r="B239" s="6" t="s">
        <v>219</v>
      </c>
      <c r="C239" s="6" t="s">
        <v>211</v>
      </c>
      <c r="D239" s="63">
        <f t="shared" ref="D239:N239" si="35">D237-D238</f>
        <v>26.938775510204096</v>
      </c>
      <c r="E239" s="63">
        <f t="shared" si="35"/>
        <v>39.540816326530603</v>
      </c>
      <c r="F239" s="63">
        <f t="shared" si="35"/>
        <v>59.023979591836735</v>
      </c>
      <c r="G239" s="63">
        <f t="shared" si="35"/>
        <v>100.43849324999996</v>
      </c>
      <c r="H239" s="63">
        <f t="shared" si="35"/>
        <v>143.07075558558518</v>
      </c>
      <c r="I239" s="63">
        <f t="shared" si="35"/>
        <v>172.59183673469386</v>
      </c>
      <c r="J239" s="63">
        <f t="shared" si="35"/>
        <v>172.59183673469386</v>
      </c>
      <c r="K239" s="63">
        <f t="shared" si="35"/>
        <v>172.59183673469386</v>
      </c>
      <c r="L239" s="63">
        <f t="shared" si="35"/>
        <v>172.59183673469386</v>
      </c>
      <c r="M239" s="63">
        <f t="shared" si="35"/>
        <v>172.59183673469386</v>
      </c>
      <c r="N239" s="63">
        <f t="shared" si="35"/>
        <v>172.59183673469386</v>
      </c>
      <c r="O239" s="2"/>
      <c r="P239" s="2"/>
      <c r="Q239" s="2"/>
      <c r="R239" s="2"/>
      <c r="S239" s="2"/>
      <c r="T239" s="2"/>
      <c r="U239" s="2"/>
      <c r="V239" s="2"/>
    </row>
    <row r="240" spans="1:22" ht="15" customHeight="1" x14ac:dyDescent="0.3">
      <c r="A240" s="6" t="s">
        <v>1212</v>
      </c>
      <c r="B240" s="6" t="s">
        <v>218</v>
      </c>
      <c r="C240" s="6" t="s">
        <v>220</v>
      </c>
      <c r="D240" s="13">
        <f>SUMPRODUCT(-INT(-(('Revenue &amp; Durability'!D$184*$O$94:$O$99+'Revenue &amp; Durability'!D$175*(1-$O$94:$O$99))/$D$94:$D$99)),$I$94:$I$99)*(1+INDEX(Assumptions!$D$88:$F$88,1,3))^0</f>
        <v>13097642</v>
      </c>
      <c r="E240" s="13">
        <f>SUMPRODUCT(-INT(-(('Revenue &amp; Durability'!E$184*$O$94:$O$99+'Revenue &amp; Durability'!E$175*(1-$O$94:$O$99))/$D$94:$D$99)),$I$94:$I$99)*(1+INDEX(Assumptions!$D$88:$F$88,1,3))^0</f>
        <v>18205808</v>
      </c>
      <c r="F240" s="13">
        <f>SUMPRODUCT(-INT(-(('Revenue &amp; Durability'!F$184*$O$94:$O$99+'Revenue &amp; Durability'!F$175*(1-$O$94:$O$99))/$D$94:$D$99)),$I$94:$I$99)*(1+INDEX(Assumptions!$D$88:$F$88,1,3))^1</f>
        <v>29881843.191</v>
      </c>
      <c r="G240" s="13">
        <f>SUMPRODUCT(-INT(-(('Revenue &amp; Durability'!G$184*$O$94:$O$99+'Revenue &amp; Durability'!G$175*(1-$O$94:$O$99))/$D$94:$D$99)),$I$94:$I$99)*(1+INDEX(Assumptions!$D$88:$F$88,1,3))^2</f>
        <v>52191271.852415994</v>
      </c>
      <c r="H240" s="13">
        <f>SUMPRODUCT(-INT(-(('Revenue &amp; Durability'!H$184*$O$94:$O$99+'Revenue &amp; Durability'!H$175*(1-$O$94:$O$99))/$D$94:$D$99)),$I$94:$I$99)*(1+INDEX(Assumptions!$D$88:$F$88,1,3))^3</f>
        <v>76919133.510459259</v>
      </c>
      <c r="I240" s="13">
        <f>SUMPRODUCT(-INT(-(('Revenue &amp; Durability'!I$184*$O$94:$O$99+'Revenue &amp; Durability'!I$175*(1-$O$94:$O$99))/$D$94:$D$99)),$I$94:$I$99)*(1+INDEX(Assumptions!$D$88:$F$88,1,3))^4</f>
        <v>96263126.309668273</v>
      </c>
      <c r="J240" s="13">
        <f>SUMPRODUCT(-INT(-(('Revenue &amp; Durability'!J$184*$O$94:$O$99+'Revenue &amp; Durability'!J$175*(1-$O$94:$O$99))/$D$94:$D$99)),$I$94:$I$99)*(1+INDEX(Assumptions!$D$88:$F$88,1,3))^5</f>
        <v>98765967.593719661</v>
      </c>
      <c r="K240" s="13">
        <f>SUMPRODUCT(-INT(-(('Revenue &amp; Durability'!K$184*$O$94:$O$99+'Revenue &amp; Durability'!K$175*(1-$O$94:$O$99))/$D$94:$D$99)),$I$94:$I$99)*(1+INDEX(Assumptions!$D$88:$F$88,1,3))^6</f>
        <v>101333882.75115636</v>
      </c>
      <c r="L240" s="13">
        <f>SUMPRODUCT(-INT(-(('Revenue &amp; Durability'!L$184*$O$94:$O$99+'Revenue &amp; Durability'!L$175*(1-$O$94:$O$99))/$D$94:$D$99)),$I$94:$I$99)*(1+INDEX(Assumptions!$D$88:$F$88,1,3))^7</f>
        <v>103968563.70268643</v>
      </c>
      <c r="M240" s="13">
        <f>SUMPRODUCT(-INT(-(('Revenue &amp; Durability'!M$184*$O$94:$O$99+'Revenue &amp; Durability'!M$175*(1-$O$94:$O$99))/$D$94:$D$99)),$I$94:$I$99)*(1+INDEX(Assumptions!$D$88:$F$88,1,3))^8</f>
        <v>106671746.35895626</v>
      </c>
      <c r="N240" s="13">
        <f>SUMPRODUCT(-INT(-(('Revenue &amp; Durability'!N$184*$O$94:$O$99+'Revenue &amp; Durability'!N$175*(1-$O$94:$O$99))/$D$94:$D$99)),$I$94:$I$99)*(1+INDEX(Assumptions!$D$88:$F$88,1,3))^9</f>
        <v>109445211.76428911</v>
      </c>
      <c r="O240" s="2"/>
      <c r="P240" s="2"/>
      <c r="Q240" s="2"/>
      <c r="R240" s="2"/>
      <c r="S240" s="2"/>
      <c r="T240" s="2"/>
      <c r="U240" s="2"/>
      <c r="V240" s="2"/>
    </row>
    <row r="242" spans="1:14" ht="15" customHeight="1" x14ac:dyDescent="0.25">
      <c r="A242" s="21" t="s">
        <v>1215</v>
      </c>
    </row>
    <row r="243" spans="1:14" ht="15" customHeight="1" x14ac:dyDescent="0.3">
      <c r="A243" s="6" t="s">
        <v>1216</v>
      </c>
      <c r="B243" s="6" t="s">
        <v>210</v>
      </c>
      <c r="C243" s="6" t="s">
        <v>211</v>
      </c>
      <c r="D243" s="86">
        <f>MAX($D$107:$D$115)</f>
        <v>9765.625</v>
      </c>
      <c r="N243" s="6" t="s">
        <v>1217</v>
      </c>
    </row>
    <row r="244" spans="1:14" ht="15" customHeight="1" x14ac:dyDescent="0.3">
      <c r="A244" s="6" t="s">
        <v>1218</v>
      </c>
      <c r="B244" s="6" t="s">
        <v>219</v>
      </c>
      <c r="C244" s="6" t="s">
        <v>211</v>
      </c>
      <c r="D244" s="89">
        <f>SUMPRODUCT(('Revenue &amp; Durability'!K$100&gt;=$E$47:$E$60)*($R$47:$R$60)*--($E$47:$E$60&lt;=$D$243)*($T$47:$T$60+($W$47:$W$60&gt;0)*-INT(-(('Revenue &amp; Durability'!K$100-$U$47:$U$60)*('Revenue &amp; Durability'!K$100&gt;$U$47:$U$60)/(($W$47:$W$60)+($W$47:$W$60=0)))*$X$47:$X$60)/$X$47:$X$60))</f>
        <v>29</v>
      </c>
    </row>
    <row r="245" spans="1:14" ht="15" customHeight="1" x14ac:dyDescent="0.3">
      <c r="A245" s="6" t="s">
        <v>1219</v>
      </c>
      <c r="B245" s="6" t="s">
        <v>218</v>
      </c>
      <c r="C245" s="6" t="s">
        <v>211</v>
      </c>
      <c r="D245" s="89">
        <f>SUMPRODUCT(('Revenue &amp; Durability'!K$100&gt;=$E$47:$E$60)*($R$47:$R$60)*--($E$47:$E$60&lt;=$D$243)*($T$47:$T$60+($W$47:$W$60&gt;0)*-INT(-(('Revenue &amp; Durability'!K$100-$U$47:$U$60)*('Revenue &amp; Durability'!K$100&gt;$U$47:$U$60)/(($W$47:$W$60)+($W$47:$W$60=0)))*$X$47:$X$60)/$X$47:$X$60),$I$47:$I$60*(1-($Y$47:$Y$60-($Y$47:$Y$60&gt;$Z$47:$Z$60)*($Y$47:$Y$60-$Z$47:$Z$60))*(1-$H$25)))*(1+INDEX(Assumptions!$D$88:$F$88,1,2))^6</f>
        <v>3622536.8426787909</v>
      </c>
    </row>
    <row r="246" spans="1:14" ht="15" customHeight="1" x14ac:dyDescent="0.3">
      <c r="A246" s="6" t="s">
        <v>1220</v>
      </c>
      <c r="B246" s="6" t="s">
        <v>219</v>
      </c>
      <c r="C246" s="6" t="s">
        <v>211</v>
      </c>
      <c r="D246" s="89">
        <f>SUMPRODUCT(('Revenue &amp; Durability'!K$112&gt;=$E$47:$E$60)*($R$47:$R$60)*--($E$47:$E$60&gt;$D$243)*($T$47:$T$60+($W$47:$W$60&gt;0)*-INT(-(('Revenue &amp; Durability'!K$112-$U$47:$U$60)*('Revenue &amp; Durability'!K$112&gt;$U$47:$U$60)/(($W$47:$W$60)+($W$47:$W$60=0)))*$X$47:$X$60)/$X$47:$X$60))</f>
        <v>10.6</v>
      </c>
    </row>
    <row r="247" spans="1:14" ht="15" customHeight="1" x14ac:dyDescent="0.3">
      <c r="A247" s="6" t="s">
        <v>1221</v>
      </c>
      <c r="B247" s="6" t="s">
        <v>218</v>
      </c>
      <c r="C247" s="6" t="s">
        <v>211</v>
      </c>
      <c r="D247" s="89">
        <f>SUMPRODUCT(('Revenue &amp; Durability'!K$112&gt;=$E$47:$E$60)*($R$47:$R$60)*--($E$47:$E$60&gt;$D$243)*($T$47:$T$60+($W$47:$W$60&gt;0)*-INT(-(('Revenue &amp; Durability'!K$112-$U$47:$U$60)*('Revenue &amp; Durability'!K$112&gt;$U$47:$U$60)/(($W$47:$W$60)+($W$47:$W$60=0)))*$X$47:$X$60)/$X$47:$X$60),$I$47:$I$60*(1-($Y$47:$Y$60-($Y$47:$Y$60&gt;$Z$47:$Z$60)*($Y$47:$Y$60-$Z$47:$Z$60))*(1-$H$25)))*(1+INDEX(Assumptions!$D$88:$F$88,1,2))^6</f>
        <v>2547285.6748945699</v>
      </c>
    </row>
    <row r="248" spans="1:14" ht="15" customHeight="1" x14ac:dyDescent="0.3">
      <c r="A248" s="6" t="s">
        <v>1222</v>
      </c>
      <c r="B248" s="6" t="s">
        <v>219</v>
      </c>
      <c r="C248" s="6" t="s">
        <v>211</v>
      </c>
      <c r="D248" s="89">
        <f>SUMPRODUCT(('Revenue &amp; Durability'!K$112&gt;=$E$47:$E$60)*($R$47:$R$60)*--($E$47:$E$60&lt;=$D$243)*($T$47:$T$60+($W$47:$W$60&gt;0)*-INT(-(('Revenue &amp; Durability'!K$112-$U$47:$U$60)*('Revenue &amp; Durability'!K$112&gt;$U$47:$U$60)/(($W$47:$W$60)+($W$47:$W$60=0)))*$X$47:$X$60)/$X$47:$X$60))-D244</f>
        <v>7</v>
      </c>
    </row>
    <row r="249" spans="1:14" ht="15" customHeight="1" x14ac:dyDescent="0.3">
      <c r="A249" s="6" t="s">
        <v>1223</v>
      </c>
      <c r="B249" s="6" t="s">
        <v>218</v>
      </c>
      <c r="C249" s="6" t="s">
        <v>211</v>
      </c>
      <c r="D249" s="89">
        <f>SUMPRODUCT(('Revenue &amp; Durability'!K$112&gt;=$E$47:$E$60)*($R$47:$R$60)*--($E$47:$E$60&lt;=$D$243)*($T$47:$T$60+($W$47:$W$60&gt;0)*-INT(-(('Revenue &amp; Durability'!K$112-$U$47:$U$60)*('Revenue &amp; Durability'!K$112&gt;$U$47:$U$60)/(($W$47:$W$60)+($W$47:$W$60=0)))*$X$47:$X$60)/$X$47:$X$60),$I$47:$I$60*(1-($Y$47:$Y$60-($Y$47:$Y$60&gt;$Z$47:$Z$60)*($Y$47:$Y$60-$Z$47:$Z$60))*(1-$H$25)))*(1+INDEX(Assumptions!$D$88:$F$88,1,2))^6-D245</f>
        <v>986816.58001862001</v>
      </c>
    </row>
    <row r="250" spans="1:14" ht="15" customHeight="1" x14ac:dyDescent="0.3">
      <c r="A250" s="6" t="s">
        <v>1224</v>
      </c>
      <c r="B250" s="6" t="s">
        <v>219</v>
      </c>
      <c r="C250" s="6" t="s">
        <v>211</v>
      </c>
      <c r="D250" s="86">
        <f>K$179</f>
        <v>67.052567637916226</v>
      </c>
      <c r="N250" s="6" t="s">
        <v>1225</v>
      </c>
    </row>
    <row r="251" spans="1:14" ht="15" customHeight="1" x14ac:dyDescent="0.3">
      <c r="A251" s="6" t="s">
        <v>1226</v>
      </c>
      <c r="B251" s="6" t="s">
        <v>218</v>
      </c>
      <c r="C251" s="6" t="s">
        <v>211</v>
      </c>
      <c r="D251" s="86">
        <f>K$180</f>
        <v>8528944.5970154479</v>
      </c>
      <c r="N251" s="6" t="s">
        <v>1227</v>
      </c>
    </row>
    <row r="252" spans="1:14" ht="15" customHeight="1" x14ac:dyDescent="0.3">
      <c r="A252" s="6" t="s">
        <v>1228</v>
      </c>
      <c r="B252" s="6" t="s">
        <v>265</v>
      </c>
      <c r="C252" s="6" t="s">
        <v>211</v>
      </c>
      <c r="D252" s="86">
        <f>IF(D244=0,0,D250/D244)</f>
        <v>2.3121575047557319</v>
      </c>
      <c r="N252" s="6" t="s">
        <v>1229</v>
      </c>
    </row>
    <row r="253" spans="1:14" ht="15" customHeight="1" x14ac:dyDescent="0.3">
      <c r="A253" s="6" t="s">
        <v>1230</v>
      </c>
      <c r="B253" s="6" t="s">
        <v>265</v>
      </c>
      <c r="C253" s="6" t="s">
        <v>211</v>
      </c>
      <c r="D253" s="86">
        <f>IF(D245=0,0,D251/D245)</f>
        <v>2.3544121060500989</v>
      </c>
      <c r="N253" s="6" t="s">
        <v>1231</v>
      </c>
    </row>
    <row r="254" spans="1:14" ht="15" customHeight="1" x14ac:dyDescent="0.3">
      <c r="A254" s="6" t="s">
        <v>1232</v>
      </c>
      <c r="B254" s="6" t="s">
        <v>218</v>
      </c>
      <c r="C254" s="6" t="s">
        <v>211</v>
      </c>
      <c r="D254" s="86">
        <f>D251-D245-D247</f>
        <v>2359122.0794420871</v>
      </c>
      <c r="N254" s="6" t="s">
        <v>1233</v>
      </c>
    </row>
    <row r="255" spans="1:14" ht="15" customHeight="1" x14ac:dyDescent="0.3">
      <c r="A255" s="6" t="s">
        <v>1234</v>
      </c>
      <c r="B255" s="6" t="s">
        <v>218</v>
      </c>
      <c r="C255" s="6" t="s">
        <v>211</v>
      </c>
      <c r="D255" s="86">
        <f>-D249</f>
        <v>-986816.58001862001</v>
      </c>
      <c r="N255" s="6" t="s">
        <v>1235</v>
      </c>
    </row>
    <row r="256" spans="1:14" ht="15" customHeight="1" x14ac:dyDescent="0.3">
      <c r="A256" s="6" t="s">
        <v>1236</v>
      </c>
      <c r="B256" s="6" t="s">
        <v>218</v>
      </c>
      <c r="C256" s="6" t="s">
        <v>211</v>
      </c>
      <c r="D256" s="86">
        <f>D254+D255</f>
        <v>1372305.4994234671</v>
      </c>
      <c r="N256" s="6" t="s">
        <v>1237</v>
      </c>
    </row>
    <row r="257" spans="1:14" ht="15" customHeight="1" x14ac:dyDescent="0.3">
      <c r="A257" s="6" t="s">
        <v>1238</v>
      </c>
      <c r="B257" s="6" t="s">
        <v>218</v>
      </c>
      <c r="C257" s="6" t="s">
        <v>211</v>
      </c>
      <c r="D257" s="86">
        <f>ABS(D244+D246+D248-K$183)+ABS(D245+D247+D249-K$184)+ABS(D256-(K$180-K$184))</f>
        <v>4.6566128730773926E-10</v>
      </c>
      <c r="N257" s="6" t="s">
        <v>1239</v>
      </c>
    </row>
    <row r="258" spans="1:14" ht="15" customHeight="1" x14ac:dyDescent="0.3">
      <c r="A258" s="6" t="s">
        <v>1240</v>
      </c>
      <c r="B258" s="6" t="s">
        <v>218</v>
      </c>
      <c r="C258" s="6" t="s">
        <v>211</v>
      </c>
      <c r="D258" s="89">
        <f>SUMPRODUCT(('Revenue &amp; Durability'!K$112&gt;=$E$47:$E$60)*($R$47:$R$60)*($T$47:$T$60+($W$47:$W$60&gt;0)*-INT(-(('Revenue &amp; Durability'!K$112-$U$47:$U$60)*('Revenue &amp; Durability'!K$112&gt;$U$47:$U$60)/(($W$47:$W$60)+($W$47:$W$60=0)))*$X$47:$X$60)/$X$47:$X$60),$I$47:$I$60)*(1+INDEX(Assumptions!$D$88:$F$88,1,2))^6</f>
        <v>8689006.6492900401</v>
      </c>
      <c r="E258" s="21"/>
      <c r="F258" s="21"/>
      <c r="G258" s="21"/>
      <c r="H258" s="21"/>
      <c r="I258" s="21"/>
      <c r="J258" s="21"/>
      <c r="K258" s="21"/>
      <c r="L258" s="21"/>
      <c r="M258" s="21"/>
      <c r="N258" s="6" t="s">
        <v>1241</v>
      </c>
    </row>
    <row r="259" spans="1:14" ht="15" customHeight="1" x14ac:dyDescent="0.3">
      <c r="A259" s="6" t="s">
        <v>1242</v>
      </c>
      <c r="B259" s="6" t="s">
        <v>218</v>
      </c>
      <c r="C259" s="6" t="s">
        <v>211</v>
      </c>
      <c r="D259" s="86">
        <f>D258-K$184</f>
        <v>1532367.5516980598</v>
      </c>
      <c r="E259" s="68"/>
      <c r="F259" s="68"/>
      <c r="G259" s="68"/>
      <c r="H259" s="68"/>
      <c r="I259" s="68"/>
      <c r="J259" s="68"/>
      <c r="K259" s="68"/>
      <c r="L259" s="68"/>
      <c r="M259" s="68"/>
      <c r="N259" s="6" t="s">
        <v>1243</v>
      </c>
    </row>
    <row r="260" spans="1:14" ht="15" customHeight="1" x14ac:dyDescent="0.3">
      <c r="A260" s="21" t="s">
        <v>1244</v>
      </c>
      <c r="B260" s="6"/>
      <c r="C260" s="6"/>
      <c r="D260" s="68"/>
      <c r="E260" s="68"/>
      <c r="F260" s="68"/>
      <c r="G260" s="68"/>
      <c r="H260" s="68"/>
      <c r="I260" s="68"/>
      <c r="J260" s="68"/>
      <c r="K260" s="68"/>
      <c r="L260" s="68"/>
      <c r="M260" s="68"/>
      <c r="N260" s="68"/>
    </row>
    <row r="261" spans="1:14" ht="15" customHeight="1" x14ac:dyDescent="0.3">
      <c r="A261" s="6" t="s">
        <v>1245</v>
      </c>
      <c r="B261" s="6"/>
      <c r="C261" s="6"/>
      <c r="D261" s="68"/>
      <c r="E261" s="68"/>
      <c r="F261" s="68"/>
      <c r="G261" s="68"/>
      <c r="H261" s="68"/>
      <c r="I261" s="68"/>
      <c r="J261" s="68"/>
      <c r="K261" s="68"/>
      <c r="L261" s="68"/>
      <c r="M261" s="68"/>
      <c r="N261" s="68"/>
    </row>
    <row r="262" spans="1:14" ht="15" customHeight="1" x14ac:dyDescent="0.3">
      <c r="A262" s="6"/>
      <c r="B262" s="6"/>
      <c r="C262" s="6"/>
      <c r="D262" s="21" t="s">
        <v>203</v>
      </c>
      <c r="E262" s="21" t="s">
        <v>204</v>
      </c>
      <c r="F262" s="21" t="s">
        <v>205</v>
      </c>
      <c r="G262" s="21" t="s">
        <v>9</v>
      </c>
      <c r="H262" s="21" t="s">
        <v>206</v>
      </c>
      <c r="I262" s="21" t="s">
        <v>10</v>
      </c>
      <c r="J262" s="21" t="s">
        <v>207</v>
      </c>
      <c r="K262" s="21" t="s">
        <v>11</v>
      </c>
      <c r="L262" s="21" t="s">
        <v>208</v>
      </c>
      <c r="M262" s="21" t="s">
        <v>209</v>
      </c>
      <c r="N262" s="21" t="s">
        <v>12</v>
      </c>
    </row>
    <row r="263" spans="1:14" ht="15" customHeight="1" x14ac:dyDescent="0.3">
      <c r="A263" s="6" t="s">
        <v>1246</v>
      </c>
      <c r="B263" s="6" t="s">
        <v>219</v>
      </c>
      <c r="C263" s="6" t="s">
        <v>211</v>
      </c>
      <c r="D263" s="86">
        <f t="shared" ref="D263:N263" si="36">D$177+D$179+D$181</f>
        <v>20.68</v>
      </c>
      <c r="E263" s="86">
        <f t="shared" si="36"/>
        <v>29.61</v>
      </c>
      <c r="F263" s="86">
        <f t="shared" si="36"/>
        <v>45.629480000000001</v>
      </c>
      <c r="G263" s="86">
        <f t="shared" si="36"/>
        <v>72.913226280000003</v>
      </c>
      <c r="H263" s="86">
        <f t="shared" si="36"/>
        <v>98.898129141080005</v>
      </c>
      <c r="I263" s="86">
        <f t="shared" si="36"/>
        <v>108.75096564752388</v>
      </c>
      <c r="J263" s="86">
        <f t="shared" si="36"/>
        <v>117.72689970489425</v>
      </c>
      <c r="K263" s="86">
        <f t="shared" si="36"/>
        <v>125.90397563115866</v>
      </c>
      <c r="L263" s="86">
        <f t="shared" si="36"/>
        <v>124.42329179998555</v>
      </c>
      <c r="M263" s="86">
        <f t="shared" si="36"/>
        <v>113.34961882978683</v>
      </c>
      <c r="N263" s="86">
        <f t="shared" si="36"/>
        <v>103.26150275393582</v>
      </c>
    </row>
    <row r="264" spans="1:14" ht="15" customHeight="1" x14ac:dyDescent="0.3">
      <c r="A264" s="6" t="s">
        <v>1247</v>
      </c>
      <c r="B264" s="6" t="s">
        <v>219</v>
      </c>
      <c r="C264" s="6" t="s">
        <v>211</v>
      </c>
      <c r="D264" s="86">
        <f t="shared" ref="D264:N264" si="37">D$177+D$181</f>
        <v>9.4</v>
      </c>
      <c r="E264" s="86">
        <f t="shared" si="37"/>
        <v>13.629999999999999</v>
      </c>
      <c r="F264" s="86">
        <f t="shared" si="37"/>
        <v>21.253399999999999</v>
      </c>
      <c r="G264" s="86">
        <f t="shared" si="37"/>
        <v>33.838317400000001</v>
      </c>
      <c r="H264" s="86">
        <f t="shared" si="37"/>
        <v>45.805137151400004</v>
      </c>
      <c r="I264" s="86">
        <f t="shared" si="37"/>
        <v>50.564949944925402</v>
      </c>
      <c r="J264" s="86">
        <f t="shared" si="37"/>
        <v>54.901139399827045</v>
      </c>
      <c r="K264" s="86">
        <f t="shared" si="37"/>
        <v>58.851407993242432</v>
      </c>
      <c r="L264" s="86">
        <f t="shared" si="37"/>
        <v>58.220102681843862</v>
      </c>
      <c r="M264" s="86">
        <f t="shared" si="37"/>
        <v>53.038513543159752</v>
      </c>
      <c r="N264" s="86">
        <f t="shared" si="37"/>
        <v>48.318085837818543</v>
      </c>
    </row>
    <row r="265" spans="1:14" ht="15" customHeight="1" x14ac:dyDescent="0.3">
      <c r="A265" s="6" t="s">
        <v>1248</v>
      </c>
      <c r="B265" s="6" t="s">
        <v>219</v>
      </c>
      <c r="C265" s="6" t="s">
        <v>211</v>
      </c>
      <c r="D265" s="86">
        <f t="shared" ref="D265:N265" si="38">D$179</f>
        <v>11.28</v>
      </c>
      <c r="E265" s="86">
        <f t="shared" si="38"/>
        <v>15.979999999999999</v>
      </c>
      <c r="F265" s="86">
        <f t="shared" si="38"/>
        <v>24.376079999999998</v>
      </c>
      <c r="G265" s="86">
        <f t="shared" si="38"/>
        <v>39.074908879999995</v>
      </c>
      <c r="H265" s="86">
        <f t="shared" si="38"/>
        <v>53.092991989680002</v>
      </c>
      <c r="I265" s="86">
        <f t="shared" si="38"/>
        <v>58.186015702598482</v>
      </c>
      <c r="J265" s="86">
        <f t="shared" si="38"/>
        <v>62.82576030506722</v>
      </c>
      <c r="K265" s="86">
        <f t="shared" si="38"/>
        <v>67.052567637916226</v>
      </c>
      <c r="L265" s="86">
        <f t="shared" si="38"/>
        <v>66.203189118141694</v>
      </c>
      <c r="M265" s="86">
        <f t="shared" si="38"/>
        <v>60.311105286627082</v>
      </c>
      <c r="N265" s="86">
        <f t="shared" si="38"/>
        <v>54.943416916117272</v>
      </c>
    </row>
    <row r="266" spans="1:14" ht="15" customHeight="1" x14ac:dyDescent="0.3">
      <c r="A266" s="6" t="s">
        <v>1249</v>
      </c>
      <c r="B266" s="6" t="s">
        <v>219</v>
      </c>
      <c r="C266" s="6" t="s">
        <v>211</v>
      </c>
      <c r="D266" s="89">
        <f>SUMPRODUCT(('Revenue &amp; Durability'!D$100&gt;=$E$47:$E$60)*($R$47:$R$60)*--($E$47:$E$60&lt;=$D$243)*($T$47:$T$60+($W$47:$W$60&gt;0)*-INT(-(('Revenue &amp; Durability'!D$100-$U$47:$U$60)*('Revenue &amp; Durability'!D$100&gt;$U$47:$U$60)/(($W$47:$W$60)+($W$47:$W$60=0)))*$X$47:$X$60)/$X$47:$X$60))</f>
        <v>8</v>
      </c>
      <c r="E266" s="89">
        <f>SUMPRODUCT(('Revenue &amp; Durability'!E$100&gt;=$E$47:$E$60)*($R$47:$R$60)*--($E$47:$E$60&lt;=$D$243)*($T$47:$T$60+($W$47:$W$60&gt;0)*-INT(-(('Revenue &amp; Durability'!E$100-$U$47:$U$60)*('Revenue &amp; Durability'!E$100&gt;$U$47:$U$60)/(($W$47:$W$60)+($W$47:$W$60=0)))*$X$47:$X$60)/$X$47:$X$60))</f>
        <v>9</v>
      </c>
      <c r="F266" s="89">
        <f>SUMPRODUCT(('Revenue &amp; Durability'!F$100&gt;=$E$47:$E$60)*($R$47:$R$60)*--($E$47:$E$60&lt;=$D$243)*($T$47:$T$60+($W$47:$W$60&gt;0)*-INT(-(('Revenue &amp; Durability'!F$100-$U$47:$U$60)*('Revenue &amp; Durability'!F$100&gt;$U$47:$U$60)/(($W$47:$W$60)+($W$47:$W$60=0)))*$X$47:$X$60)/$X$47:$X$60))</f>
        <v>12</v>
      </c>
      <c r="G266" s="89">
        <f>SUMPRODUCT(('Revenue &amp; Durability'!G$100&gt;=$E$47:$E$60)*($R$47:$R$60)*--($E$47:$E$60&lt;=$D$243)*($T$47:$T$60+($W$47:$W$60&gt;0)*-INT(-(('Revenue &amp; Durability'!G$100-$U$47:$U$60)*('Revenue &amp; Durability'!G$100&gt;$U$47:$U$60)/(($W$47:$W$60)+($W$47:$W$60=0)))*$X$47:$X$60)/$X$47:$X$60))</f>
        <v>19</v>
      </c>
      <c r="H266" s="89">
        <f>SUMPRODUCT(('Revenue &amp; Durability'!H$100&gt;=$E$47:$E$60)*($R$47:$R$60)*--($E$47:$E$60&lt;=$D$243)*($T$47:$T$60+($W$47:$W$60&gt;0)*-INT(-(('Revenue &amp; Durability'!H$100-$U$47:$U$60)*('Revenue &amp; Durability'!H$100&gt;$U$47:$U$60)/(($W$47:$W$60)+($W$47:$W$60=0)))*$X$47:$X$60)/$X$47:$X$60))</f>
        <v>25</v>
      </c>
      <c r="I266" s="89">
        <f>SUMPRODUCT(('Revenue &amp; Durability'!I$100&gt;=$E$47:$E$60)*($R$47:$R$60)*--($E$47:$E$60&lt;=$D$243)*($T$47:$T$60+($W$47:$W$60&gt;0)*-INT(-(('Revenue &amp; Durability'!I$100-$U$47:$U$60)*('Revenue &amp; Durability'!I$100&gt;$U$47:$U$60)/(($W$47:$W$60)+($W$47:$W$60=0)))*$X$47:$X$60)/$X$47:$X$60))</f>
        <v>27</v>
      </c>
      <c r="J266" s="89">
        <f>SUMPRODUCT(('Revenue &amp; Durability'!J$100&gt;=$E$47:$E$60)*($R$47:$R$60)*--($E$47:$E$60&lt;=$D$243)*($T$47:$T$60+($W$47:$W$60&gt;0)*-INT(-(('Revenue &amp; Durability'!J$100-$U$47:$U$60)*('Revenue &amp; Durability'!J$100&gt;$U$47:$U$60)/(($W$47:$W$60)+($W$47:$W$60=0)))*$X$47:$X$60)/$X$47:$X$60))</f>
        <v>28</v>
      </c>
      <c r="K266" s="89">
        <f>SUMPRODUCT(('Revenue &amp; Durability'!K$100&gt;=$E$47:$E$60)*($R$47:$R$60)*--($E$47:$E$60&lt;=$D$243)*($T$47:$T$60+($W$47:$W$60&gt;0)*-INT(-(('Revenue &amp; Durability'!K$100-$U$47:$U$60)*('Revenue &amp; Durability'!K$100&gt;$U$47:$U$60)/(($W$47:$W$60)+($W$47:$W$60=0)))*$X$47:$X$60)/$X$47:$X$60))</f>
        <v>29</v>
      </c>
      <c r="L266" s="89">
        <f>SUMPRODUCT(('Revenue &amp; Durability'!L$100&gt;=$E$47:$E$60)*($R$47:$R$60)*--($E$47:$E$60&lt;=$D$243)*($T$47:$T$60+($W$47:$W$60&gt;0)*-INT(-(('Revenue &amp; Durability'!L$100-$U$47:$U$60)*('Revenue &amp; Durability'!L$100&gt;$U$47:$U$60)/(($W$47:$W$60)+($W$47:$W$60=0)))*$X$47:$X$60)/$X$47:$X$60))</f>
        <v>28</v>
      </c>
      <c r="M266" s="89">
        <f>SUMPRODUCT(('Revenue &amp; Durability'!M$100&gt;=$E$47:$E$60)*($R$47:$R$60)*--($E$47:$E$60&lt;=$D$243)*($T$47:$T$60+($W$47:$W$60&gt;0)*-INT(-(('Revenue &amp; Durability'!M$100-$U$47:$U$60)*('Revenue &amp; Durability'!M$100&gt;$U$47:$U$60)/(($W$47:$W$60)+($W$47:$W$60=0)))*$X$47:$X$60)/$X$47:$X$60))</f>
        <v>28</v>
      </c>
      <c r="N266" s="89">
        <f>SUMPRODUCT(('Revenue &amp; Durability'!N$100&gt;=$E$47:$E$60)*($R$47:$R$60)*--($E$47:$E$60&lt;=$D$243)*($T$47:$T$60+($W$47:$W$60&gt;0)*-INT(-(('Revenue &amp; Durability'!N$100-$U$47:$U$60)*('Revenue &amp; Durability'!N$100&gt;$U$47:$U$60)/(($W$47:$W$60)+($W$47:$W$60=0)))*$X$47:$X$60)/$X$47:$X$60))</f>
        <v>25</v>
      </c>
    </row>
    <row r="267" spans="1:14" ht="15" customHeight="1" x14ac:dyDescent="0.3">
      <c r="A267" s="6" t="s">
        <v>32</v>
      </c>
      <c r="B267" s="6" t="s">
        <v>219</v>
      </c>
      <c r="C267" s="6" t="s">
        <v>211</v>
      </c>
      <c r="D267" s="89">
        <f>SUMPRODUCT(('Revenue &amp; Durability'!D$112&gt;=$E$47:$E$60)*($R$47:$R$60)*--($E$47:$E$60&gt;$D$243)*($T$47:$T$60+($W$47:$W$60&gt;0)*-INT(-(('Revenue &amp; Durability'!D$112-$U$47:$U$60)*('Revenue &amp; Durability'!D$112&gt;$U$47:$U$60)/(($W$47:$W$60)+($W$47:$W$60=0)))*$X$47:$X$60)/$X$47:$X$60))</f>
        <v>0</v>
      </c>
      <c r="E267" s="89">
        <f>SUMPRODUCT(('Revenue &amp; Durability'!E$112&gt;=$E$47:$E$60)*($R$47:$R$60)*--($E$47:$E$60&gt;$D$243)*($T$47:$T$60+($W$47:$W$60&gt;0)*-INT(-(('Revenue &amp; Durability'!E$112-$U$47:$U$60)*('Revenue &amp; Durability'!E$112&gt;$U$47:$U$60)/(($W$47:$W$60)+($W$47:$W$60=0)))*$X$47:$X$60)/$X$47:$X$60))</f>
        <v>3.407813</v>
      </c>
      <c r="F267" s="89">
        <f>SUMPRODUCT(('Revenue &amp; Durability'!F$112&gt;=$E$47:$E$60)*($R$47:$R$60)*--($E$47:$E$60&gt;$D$243)*($T$47:$T$60+($W$47:$W$60&gt;0)*-INT(-(('Revenue &amp; Durability'!F$112-$U$47:$U$60)*('Revenue &amp; Durability'!F$112&gt;$U$47:$U$60)/(($W$47:$W$60)+($W$47:$W$60=0)))*$X$47:$X$60)/$X$47:$X$60))</f>
        <v>3.8710800000000001</v>
      </c>
      <c r="G267" s="89">
        <f>SUMPRODUCT(('Revenue &amp; Durability'!G$112&gt;=$E$47:$E$60)*($R$47:$R$60)*--($E$47:$E$60&gt;$D$243)*($T$47:$T$60+($W$47:$W$60&gt;0)*-INT(-(('Revenue &amp; Durability'!G$112-$U$47:$U$60)*('Revenue &amp; Durability'!G$112&gt;$U$47:$U$60)/(($W$47:$W$60)+($W$47:$W$60=0)))*$X$47:$X$60)/$X$47:$X$60))</f>
        <v>6.7193889999999996</v>
      </c>
      <c r="H267" s="89">
        <f>SUMPRODUCT(('Revenue &amp; Durability'!H$112&gt;=$E$47:$E$60)*($R$47:$R$60)*--($E$47:$E$60&gt;$D$243)*($T$47:$T$60+($W$47:$W$60&gt;0)*-INT(-(('Revenue &amp; Durability'!H$112-$U$47:$U$60)*('Revenue &amp; Durability'!H$112&gt;$U$47:$U$60)/(($W$47:$W$60)+($W$47:$W$60=0)))*$X$47:$X$60)/$X$47:$X$60))</f>
        <v>8.5862409999999993</v>
      </c>
      <c r="I267" s="89">
        <f>SUMPRODUCT(('Revenue &amp; Durability'!I$112&gt;=$E$47:$E$60)*($R$47:$R$60)*--($E$47:$E$60&gt;$D$243)*($T$47:$T$60+($W$47:$W$60&gt;0)*-INT(-(('Revenue &amp; Durability'!I$112-$U$47:$U$60)*('Revenue &amp; Durability'!I$112&gt;$U$47:$U$60)/(($W$47:$W$60)+($W$47:$W$60=0)))*$X$47:$X$60)/$X$47:$X$60))</f>
        <v>10.133465000000001</v>
      </c>
      <c r="J267" s="89">
        <f>SUMPRODUCT(('Revenue &amp; Durability'!J$112&gt;=$E$47:$E$60)*($R$47:$R$60)*--($E$47:$E$60&gt;$D$243)*($T$47:$T$60+($W$47:$W$60&gt;0)*-INT(-(('Revenue &amp; Durability'!J$112-$U$47:$U$60)*('Revenue &amp; Durability'!J$112&gt;$U$47:$U$60)/(($W$47:$W$60)+($W$47:$W$60=0)))*$X$47:$X$60)/$X$47:$X$60))</f>
        <v>10.6</v>
      </c>
      <c r="K267" s="89">
        <f>SUMPRODUCT(('Revenue &amp; Durability'!K$112&gt;=$E$47:$E$60)*($R$47:$R$60)*--($E$47:$E$60&gt;$D$243)*($T$47:$T$60+($W$47:$W$60&gt;0)*-INT(-(('Revenue &amp; Durability'!K$112-$U$47:$U$60)*('Revenue &amp; Durability'!K$112&gt;$U$47:$U$60)/(($W$47:$W$60)+($W$47:$W$60=0)))*$X$47:$X$60)/$X$47:$X$60))</f>
        <v>10.6</v>
      </c>
      <c r="L267" s="89">
        <f>SUMPRODUCT(('Revenue &amp; Durability'!L$112&gt;=$E$47:$E$60)*($R$47:$R$60)*--($E$47:$E$60&gt;$D$243)*($T$47:$T$60+($W$47:$W$60&gt;0)*-INT(-(('Revenue &amp; Durability'!L$112-$U$47:$U$60)*('Revenue &amp; Durability'!L$112&gt;$U$47:$U$60)/(($W$47:$W$60)+($W$47:$W$60=0)))*$X$47:$X$60)/$X$47:$X$60))</f>
        <v>10.6</v>
      </c>
      <c r="M267" s="89">
        <f>SUMPRODUCT(('Revenue &amp; Durability'!M$112&gt;=$E$47:$E$60)*($R$47:$R$60)*--($E$47:$E$60&gt;$D$243)*($T$47:$T$60+($W$47:$W$60&gt;0)*-INT(-(('Revenue &amp; Durability'!M$112-$U$47:$U$60)*('Revenue &amp; Durability'!M$112&gt;$U$47:$U$60)/(($W$47:$W$60)+($W$47:$W$60=0)))*$X$47:$X$60)/$X$47:$X$60))</f>
        <v>10.6</v>
      </c>
      <c r="N267" s="89">
        <f>SUMPRODUCT(('Revenue &amp; Durability'!N$112&gt;=$E$47:$E$60)*($R$47:$R$60)*--($E$47:$E$60&gt;$D$243)*($T$47:$T$60+($W$47:$W$60&gt;0)*-INT(-(('Revenue &amp; Durability'!N$112-$U$47:$U$60)*('Revenue &amp; Durability'!N$112&gt;$U$47:$U$60)/(($W$47:$W$60)+($W$47:$W$60=0)))*$X$47:$X$60)/$X$47:$X$60))</f>
        <v>10.6</v>
      </c>
    </row>
    <row r="268" spans="1:14" ht="15" customHeight="1" x14ac:dyDescent="0.3">
      <c r="A268" s="6" t="s">
        <v>1250</v>
      </c>
      <c r="B268" s="6" t="s">
        <v>219</v>
      </c>
      <c r="C268" s="6" t="s">
        <v>211</v>
      </c>
      <c r="D268" s="89">
        <f>SUMPRODUCT(('Revenue &amp; Durability'!D$112&gt;=$E$47:$E$60)*($R$47:$R$60)*--($E$47:$E$60&lt;=$D$243)*($T$47:$T$60+($W$47:$W$60&gt;0)*-INT(-(('Revenue &amp; Durability'!D$112-$U$47:$U$60)*('Revenue &amp; Durability'!D$112&gt;$U$47:$U$60)/(($W$47:$W$60)+($W$47:$W$60=0)))*$X$47:$X$60)/$X$47:$X$60))-D266</f>
        <v>0</v>
      </c>
      <c r="E268" s="89">
        <f>SUMPRODUCT(('Revenue &amp; Durability'!E$112&gt;=$E$47:$E$60)*($R$47:$R$60)*--($E$47:$E$60&lt;=$D$243)*($T$47:$T$60+($W$47:$W$60&gt;0)*-INT(-(('Revenue &amp; Durability'!E$112-$U$47:$U$60)*('Revenue &amp; Durability'!E$112&gt;$U$47:$U$60)/(($W$47:$W$60)+($W$47:$W$60=0)))*$X$47:$X$60)/$X$47:$X$60))-E266</f>
        <v>0</v>
      </c>
      <c r="F268" s="89">
        <f>SUMPRODUCT(('Revenue &amp; Durability'!F$112&gt;=$E$47:$E$60)*($R$47:$R$60)*--($E$47:$E$60&lt;=$D$243)*($T$47:$T$60+($W$47:$W$60&gt;0)*-INT(-(('Revenue &amp; Durability'!F$112-$U$47:$U$60)*('Revenue &amp; Durability'!F$112&gt;$U$47:$U$60)/(($W$47:$W$60)+($W$47:$W$60=0)))*$X$47:$X$60)/$X$47:$X$60))-F266</f>
        <v>1</v>
      </c>
      <c r="G268" s="89">
        <f>SUMPRODUCT(('Revenue &amp; Durability'!G$112&gt;=$E$47:$E$60)*($R$47:$R$60)*--($E$47:$E$60&lt;=$D$243)*($T$47:$T$60+($W$47:$W$60&gt;0)*-INT(-(('Revenue &amp; Durability'!G$112-$U$47:$U$60)*('Revenue &amp; Durability'!G$112&gt;$U$47:$U$60)/(($W$47:$W$60)+($W$47:$W$60=0)))*$X$47:$X$60)/$X$47:$X$60))-G266</f>
        <v>1</v>
      </c>
      <c r="H268" s="89">
        <f>SUMPRODUCT(('Revenue &amp; Durability'!H$112&gt;=$E$47:$E$60)*($R$47:$R$60)*--($E$47:$E$60&lt;=$D$243)*($T$47:$T$60+($W$47:$W$60&gt;0)*-INT(-(('Revenue &amp; Durability'!H$112-$U$47:$U$60)*('Revenue &amp; Durability'!H$112&gt;$U$47:$U$60)/(($W$47:$W$60)+($W$47:$W$60=0)))*$X$47:$X$60)/$X$47:$X$60))-H266</f>
        <v>3</v>
      </c>
      <c r="I268" s="89">
        <f>SUMPRODUCT(('Revenue &amp; Durability'!I$112&gt;=$E$47:$E$60)*($R$47:$R$60)*--($E$47:$E$60&lt;=$D$243)*($T$47:$T$60+($W$47:$W$60&gt;0)*-INT(-(('Revenue &amp; Durability'!I$112-$U$47:$U$60)*('Revenue &amp; Durability'!I$112&gt;$U$47:$U$60)/(($W$47:$W$60)+($W$47:$W$60=0)))*$X$47:$X$60)/$X$47:$X$60))-I266</f>
        <v>5</v>
      </c>
      <c r="J268" s="89">
        <f>SUMPRODUCT(('Revenue &amp; Durability'!J$112&gt;=$E$47:$E$60)*($R$47:$R$60)*--($E$47:$E$60&lt;=$D$243)*($T$47:$T$60+($W$47:$W$60&gt;0)*-INT(-(('Revenue &amp; Durability'!J$112-$U$47:$U$60)*('Revenue &amp; Durability'!J$112&gt;$U$47:$U$60)/(($W$47:$W$60)+($W$47:$W$60=0)))*$X$47:$X$60)/$X$47:$X$60))-J266</f>
        <v>8</v>
      </c>
      <c r="K268" s="89">
        <f>SUMPRODUCT(('Revenue &amp; Durability'!K$112&gt;=$E$47:$E$60)*($R$47:$R$60)*--($E$47:$E$60&lt;=$D$243)*($T$47:$T$60+($W$47:$W$60&gt;0)*-INT(-(('Revenue &amp; Durability'!K$112-$U$47:$U$60)*('Revenue &amp; Durability'!K$112&gt;$U$47:$U$60)/(($W$47:$W$60)+($W$47:$W$60=0)))*$X$47:$X$60)/$X$47:$X$60))-K266</f>
        <v>7</v>
      </c>
      <c r="L268" s="89">
        <f>SUMPRODUCT(('Revenue &amp; Durability'!L$112&gt;=$E$47:$E$60)*($R$47:$R$60)*--($E$47:$E$60&lt;=$D$243)*($T$47:$T$60+($W$47:$W$60&gt;0)*-INT(-(('Revenue &amp; Durability'!L$112-$U$47:$U$60)*('Revenue &amp; Durability'!L$112&gt;$U$47:$U$60)/(($W$47:$W$60)+($W$47:$W$60=0)))*$X$47:$X$60)/$X$47:$X$60))-L266</f>
        <v>8</v>
      </c>
      <c r="M268" s="89">
        <f>SUMPRODUCT(('Revenue &amp; Durability'!M$112&gt;=$E$47:$E$60)*($R$47:$R$60)*--($E$47:$E$60&lt;=$D$243)*($T$47:$T$60+($W$47:$W$60&gt;0)*-INT(-(('Revenue &amp; Durability'!M$112-$U$47:$U$60)*('Revenue &amp; Durability'!M$112&gt;$U$47:$U$60)/(($W$47:$W$60)+($W$47:$W$60=0)))*$X$47:$X$60)/$X$47:$X$60))-M266</f>
        <v>8</v>
      </c>
      <c r="N268" s="89">
        <f>SUMPRODUCT(('Revenue &amp; Durability'!N$112&gt;=$E$47:$E$60)*($R$47:$R$60)*--($E$47:$E$60&lt;=$D$243)*($T$47:$T$60+($W$47:$W$60&gt;0)*-INT(-(('Revenue &amp; Durability'!N$112-$U$47:$U$60)*('Revenue &amp; Durability'!N$112&gt;$U$47:$U$60)/(($W$47:$W$60)+($W$47:$W$60=0)))*$X$47:$X$60)/$X$47:$X$60))-N266</f>
        <v>11</v>
      </c>
    </row>
    <row r="269" spans="1:14" ht="15" customHeight="1" x14ac:dyDescent="0.3">
      <c r="A269" s="6" t="s">
        <v>1251</v>
      </c>
      <c r="B269" s="6" t="s">
        <v>219</v>
      </c>
      <c r="C269" s="6" t="s">
        <v>211</v>
      </c>
      <c r="D269" s="86">
        <f t="shared" ref="D269:N269" si="39">D$183</f>
        <v>8</v>
      </c>
      <c r="E269" s="86">
        <f t="shared" si="39"/>
        <v>12.407813000000001</v>
      </c>
      <c r="F269" s="86">
        <f t="shared" si="39"/>
        <v>16.871079999999999</v>
      </c>
      <c r="G269" s="86">
        <f t="shared" si="39"/>
        <v>26.719389</v>
      </c>
      <c r="H269" s="86">
        <f t="shared" si="39"/>
        <v>36.586241000000001</v>
      </c>
      <c r="I269" s="86">
        <f t="shared" si="39"/>
        <v>42.133465000000001</v>
      </c>
      <c r="J269" s="86">
        <f t="shared" si="39"/>
        <v>46.6</v>
      </c>
      <c r="K269" s="86">
        <f t="shared" si="39"/>
        <v>46.6</v>
      </c>
      <c r="L269" s="86">
        <f t="shared" si="39"/>
        <v>46.6</v>
      </c>
      <c r="M269" s="86">
        <f t="shared" si="39"/>
        <v>46.6</v>
      </c>
      <c r="N269" s="86">
        <f t="shared" si="39"/>
        <v>46.6</v>
      </c>
    </row>
    <row r="270" spans="1:14" ht="15" customHeight="1" x14ac:dyDescent="0.3">
      <c r="A270" s="6" t="s">
        <v>1252</v>
      </c>
      <c r="B270" s="6" t="s">
        <v>219</v>
      </c>
      <c r="C270" s="6" t="s">
        <v>211</v>
      </c>
      <c r="D270" s="86">
        <f t="shared" ref="D270:N270" si="40">D$185</f>
        <v>7</v>
      </c>
      <c r="E270" s="86">
        <f t="shared" si="40"/>
        <v>8</v>
      </c>
      <c r="F270" s="86">
        <f t="shared" si="40"/>
        <v>8</v>
      </c>
      <c r="G270" s="86">
        <f t="shared" si="40"/>
        <v>8</v>
      </c>
      <c r="H270" s="86">
        <f t="shared" si="40"/>
        <v>8</v>
      </c>
      <c r="I270" s="86">
        <f t="shared" si="40"/>
        <v>8</v>
      </c>
      <c r="J270" s="86">
        <f t="shared" si="40"/>
        <v>8</v>
      </c>
      <c r="K270" s="86">
        <f t="shared" si="40"/>
        <v>8</v>
      </c>
      <c r="L270" s="86">
        <f t="shared" si="40"/>
        <v>8</v>
      </c>
      <c r="M270" s="86">
        <f t="shared" si="40"/>
        <v>8</v>
      </c>
      <c r="N270" s="86">
        <f t="shared" si="40"/>
        <v>8</v>
      </c>
    </row>
    <row r="271" spans="1:14" ht="15" customHeight="1" x14ac:dyDescent="0.3">
      <c r="A271" s="6" t="s">
        <v>1203</v>
      </c>
      <c r="B271" s="6" t="s">
        <v>219</v>
      </c>
      <c r="C271" s="6" t="s">
        <v>211</v>
      </c>
      <c r="D271" s="86">
        <f t="shared" ref="D271:N271" si="41">D$188</f>
        <v>4</v>
      </c>
      <c r="E271" s="86">
        <f t="shared" si="41"/>
        <v>4</v>
      </c>
      <c r="F271" s="86">
        <f t="shared" si="41"/>
        <v>4</v>
      </c>
      <c r="G271" s="86">
        <f t="shared" si="41"/>
        <v>4</v>
      </c>
      <c r="H271" s="86">
        <f t="shared" si="41"/>
        <v>5</v>
      </c>
      <c r="I271" s="86">
        <f t="shared" si="41"/>
        <v>5</v>
      </c>
      <c r="J271" s="86">
        <f t="shared" si="41"/>
        <v>5</v>
      </c>
      <c r="K271" s="86">
        <f t="shared" si="41"/>
        <v>5</v>
      </c>
      <c r="L271" s="86">
        <f t="shared" si="41"/>
        <v>5</v>
      </c>
      <c r="M271" s="86">
        <f t="shared" si="41"/>
        <v>5</v>
      </c>
      <c r="N271" s="86">
        <f t="shared" si="41"/>
        <v>5</v>
      </c>
    </row>
    <row r="272" spans="1:14" ht="15" customHeight="1" x14ac:dyDescent="0.3">
      <c r="A272" s="6" t="s">
        <v>1205</v>
      </c>
      <c r="B272" s="6" t="s">
        <v>219</v>
      </c>
      <c r="C272" s="6" t="s">
        <v>211</v>
      </c>
      <c r="D272" s="86">
        <f t="shared" ref="D272:N272" si="42">D$191</f>
        <v>0</v>
      </c>
      <c r="E272" s="86">
        <f t="shared" si="42"/>
        <v>3</v>
      </c>
      <c r="F272" s="86">
        <f t="shared" si="42"/>
        <v>3</v>
      </c>
      <c r="G272" s="86">
        <f t="shared" si="42"/>
        <v>5</v>
      </c>
      <c r="H272" s="86">
        <f t="shared" si="42"/>
        <v>8</v>
      </c>
      <c r="I272" s="86">
        <f t="shared" si="42"/>
        <v>8</v>
      </c>
      <c r="J272" s="86">
        <f t="shared" si="42"/>
        <v>9</v>
      </c>
      <c r="K272" s="86">
        <f t="shared" si="42"/>
        <v>9</v>
      </c>
      <c r="L272" s="86">
        <f t="shared" si="42"/>
        <v>9</v>
      </c>
      <c r="M272" s="86">
        <f t="shared" si="42"/>
        <v>9</v>
      </c>
      <c r="N272" s="86">
        <f t="shared" si="42"/>
        <v>9</v>
      </c>
    </row>
    <row r="273" spans="1:14" ht="15" customHeight="1" x14ac:dyDescent="0.3">
      <c r="A273" s="6" t="s">
        <v>1208</v>
      </c>
      <c r="B273" s="6" t="s">
        <v>219</v>
      </c>
      <c r="C273" s="6" t="s">
        <v>211</v>
      </c>
      <c r="D273" s="86">
        <f t="shared" ref="D273:N273" si="43">D$198</f>
        <v>19</v>
      </c>
      <c r="E273" s="86">
        <f t="shared" si="43"/>
        <v>27.407813000000001</v>
      </c>
      <c r="F273" s="86">
        <f t="shared" si="43"/>
        <v>31.871079999999999</v>
      </c>
      <c r="G273" s="86">
        <f t="shared" si="43"/>
        <v>43.719389</v>
      </c>
      <c r="H273" s="86">
        <f t="shared" si="43"/>
        <v>57.586241000000001</v>
      </c>
      <c r="I273" s="86">
        <f t="shared" si="43"/>
        <v>63.133465000000001</v>
      </c>
      <c r="J273" s="86">
        <f t="shared" si="43"/>
        <v>68.599999999999994</v>
      </c>
      <c r="K273" s="86">
        <f t="shared" si="43"/>
        <v>68.599999999999994</v>
      </c>
      <c r="L273" s="86">
        <f t="shared" si="43"/>
        <v>68.599999999999994</v>
      </c>
      <c r="M273" s="86">
        <f t="shared" si="43"/>
        <v>68.599999999999994</v>
      </c>
      <c r="N273" s="86">
        <f t="shared" si="43"/>
        <v>68.599999999999994</v>
      </c>
    </row>
    <row r="274" spans="1:14" ht="15" customHeight="1" x14ac:dyDescent="0.3">
      <c r="A274" s="6" t="s">
        <v>1253</v>
      </c>
      <c r="B274" s="6" t="s">
        <v>219</v>
      </c>
      <c r="C274" s="6" t="s">
        <v>211</v>
      </c>
      <c r="D274" s="86">
        <f t="shared" ref="D274:N274" si="44">ABS(D266+D267+D268-D269)</f>
        <v>0</v>
      </c>
      <c r="E274" s="86">
        <f t="shared" si="44"/>
        <v>0</v>
      </c>
      <c r="F274" s="86">
        <f t="shared" si="44"/>
        <v>0</v>
      </c>
      <c r="G274" s="86">
        <f t="shared" si="44"/>
        <v>0</v>
      </c>
      <c r="H274" s="86">
        <f t="shared" si="44"/>
        <v>0</v>
      </c>
      <c r="I274" s="86">
        <f t="shared" si="44"/>
        <v>0</v>
      </c>
      <c r="J274" s="86">
        <f t="shared" si="44"/>
        <v>0</v>
      </c>
      <c r="K274" s="86">
        <f t="shared" si="44"/>
        <v>0</v>
      </c>
      <c r="L274" s="86">
        <f t="shared" si="44"/>
        <v>0</v>
      </c>
      <c r="M274" s="86">
        <f t="shared" si="44"/>
        <v>0</v>
      </c>
      <c r="N274" s="86">
        <f t="shared" si="44"/>
        <v>0</v>
      </c>
    </row>
    <row r="276" spans="1:14" ht="15" customHeight="1" x14ac:dyDescent="0.25">
      <c r="A276" s="21" t="s">
        <v>1254</v>
      </c>
    </row>
    <row r="277" spans="1:14" ht="15" customHeight="1" x14ac:dyDescent="0.3">
      <c r="A277" s="6" t="s">
        <v>1255</v>
      </c>
    </row>
    <row r="278" spans="1:14" ht="15" customHeight="1" x14ac:dyDescent="0.25">
      <c r="D278" s="21" t="s">
        <v>203</v>
      </c>
      <c r="E278" s="21" t="s">
        <v>204</v>
      </c>
      <c r="F278" s="21" t="s">
        <v>205</v>
      </c>
      <c r="G278" s="21" t="s">
        <v>9</v>
      </c>
      <c r="H278" s="21" t="s">
        <v>206</v>
      </c>
      <c r="I278" s="21" t="s">
        <v>10</v>
      </c>
      <c r="J278" s="21" t="s">
        <v>207</v>
      </c>
      <c r="K278" s="21" t="s">
        <v>11</v>
      </c>
      <c r="L278" s="21" t="s">
        <v>208</v>
      </c>
      <c r="M278" s="21" t="s">
        <v>209</v>
      </c>
      <c r="N278" s="21" t="s">
        <v>12</v>
      </c>
    </row>
    <row r="279" spans="1:14" ht="15" customHeight="1" x14ac:dyDescent="0.3">
      <c r="A279" s="6" t="s">
        <v>1256</v>
      </c>
      <c r="B279" s="6" t="s">
        <v>219</v>
      </c>
      <c r="C279" s="6" t="s">
        <v>1013</v>
      </c>
      <c r="D279" s="86">
        <f t="shared" ref="D279:N279" si="45">SUMPRODUCT(($D$107:$D$115&gt;=$E47)*($T47+($O47&gt;0)*-INT(-(($D$107:$D$115-$U47)*($D$107:$D$115&gt;$U47)/(($O47)+($O47=0))*(1+$P47*($F$107:$F$115-1)))*$X47)/$X47),($B$107:$B$115=0)*D$168+($B$107:$B$115=1)*D$169+($B$107:$B$115=2)*D$170+($B$107:$B$115=3)*D$171+($B$107:$B$115=4)*D$172+($B$107:$B$115=5)*D$173+($B$107:$B$115=6)*D$174+($B$107:$B$115=7)*D$175)</f>
        <v>3.76</v>
      </c>
      <c r="E279" s="86">
        <f t="shared" si="45"/>
        <v>5.17</v>
      </c>
      <c r="F279" s="86">
        <f t="shared" si="45"/>
        <v>7.6553599999999999</v>
      </c>
      <c r="G279" s="86">
        <f t="shared" si="45"/>
        <v>12.26952296</v>
      </c>
      <c r="H279" s="86">
        <f t="shared" si="45"/>
        <v>16.68217541656</v>
      </c>
      <c r="I279" s="86">
        <f t="shared" si="45"/>
        <v>18.142951804486163</v>
      </c>
      <c r="J279" s="86">
        <f t="shared" si="45"/>
        <v>19.473719093886892</v>
      </c>
      <c r="K279" s="86">
        <f t="shared" si="45"/>
        <v>20.68604809453096</v>
      </c>
      <c r="L279" s="86">
        <f t="shared" si="45"/>
        <v>20.380479814117706</v>
      </c>
      <c r="M279" s="86">
        <f t="shared" si="45"/>
        <v>18.56661711066123</v>
      </c>
      <c r="N279" s="86">
        <f t="shared" si="45"/>
        <v>16.914188187812382</v>
      </c>
    </row>
    <row r="280" spans="1:14" ht="15" customHeight="1" x14ac:dyDescent="0.3">
      <c r="A280" s="6" t="s">
        <v>1257</v>
      </c>
      <c r="B280" s="6" t="s">
        <v>219</v>
      </c>
      <c r="C280" s="6" t="s">
        <v>1013</v>
      </c>
      <c r="D280" s="86">
        <f t="shared" ref="D280:N280" si="46">SUMPRODUCT(($D$107:$D$115&gt;=$E48)*($T48+($O48&gt;0)*-INT(-(($D$107:$D$115-$U48)*($D$107:$D$115&gt;$U48)/(($O48)+($O48=0))*(1+$P48*($F$107:$F$115-1)))*$X48)/$X48),($B$107:$B$115=0)*D$168+($B$107:$B$115=1)*D$169+($B$107:$B$115=2)*D$170+($B$107:$B$115=3)*D$171+($B$107:$B$115=4)*D$172+($B$107:$B$115=5)*D$173+($B$107:$B$115=6)*D$174+($B$107:$B$115=7)*D$175)</f>
        <v>0.94</v>
      </c>
      <c r="E280" s="86">
        <f t="shared" si="46"/>
        <v>1.41</v>
      </c>
      <c r="F280" s="86">
        <f t="shared" si="46"/>
        <v>2.2663399999999996</v>
      </c>
      <c r="G280" s="86">
        <f t="shared" si="46"/>
        <v>3.5164657399999992</v>
      </c>
      <c r="H280" s="86">
        <f t="shared" si="46"/>
        <v>4.6971602891400002</v>
      </c>
      <c r="I280" s="86">
        <f t="shared" si="46"/>
        <v>5.2609430234065391</v>
      </c>
      <c r="J280" s="86">
        <f t="shared" si="46"/>
        <v>5.7745490943233575</v>
      </c>
      <c r="K280" s="86">
        <f t="shared" si="46"/>
        <v>6.2424442249285788</v>
      </c>
      <c r="L280" s="86">
        <f t="shared" si="46"/>
        <v>6.1986966889099353</v>
      </c>
      <c r="M280" s="86">
        <f t="shared" si="46"/>
        <v>5.6470126835969525</v>
      </c>
      <c r="N280" s="86">
        <f t="shared" si="46"/>
        <v>5.1444285547568231</v>
      </c>
    </row>
    <row r="281" spans="1:14" ht="15" customHeight="1" x14ac:dyDescent="0.3">
      <c r="A281" s="6" t="s">
        <v>1258</v>
      </c>
      <c r="B281" s="6" t="s">
        <v>219</v>
      </c>
      <c r="C281" s="6" t="s">
        <v>1013</v>
      </c>
      <c r="D281" s="86">
        <f t="shared" ref="D281:N281" si="47">SUMPRODUCT(($D$107:$D$115&gt;=$E49)*($T49+($O49&gt;0)*-INT(-(($D$107:$D$115-$U49)*($D$107:$D$115&gt;$U49)/(($O49)+($O49=0))*(1+$P49*($F$107:$F$115-1)))*$X49)/$X49),($B$107:$B$115=0)*D$168+($B$107:$B$115=1)*D$169+($B$107:$B$115=2)*D$170+($B$107:$B$115=3)*D$171+($B$107:$B$115=4)*D$172+($B$107:$B$115=5)*D$173+($B$107:$B$115=6)*D$174+($B$107:$B$115=7)*D$175)</f>
        <v>0.94</v>
      </c>
      <c r="E281" s="86">
        <f t="shared" si="47"/>
        <v>1.41</v>
      </c>
      <c r="F281" s="86">
        <f t="shared" si="47"/>
        <v>2.2663399999999996</v>
      </c>
      <c r="G281" s="86">
        <f t="shared" si="47"/>
        <v>3.9864657399999994</v>
      </c>
      <c r="H281" s="86">
        <f t="shared" si="47"/>
        <v>5.6371602891399997</v>
      </c>
      <c r="I281" s="86">
        <f t="shared" si="47"/>
        <v>6.1172830234065403</v>
      </c>
      <c r="J281" s="86">
        <f t="shared" si="47"/>
        <v>6.5546748343233583</v>
      </c>
      <c r="K281" s="86">
        <f t="shared" si="47"/>
        <v>6.9531387740685799</v>
      </c>
      <c r="L281" s="86">
        <f t="shared" si="47"/>
        <v>6.8461394231764761</v>
      </c>
      <c r="M281" s="86">
        <f t="shared" si="47"/>
        <v>6.2368330145137705</v>
      </c>
      <c r="N281" s="86">
        <f t="shared" si="47"/>
        <v>5.681754876222044</v>
      </c>
    </row>
    <row r="282" spans="1:14" ht="15" customHeight="1" x14ac:dyDescent="0.3">
      <c r="A282" s="6" t="s">
        <v>1259</v>
      </c>
      <c r="B282" s="6" t="s">
        <v>219</v>
      </c>
      <c r="C282" s="6" t="s">
        <v>1026</v>
      </c>
      <c r="D282" s="86">
        <f t="shared" ref="D282:N282" si="48">SUMPRODUCT(($D$107:$D$115&gt;=$E50)*($T50+($O50&gt;0)*-INT(-(($D$107:$D$115-$U50)*($D$107:$D$115&gt;$U50)/(($O50)+($O50=0))*(1+$P50*($F$107:$F$115-1)))*$X50)/$X50),($B$107:$B$115=0)*D$168+($B$107:$B$115=1)*D$169+($B$107:$B$115=2)*D$170+($B$107:$B$115=3)*D$171+($B$107:$B$115=4)*D$172+($B$107:$B$115=5)*D$173+($B$107:$B$115=6)*D$174+($B$107:$B$115=7)*D$175)</f>
        <v>0.94</v>
      </c>
      <c r="E282" s="86">
        <f t="shared" si="48"/>
        <v>1.41</v>
      </c>
      <c r="F282" s="86">
        <f t="shared" si="48"/>
        <v>2.2663399999999996</v>
      </c>
      <c r="G282" s="86">
        <f t="shared" si="48"/>
        <v>3.5164657399999992</v>
      </c>
      <c r="H282" s="86">
        <f t="shared" si="48"/>
        <v>4.6971602891400002</v>
      </c>
      <c r="I282" s="86">
        <f t="shared" si="48"/>
        <v>5.2609430234065391</v>
      </c>
      <c r="J282" s="86">
        <f t="shared" si="48"/>
        <v>5.7745490943233575</v>
      </c>
      <c r="K282" s="86">
        <f t="shared" si="48"/>
        <v>6.2424442249285788</v>
      </c>
      <c r="L282" s="86">
        <f t="shared" si="48"/>
        <v>6.1986966889099353</v>
      </c>
      <c r="M282" s="86">
        <f t="shared" si="48"/>
        <v>5.6470126835969525</v>
      </c>
      <c r="N282" s="86">
        <f t="shared" si="48"/>
        <v>5.1444285547568231</v>
      </c>
    </row>
    <row r="283" spans="1:14" ht="15" customHeight="1" x14ac:dyDescent="0.3">
      <c r="A283" s="6" t="s">
        <v>1260</v>
      </c>
      <c r="B283" s="6" t="s">
        <v>219</v>
      </c>
      <c r="C283" s="6" t="s">
        <v>1032</v>
      </c>
      <c r="D283" s="86">
        <f t="shared" ref="D283:N283" si="49">SUMPRODUCT(($D$107:$D$115&gt;=$E51)*($T51+($O51&gt;0)*-INT(-(($D$107:$D$115-$U51)*($D$107:$D$115&gt;$U51)/(($O51)+($O51=0))*(1+$P51*($F$107:$F$115-1)))*$X51)/$X51),($B$107:$B$115=0)*D$168+($B$107:$B$115=1)*D$169+($B$107:$B$115=2)*D$170+($B$107:$B$115=3)*D$171+($B$107:$B$115=4)*D$172+($B$107:$B$115=5)*D$173+($B$107:$B$115=6)*D$174+($B$107:$B$115=7)*D$175)</f>
        <v>0</v>
      </c>
      <c r="E283" s="86">
        <f t="shared" si="49"/>
        <v>0</v>
      </c>
      <c r="F283" s="86">
        <f t="shared" si="49"/>
        <v>0</v>
      </c>
      <c r="G283" s="86">
        <f t="shared" si="49"/>
        <v>0</v>
      </c>
      <c r="H283" s="86">
        <f t="shared" si="49"/>
        <v>0</v>
      </c>
      <c r="I283" s="86">
        <f t="shared" si="49"/>
        <v>0</v>
      </c>
      <c r="J283" s="86">
        <f t="shared" si="49"/>
        <v>0</v>
      </c>
      <c r="K283" s="86">
        <f t="shared" si="49"/>
        <v>0</v>
      </c>
      <c r="L283" s="86">
        <f t="shared" si="49"/>
        <v>0</v>
      </c>
      <c r="M283" s="86">
        <f t="shared" si="49"/>
        <v>0</v>
      </c>
      <c r="N283" s="86">
        <f t="shared" si="49"/>
        <v>0</v>
      </c>
    </row>
    <row r="284" spans="1:14" ht="15" customHeight="1" x14ac:dyDescent="0.3">
      <c r="A284" s="6" t="s">
        <v>1261</v>
      </c>
      <c r="B284" s="6" t="s">
        <v>219</v>
      </c>
      <c r="C284" s="6" t="s">
        <v>1032</v>
      </c>
      <c r="D284" s="86">
        <f t="shared" ref="D284:N284" si="50">SUMPRODUCT(($D$107:$D$115&gt;=$E52)*($T52+($O52&gt;0)*-INT(-(($D$107:$D$115-$U52)*($D$107:$D$115&gt;$U52)/(($O52)+($O52=0))*(1+$P52*($F$107:$F$115-1)))*$X52)/$X52),($B$107:$B$115=0)*D$168+($B$107:$B$115=1)*D$169+($B$107:$B$115=2)*D$170+($B$107:$B$115=3)*D$171+($B$107:$B$115=4)*D$172+($B$107:$B$115=5)*D$173+($B$107:$B$115=6)*D$174+($B$107:$B$115=7)*D$175)</f>
        <v>0.94</v>
      </c>
      <c r="E284" s="86">
        <f t="shared" si="50"/>
        <v>1.41</v>
      </c>
      <c r="F284" s="86">
        <f t="shared" si="50"/>
        <v>2.2663399999999996</v>
      </c>
      <c r="G284" s="86">
        <f t="shared" si="50"/>
        <v>3.9864657399999994</v>
      </c>
      <c r="H284" s="86">
        <f t="shared" si="50"/>
        <v>5.6371602891399997</v>
      </c>
      <c r="I284" s="86">
        <f t="shared" si="50"/>
        <v>6.1172830234065403</v>
      </c>
      <c r="J284" s="86">
        <f t="shared" si="50"/>
        <v>6.5546748343233583</v>
      </c>
      <c r="K284" s="86">
        <f t="shared" si="50"/>
        <v>6.9531387740685799</v>
      </c>
      <c r="L284" s="86">
        <f t="shared" si="50"/>
        <v>6.8461394231764761</v>
      </c>
      <c r="M284" s="86">
        <f t="shared" si="50"/>
        <v>6.2368330145137705</v>
      </c>
      <c r="N284" s="86">
        <f t="shared" si="50"/>
        <v>5.681754876222044</v>
      </c>
    </row>
    <row r="285" spans="1:14" ht="15" customHeight="1" x14ac:dyDescent="0.3">
      <c r="A285" s="6" t="s">
        <v>1262</v>
      </c>
      <c r="B285" s="6" t="s">
        <v>219</v>
      </c>
      <c r="C285" s="6" t="s">
        <v>1032</v>
      </c>
      <c r="D285" s="86">
        <f t="shared" ref="D285:N285" si="51">SUMPRODUCT(($D$107:$D$115&gt;=$E53)*($T53+($O53&gt;0)*-INT(-(($D$107:$D$115-$U53)*($D$107:$D$115&gt;$U53)/(($O53)+($O53=0))*(1+$P53*($F$107:$F$115-1)))*$X53)/$X53),($B$107:$B$115=0)*D$168+($B$107:$B$115=1)*D$169+($B$107:$B$115=2)*D$170+($B$107:$B$115=3)*D$171+($B$107:$B$115=4)*D$172+($B$107:$B$115=5)*D$173+($B$107:$B$115=6)*D$174+($B$107:$B$115=7)*D$175)</f>
        <v>3.76</v>
      </c>
      <c r="E285" s="86">
        <f t="shared" si="51"/>
        <v>5.17</v>
      </c>
      <c r="F285" s="86">
        <f t="shared" si="51"/>
        <v>7.6553599999999999</v>
      </c>
      <c r="G285" s="86">
        <f t="shared" si="51"/>
        <v>11.799522960000001</v>
      </c>
      <c r="H285" s="86">
        <f t="shared" si="51"/>
        <v>15.74217541656</v>
      </c>
      <c r="I285" s="86">
        <f t="shared" si="51"/>
        <v>17.28661180448616</v>
      </c>
      <c r="J285" s="86">
        <f t="shared" si="51"/>
        <v>18.693593353886893</v>
      </c>
      <c r="K285" s="86">
        <f t="shared" si="51"/>
        <v>19.975353545390959</v>
      </c>
      <c r="L285" s="86">
        <f t="shared" si="51"/>
        <v>19.733037079851165</v>
      </c>
      <c r="M285" s="86">
        <f t="shared" si="51"/>
        <v>17.976796779744411</v>
      </c>
      <c r="N285" s="86">
        <f t="shared" si="51"/>
        <v>16.376861866347163</v>
      </c>
    </row>
    <row r="286" spans="1:14" ht="15" customHeight="1" x14ac:dyDescent="0.3">
      <c r="A286" s="6" t="s">
        <v>1263</v>
      </c>
      <c r="B286" s="6" t="s">
        <v>219</v>
      </c>
      <c r="C286" s="6" t="s">
        <v>1032</v>
      </c>
      <c r="D286" s="86">
        <f t="shared" ref="D286:N286" si="52">SUMPRODUCT(($D$107:$D$115&gt;=$E54)*($T54+($O54&gt;0)*-INT(-(($D$107:$D$115-$U54)*($D$107:$D$115&gt;$U54)/(($O54)+($O54=0))*(1+$P54*($F$107:$F$115-1)))*$X54)/$X54),($B$107:$B$115=0)*D$168+($B$107:$B$115=1)*D$169+($B$107:$B$115=2)*D$170+($B$107:$B$115=3)*D$171+($B$107:$B$115=4)*D$172+($B$107:$B$115=5)*D$173+($B$107:$B$115=6)*D$174+($B$107:$B$115=7)*D$175)</f>
        <v>1.88</v>
      </c>
      <c r="E286" s="86">
        <f t="shared" si="52"/>
        <v>2.82</v>
      </c>
      <c r="F286" s="86">
        <f t="shared" si="52"/>
        <v>4.5326799999999992</v>
      </c>
      <c r="G286" s="86">
        <f t="shared" si="52"/>
        <v>7.5029314799999991</v>
      </c>
      <c r="H286" s="86">
        <f t="shared" si="52"/>
        <v>10.33432057828</v>
      </c>
      <c r="I286" s="86">
        <f t="shared" si="52"/>
        <v>11.378226046813078</v>
      </c>
      <c r="J286" s="86">
        <f t="shared" si="52"/>
        <v>12.329223928646718</v>
      </c>
      <c r="K286" s="86">
        <f t="shared" si="52"/>
        <v>13.195582998997159</v>
      </c>
      <c r="L286" s="86">
        <f t="shared" si="52"/>
        <v>13.044836112086411</v>
      </c>
      <c r="M286" s="86">
        <f t="shared" si="52"/>
        <v>11.883845698110722</v>
      </c>
      <c r="N286" s="86">
        <f t="shared" si="52"/>
        <v>10.826183430978867</v>
      </c>
    </row>
    <row r="287" spans="1:14" ht="15" customHeight="1" x14ac:dyDescent="0.3">
      <c r="A287" s="6" t="s">
        <v>1264</v>
      </c>
      <c r="B287" s="6" t="s">
        <v>219</v>
      </c>
      <c r="C287" s="6" t="s">
        <v>1032</v>
      </c>
      <c r="D287" s="86">
        <f t="shared" ref="D287:N287" si="53">SUMPRODUCT(($D$107:$D$115&gt;=$E55)*($T55+($O55&gt;0)*-INT(-(($D$107:$D$115-$U55)*($D$107:$D$115&gt;$U55)/(($O55)+($O55=0))*(1+$P55*($F$107:$F$115-1)))*$X55)/$X55),($B$107:$B$115=0)*D$168+($B$107:$B$115=1)*D$169+($B$107:$B$115=2)*D$170+($B$107:$B$115=3)*D$171+($B$107:$B$115=4)*D$172+($B$107:$B$115=5)*D$173+($B$107:$B$115=6)*D$174+($B$107:$B$115=7)*D$175)</f>
        <v>0</v>
      </c>
      <c r="E287" s="86">
        <f t="shared" si="53"/>
        <v>0</v>
      </c>
      <c r="F287" s="86">
        <f t="shared" si="53"/>
        <v>0</v>
      </c>
      <c r="G287" s="86">
        <f t="shared" si="53"/>
        <v>0</v>
      </c>
      <c r="H287" s="86">
        <f t="shared" si="53"/>
        <v>0</v>
      </c>
      <c r="I287" s="86">
        <f t="shared" si="53"/>
        <v>0</v>
      </c>
      <c r="J287" s="86">
        <f t="shared" si="53"/>
        <v>0</v>
      </c>
      <c r="K287" s="86">
        <f t="shared" si="53"/>
        <v>0</v>
      </c>
      <c r="L287" s="86">
        <f t="shared" si="53"/>
        <v>0</v>
      </c>
      <c r="M287" s="86">
        <f t="shared" si="53"/>
        <v>0</v>
      </c>
      <c r="N287" s="86">
        <f t="shared" si="53"/>
        <v>0</v>
      </c>
    </row>
    <row r="288" spans="1:14" ht="15" customHeight="1" x14ac:dyDescent="0.3">
      <c r="A288" s="6" t="s">
        <v>1265</v>
      </c>
      <c r="B288" s="6" t="s">
        <v>219</v>
      </c>
      <c r="C288" s="6" t="s">
        <v>1032</v>
      </c>
      <c r="D288" s="86">
        <f t="shared" ref="D288:N288" si="54">SUMPRODUCT(($D$107:$D$115&gt;=$E56)*($T56+($O56&gt;0)*-INT(-(($D$107:$D$115-$U56)*($D$107:$D$115&gt;$U56)/(($O56)+($O56=0))*(1+$P56*($F$107:$F$115-1)))*$X56)/$X56),($B$107:$B$115=0)*D$168+($B$107:$B$115=1)*D$169+($B$107:$B$115=2)*D$170+($B$107:$B$115=3)*D$171+($B$107:$B$115=4)*D$172+($B$107:$B$115=5)*D$173+($B$107:$B$115=6)*D$174+($B$107:$B$115=7)*D$175)</f>
        <v>1.88</v>
      </c>
      <c r="E288" s="86">
        <f t="shared" si="54"/>
        <v>2.82</v>
      </c>
      <c r="F288" s="86">
        <f t="shared" si="54"/>
        <v>4.5326799999999992</v>
      </c>
      <c r="G288" s="86">
        <f t="shared" si="54"/>
        <v>7.5029314799999991</v>
      </c>
      <c r="H288" s="86">
        <f t="shared" si="54"/>
        <v>10.33432057828</v>
      </c>
      <c r="I288" s="86">
        <f t="shared" si="54"/>
        <v>11.378226046813078</v>
      </c>
      <c r="J288" s="86">
        <f t="shared" si="54"/>
        <v>12.329223928646718</v>
      </c>
      <c r="K288" s="86">
        <f t="shared" si="54"/>
        <v>13.195582998997159</v>
      </c>
      <c r="L288" s="86">
        <f t="shared" si="54"/>
        <v>13.044836112086411</v>
      </c>
      <c r="M288" s="86">
        <f t="shared" si="54"/>
        <v>11.883845698110722</v>
      </c>
      <c r="N288" s="86">
        <f t="shared" si="54"/>
        <v>10.826183430978867</v>
      </c>
    </row>
    <row r="289" spans="1:14" ht="15" customHeight="1" x14ac:dyDescent="0.3">
      <c r="A289" s="6" t="s">
        <v>1266</v>
      </c>
      <c r="B289" s="6" t="s">
        <v>219</v>
      </c>
      <c r="C289" s="6" t="s">
        <v>1026</v>
      </c>
      <c r="D289" s="86">
        <f t="shared" ref="D289:N289" si="55">SUMPRODUCT(($D$107:$D$115&gt;=$E57)*($T57+($O57&gt;0)*-INT(-(($D$107:$D$115-$U57)*($D$107:$D$115&gt;$U57)/(($O57)+($O57=0))*(1+$P57*($F$107:$F$115-1)))*$X57)/$X57),($B$107:$B$115=0)*D$168+($B$107:$B$115=1)*D$169+($B$107:$B$115=2)*D$170+($B$107:$B$115=3)*D$171+($B$107:$B$115=4)*D$172+($B$107:$B$115=5)*D$173+($B$107:$B$115=6)*D$174+($B$107:$B$115=7)*D$175)</f>
        <v>1.88</v>
      </c>
      <c r="E289" s="86">
        <f t="shared" si="55"/>
        <v>2.82</v>
      </c>
      <c r="F289" s="86">
        <f t="shared" si="55"/>
        <v>4.5326799999999992</v>
      </c>
      <c r="G289" s="86">
        <f t="shared" si="55"/>
        <v>7.0329314799999985</v>
      </c>
      <c r="H289" s="86">
        <f t="shared" si="55"/>
        <v>9.3943205782800003</v>
      </c>
      <c r="I289" s="86">
        <f t="shared" si="55"/>
        <v>10.521886046813078</v>
      </c>
      <c r="J289" s="86">
        <f t="shared" si="55"/>
        <v>11.549098188646715</v>
      </c>
      <c r="K289" s="86">
        <f t="shared" si="55"/>
        <v>12.484888449857158</v>
      </c>
      <c r="L289" s="86">
        <f t="shared" si="55"/>
        <v>12.397393377819871</v>
      </c>
      <c r="M289" s="86">
        <f t="shared" si="55"/>
        <v>11.294025367193905</v>
      </c>
      <c r="N289" s="86">
        <f t="shared" si="55"/>
        <v>10.288857109513646</v>
      </c>
    </row>
    <row r="290" spans="1:14" ht="15" customHeight="1" x14ac:dyDescent="0.3">
      <c r="A290" s="6" t="s">
        <v>1267</v>
      </c>
      <c r="B290" s="6" t="s">
        <v>219</v>
      </c>
      <c r="C290" s="6" t="s">
        <v>1032</v>
      </c>
      <c r="D290" s="86">
        <f t="shared" ref="D290:N290" si="56">SUMPRODUCT(($D$107:$D$115&gt;=$E58)*($T58+($O58&gt;0)*-INT(-(($D$107:$D$115-$U58)*($D$107:$D$115&gt;$U58)/(($O58)+($O58=0))*(1+$P58*($F$107:$F$115-1)))*$X58)/$X58),($B$107:$B$115=0)*D$168+($B$107:$B$115=1)*D$169+($B$107:$B$115=2)*D$170+($B$107:$B$115=3)*D$171+($B$107:$B$115=4)*D$172+($B$107:$B$115=5)*D$173+($B$107:$B$115=6)*D$174+($B$107:$B$115=7)*D$175)</f>
        <v>2.82</v>
      </c>
      <c r="E290" s="86">
        <f t="shared" si="56"/>
        <v>3.76</v>
      </c>
      <c r="F290" s="86">
        <f t="shared" si="56"/>
        <v>5.3890200000000004</v>
      </c>
      <c r="G290" s="86">
        <f t="shared" si="56"/>
        <v>8.2830572199999999</v>
      </c>
      <c r="H290" s="86">
        <f t="shared" si="56"/>
        <v>11.045015127419999</v>
      </c>
      <c r="I290" s="86">
        <f t="shared" si="56"/>
        <v>12.025668781079618</v>
      </c>
      <c r="J290" s="86">
        <f t="shared" si="56"/>
        <v>12.919044259563533</v>
      </c>
      <c r="K290" s="86">
        <f t="shared" si="56"/>
        <v>13.732909320462381</v>
      </c>
      <c r="L290" s="86">
        <f t="shared" si="56"/>
        <v>13.534340390941228</v>
      </c>
      <c r="M290" s="86">
        <f t="shared" si="56"/>
        <v>12.32978409614746</v>
      </c>
      <c r="N290" s="86">
        <f t="shared" si="56"/>
        <v>11.232433311590336</v>
      </c>
    </row>
    <row r="291" spans="1:14" ht="15" customHeight="1" x14ac:dyDescent="0.3">
      <c r="A291" s="6" t="s">
        <v>1268</v>
      </c>
      <c r="B291" s="6" t="s">
        <v>219</v>
      </c>
      <c r="C291" s="6" t="s">
        <v>1032</v>
      </c>
      <c r="D291" s="86">
        <f t="shared" ref="D291:N291" si="57">SUMPRODUCT(($D$107:$D$115&gt;=$E59)*($T59+($O59&gt;0)*-INT(-(($D$107:$D$115-$U59)*($D$107:$D$115&gt;$U59)/(($O59)+($O59=0))*(1+$P59*($F$107:$F$115-1)))*$X59)/$X59),($B$107:$B$115=0)*D$168+($B$107:$B$115=1)*D$169+($B$107:$B$115=2)*D$170+($B$107:$B$115=3)*D$171+($B$107:$B$115=4)*D$172+($B$107:$B$115=5)*D$173+($B$107:$B$115=6)*D$174+($B$107:$B$115=7)*D$175)</f>
        <v>0</v>
      </c>
      <c r="E291" s="86">
        <f t="shared" si="57"/>
        <v>0</v>
      </c>
      <c r="F291" s="86">
        <f t="shared" si="57"/>
        <v>0</v>
      </c>
      <c r="G291" s="86">
        <f t="shared" si="57"/>
        <v>0</v>
      </c>
      <c r="H291" s="86">
        <f t="shared" si="57"/>
        <v>0</v>
      </c>
      <c r="I291" s="86">
        <f t="shared" si="57"/>
        <v>0</v>
      </c>
      <c r="J291" s="86">
        <f t="shared" si="57"/>
        <v>0</v>
      </c>
      <c r="K291" s="86">
        <f t="shared" si="57"/>
        <v>0</v>
      </c>
      <c r="L291" s="86">
        <f t="shared" si="57"/>
        <v>0</v>
      </c>
      <c r="M291" s="86">
        <f t="shared" si="57"/>
        <v>0</v>
      </c>
      <c r="N291" s="86">
        <f t="shared" si="57"/>
        <v>0</v>
      </c>
    </row>
    <row r="292" spans="1:14" ht="15" customHeight="1" x14ac:dyDescent="0.3">
      <c r="A292" s="6" t="s">
        <v>1269</v>
      </c>
      <c r="B292" s="6" t="s">
        <v>219</v>
      </c>
      <c r="C292" s="6" t="s">
        <v>1013</v>
      </c>
      <c r="D292" s="86">
        <f t="shared" ref="D292:N292" si="58">SUMPRODUCT(($D$107:$D$115&gt;=$E60)*($T60+($O60&gt;0)*-INT(-(($D$107:$D$115-$U60)*($D$107:$D$115&gt;$U60)/(($O60)+($O60=0))*(1+$P60*($F$107:$F$115-1)))*$X60)/$X60),($B$107:$B$115=0)*D$168+($B$107:$B$115=1)*D$169+($B$107:$B$115=2)*D$170+($B$107:$B$115=3)*D$171+($B$107:$B$115=4)*D$172+($B$107:$B$115=5)*D$173+($B$107:$B$115=6)*D$174+($B$107:$B$115=7)*D$175)</f>
        <v>0.94</v>
      </c>
      <c r="E292" s="86">
        <f t="shared" si="58"/>
        <v>1.41</v>
      </c>
      <c r="F292" s="86">
        <f t="shared" si="58"/>
        <v>2.2663399999999996</v>
      </c>
      <c r="G292" s="86">
        <f t="shared" si="58"/>
        <v>3.5164657399999992</v>
      </c>
      <c r="H292" s="86">
        <f t="shared" si="58"/>
        <v>4.6971602891400002</v>
      </c>
      <c r="I292" s="86">
        <f t="shared" si="58"/>
        <v>5.2609430234065391</v>
      </c>
      <c r="J292" s="86">
        <f t="shared" si="58"/>
        <v>5.7745490943233575</v>
      </c>
      <c r="K292" s="86">
        <f t="shared" si="58"/>
        <v>6.2424442249285788</v>
      </c>
      <c r="L292" s="86">
        <f t="shared" si="58"/>
        <v>6.1986966889099353</v>
      </c>
      <c r="M292" s="86">
        <f t="shared" si="58"/>
        <v>5.6470126835969525</v>
      </c>
      <c r="N292" s="86">
        <f t="shared" si="58"/>
        <v>5.1444285547568231</v>
      </c>
    </row>
    <row r="293" spans="1:14" ht="15" customHeight="1" x14ac:dyDescent="0.3">
      <c r="A293" s="6" t="s">
        <v>1270</v>
      </c>
      <c r="B293" s="6" t="s">
        <v>219</v>
      </c>
      <c r="C293" s="6" t="s">
        <v>211</v>
      </c>
      <c r="D293" s="86">
        <f t="shared" ref="D293:N293" si="59">SUM(D279:D292)-D263</f>
        <v>0</v>
      </c>
      <c r="E293" s="86">
        <f t="shared" si="59"/>
        <v>0</v>
      </c>
      <c r="F293" s="86">
        <f t="shared" si="59"/>
        <v>0</v>
      </c>
      <c r="G293" s="86">
        <f t="shared" si="59"/>
        <v>0</v>
      </c>
      <c r="H293" s="86">
        <f t="shared" si="59"/>
        <v>0</v>
      </c>
      <c r="I293" s="86">
        <f t="shared" si="59"/>
        <v>0</v>
      </c>
      <c r="J293" s="86">
        <f t="shared" si="59"/>
        <v>0</v>
      </c>
      <c r="K293" s="86">
        <f t="shared" si="59"/>
        <v>0</v>
      </c>
      <c r="L293" s="86">
        <f t="shared" si="59"/>
        <v>0</v>
      </c>
      <c r="M293" s="86">
        <f t="shared" si="59"/>
        <v>0</v>
      </c>
      <c r="N293" s="86">
        <f t="shared" si="59"/>
        <v>0</v>
      </c>
    </row>
    <row r="295" spans="1:14" ht="15" customHeight="1" x14ac:dyDescent="0.25">
      <c r="A295" s="21" t="s">
        <v>1271</v>
      </c>
    </row>
    <row r="296" spans="1:14" ht="15" customHeight="1" x14ac:dyDescent="0.3">
      <c r="A296" s="6" t="s">
        <v>1272</v>
      </c>
    </row>
    <row r="297" spans="1:14" ht="15" customHeight="1" x14ac:dyDescent="0.25">
      <c r="D297" s="21" t="s">
        <v>203</v>
      </c>
      <c r="E297" s="21" t="s">
        <v>204</v>
      </c>
      <c r="F297" s="21" t="s">
        <v>205</v>
      </c>
      <c r="G297" s="21" t="s">
        <v>9</v>
      </c>
      <c r="H297" s="21" t="s">
        <v>206</v>
      </c>
      <c r="I297" s="21" t="s">
        <v>10</v>
      </c>
      <c r="J297" s="21" t="s">
        <v>207</v>
      </c>
      <c r="K297" s="21" t="s">
        <v>11</v>
      </c>
      <c r="L297" s="21" t="s">
        <v>208</v>
      </c>
      <c r="M297" s="21" t="s">
        <v>209</v>
      </c>
      <c r="N297" s="21" t="s">
        <v>12</v>
      </c>
    </row>
    <row r="298" spans="1:14" ht="15" customHeight="1" x14ac:dyDescent="0.3">
      <c r="A298" s="6" t="s">
        <v>1260</v>
      </c>
      <c r="B298" s="6" t="s">
        <v>219</v>
      </c>
      <c r="C298" s="6" t="str">
        <f t="shared" ref="C298:C303" si="60">IF($Y51&gt;0,"nearshore "&amp;TEXT($Y51,"0%"),"onshore")</f>
        <v>onshore</v>
      </c>
      <c r="D298" s="89">
        <f>('Revenue &amp; Durability'!D$112&gt;=$E51)*($T51+($W51&gt;0)*-INT(-(('Revenue &amp; Durability'!D$112-$U51)*('Revenue &amp; Durability'!D$112&gt;$U51)/(($W51)+($W51=0)))*$X51)/$X51)</f>
        <v>0</v>
      </c>
      <c r="E298" s="89">
        <f>('Revenue &amp; Durability'!E$112&gt;=$E51)*($T51+($W51&gt;0)*-INT(-(('Revenue &amp; Durability'!E$112-$U51)*('Revenue &amp; Durability'!E$112&gt;$U51)/(($W51)+($W51=0)))*$X51)/$X51)</f>
        <v>1</v>
      </c>
      <c r="F298" s="89">
        <f>('Revenue &amp; Durability'!F$112&gt;=$E51)*($T51+($W51&gt;0)*-INT(-(('Revenue &amp; Durability'!F$112-$U51)*('Revenue &amp; Durability'!F$112&gt;$U51)/(($W51)+($W51=0)))*$X51)/$X51)</f>
        <v>1</v>
      </c>
      <c r="G298" s="89">
        <f>('Revenue &amp; Durability'!G$112&gt;=$E51)*($T51+($W51&gt;0)*-INT(-(('Revenue &amp; Durability'!G$112-$U51)*('Revenue &amp; Durability'!G$112&gt;$U51)/(($W51)+($W51=0)))*$X51)/$X51)</f>
        <v>1</v>
      </c>
      <c r="H298" s="89">
        <f>('Revenue &amp; Durability'!H$112&gt;=$E51)*($T51+($W51&gt;0)*-INT(-(('Revenue &amp; Durability'!H$112-$U51)*('Revenue &amp; Durability'!H$112&gt;$U51)/(($W51)+($W51=0)))*$X51)/$X51)</f>
        <v>1</v>
      </c>
      <c r="I298" s="89">
        <f>('Revenue &amp; Durability'!I$112&gt;=$E51)*($T51+($W51&gt;0)*-INT(-(('Revenue &amp; Durability'!I$112-$U51)*('Revenue &amp; Durability'!I$112&gt;$U51)/(($W51)+($W51=0)))*$X51)/$X51)</f>
        <v>1</v>
      </c>
      <c r="J298" s="89">
        <f>('Revenue &amp; Durability'!J$112&gt;=$E51)*($T51+($W51&gt;0)*-INT(-(('Revenue &amp; Durability'!J$112-$U51)*('Revenue &amp; Durability'!J$112&gt;$U51)/(($W51)+($W51=0)))*$X51)/$X51)</f>
        <v>1</v>
      </c>
      <c r="K298" s="89">
        <f>('Revenue &amp; Durability'!K$112&gt;=$E51)*($T51+($W51&gt;0)*-INT(-(('Revenue &amp; Durability'!K$112-$U51)*('Revenue &amp; Durability'!K$112&gt;$U51)/(($W51)+($W51=0)))*$X51)/$X51)</f>
        <v>1</v>
      </c>
      <c r="L298" s="89">
        <f>('Revenue &amp; Durability'!L$112&gt;=$E51)*($T51+($W51&gt;0)*-INT(-(('Revenue &amp; Durability'!L$112-$U51)*('Revenue &amp; Durability'!L$112&gt;$U51)/(($W51)+($W51=0)))*$X51)/$X51)</f>
        <v>1</v>
      </c>
      <c r="M298" s="89">
        <f>('Revenue &amp; Durability'!M$112&gt;=$E51)*($T51+($W51&gt;0)*-INT(-(('Revenue &amp; Durability'!M$112-$U51)*('Revenue &amp; Durability'!M$112&gt;$U51)/(($W51)+($W51=0)))*$X51)/$X51)</f>
        <v>1</v>
      </c>
      <c r="N298" s="89">
        <f>('Revenue &amp; Durability'!N$112&gt;=$E51)*($T51+($W51&gt;0)*-INT(-(('Revenue &amp; Durability'!N$112-$U51)*('Revenue &amp; Durability'!N$112&gt;$U51)/(($W51)+($W51=0)))*$X51)/$X51)</f>
        <v>1</v>
      </c>
    </row>
    <row r="299" spans="1:14" ht="15" customHeight="1" x14ac:dyDescent="0.3">
      <c r="A299" s="6" t="s">
        <v>1261</v>
      </c>
      <c r="B299" s="6" t="s">
        <v>219</v>
      </c>
      <c r="C299" s="6" t="str">
        <f t="shared" si="60"/>
        <v>nearshore 100%</v>
      </c>
      <c r="D299" s="89">
        <f>('Revenue &amp; Durability'!D$112&gt;=$E52)*($T52+($W52&gt;0)*-INT(-(('Revenue &amp; Durability'!D$112-$U52)*('Revenue &amp; Durability'!D$112&gt;$U52)/(($W52)+($W52=0)))*$X52)/$X52)</f>
        <v>1</v>
      </c>
      <c r="E299" s="89">
        <f>('Revenue &amp; Durability'!E$112&gt;=$E52)*($T52+($W52&gt;0)*-INT(-(('Revenue &amp; Durability'!E$112-$U52)*('Revenue &amp; Durability'!E$112&gt;$U52)/(($W52)+($W52=0)))*$X52)/$X52)</f>
        <v>1</v>
      </c>
      <c r="F299" s="89">
        <f>('Revenue &amp; Durability'!F$112&gt;=$E52)*($T52+($W52&gt;0)*-INT(-(('Revenue &amp; Durability'!F$112-$U52)*('Revenue &amp; Durability'!F$112&gt;$U52)/(($W52)+($W52=0)))*$X52)/$X52)</f>
        <v>2</v>
      </c>
      <c r="G299" s="89">
        <f>('Revenue &amp; Durability'!G$112&gt;=$E52)*($T52+($W52&gt;0)*-INT(-(('Revenue &amp; Durability'!G$112-$U52)*('Revenue &amp; Durability'!G$112&gt;$U52)/(($W52)+($W52=0)))*$X52)/$X52)</f>
        <v>2</v>
      </c>
      <c r="H299" s="89">
        <f>('Revenue &amp; Durability'!H$112&gt;=$E52)*($T52+($W52&gt;0)*-INT(-(('Revenue &amp; Durability'!H$112-$U52)*('Revenue &amp; Durability'!H$112&gt;$U52)/(($W52)+($W52=0)))*$X52)/$X52)</f>
        <v>3</v>
      </c>
      <c r="I299" s="89">
        <f>('Revenue &amp; Durability'!I$112&gt;=$E52)*($T52+($W52&gt;0)*-INT(-(('Revenue &amp; Durability'!I$112-$U52)*('Revenue &amp; Durability'!I$112&gt;$U52)/(($W52)+($W52=0)))*$X52)/$X52)</f>
        <v>3</v>
      </c>
      <c r="J299" s="89">
        <f>('Revenue &amp; Durability'!J$112&gt;=$E52)*($T52+($W52&gt;0)*-INT(-(('Revenue &amp; Durability'!J$112-$U52)*('Revenue &amp; Durability'!J$112&gt;$U52)/(($W52)+($W52=0)))*$X52)/$X52)</f>
        <v>4</v>
      </c>
      <c r="K299" s="89">
        <f>('Revenue &amp; Durability'!K$112&gt;=$E52)*($T52+($W52&gt;0)*-INT(-(('Revenue &amp; Durability'!K$112-$U52)*('Revenue &amp; Durability'!K$112&gt;$U52)/(($W52)+($W52=0)))*$X52)/$X52)</f>
        <v>4</v>
      </c>
      <c r="L299" s="89">
        <f>('Revenue &amp; Durability'!L$112&gt;=$E52)*($T52+($W52&gt;0)*-INT(-(('Revenue &amp; Durability'!L$112-$U52)*('Revenue &amp; Durability'!L$112&gt;$U52)/(($W52)+($W52=0)))*$X52)/$X52)</f>
        <v>4</v>
      </c>
      <c r="M299" s="89">
        <f>('Revenue &amp; Durability'!M$112&gt;=$E52)*($T52+($W52&gt;0)*-INT(-(('Revenue &amp; Durability'!M$112-$U52)*('Revenue &amp; Durability'!M$112&gt;$U52)/(($W52)+($W52=0)))*$X52)/$X52)</f>
        <v>4</v>
      </c>
      <c r="N299" s="89">
        <f>('Revenue &amp; Durability'!N$112&gt;=$E52)*($T52+($W52&gt;0)*-INT(-(('Revenue &amp; Durability'!N$112-$U52)*('Revenue &amp; Durability'!N$112&gt;$U52)/(($W52)+($W52=0)))*$X52)/$X52)</f>
        <v>4</v>
      </c>
    </row>
    <row r="300" spans="1:14" ht="15" customHeight="1" x14ac:dyDescent="0.3">
      <c r="A300" s="6" t="s">
        <v>1262</v>
      </c>
      <c r="B300" s="6" t="s">
        <v>219</v>
      </c>
      <c r="C300" s="6" t="str">
        <f t="shared" si="60"/>
        <v>nearshore 100%</v>
      </c>
      <c r="D300" s="89">
        <f>('Revenue &amp; Durability'!D$112&gt;=$E53)*($T53+($W53&gt;0)*-INT(-(('Revenue &amp; Durability'!D$112-$U53)*('Revenue &amp; Durability'!D$112&gt;$U53)/(($W53)+($W53=0)))*$X53)/$X53)</f>
        <v>2</v>
      </c>
      <c r="E300" s="89">
        <f>('Revenue &amp; Durability'!E$112&gt;=$E53)*($T53+($W53&gt;0)*-INT(-(('Revenue &amp; Durability'!E$112-$U53)*('Revenue &amp; Durability'!E$112&gt;$U53)/(($W53)+($W53=0)))*$X53)/$X53)</f>
        <v>2</v>
      </c>
      <c r="F300" s="89">
        <f>('Revenue &amp; Durability'!F$112&gt;=$E53)*($T53+($W53&gt;0)*-INT(-(('Revenue &amp; Durability'!F$112-$U53)*('Revenue &amp; Durability'!F$112&gt;$U53)/(($W53)+($W53=0)))*$X53)/$X53)</f>
        <v>3</v>
      </c>
      <c r="G300" s="89">
        <f>('Revenue &amp; Durability'!G$112&gt;=$E53)*($T53+($W53&gt;0)*-INT(-(('Revenue &amp; Durability'!G$112-$U53)*('Revenue &amp; Durability'!G$112&gt;$U53)/(($W53)+($W53=0)))*$X53)/$X53)</f>
        <v>5</v>
      </c>
      <c r="H300" s="89">
        <f>('Revenue &amp; Durability'!H$112&gt;=$E53)*($T53+($W53&gt;0)*-INT(-(('Revenue &amp; Durability'!H$112-$U53)*('Revenue &amp; Durability'!H$112&gt;$U53)/(($W53)+($W53=0)))*$X53)/$X53)</f>
        <v>7</v>
      </c>
      <c r="I300" s="89">
        <f>('Revenue &amp; Durability'!I$112&gt;=$E53)*($T53+($W53&gt;0)*-INT(-(('Revenue &amp; Durability'!I$112-$U53)*('Revenue &amp; Durability'!I$112&gt;$U53)/(($W53)+($W53=0)))*$X53)/$X53)</f>
        <v>8</v>
      </c>
      <c r="J300" s="89">
        <f>('Revenue &amp; Durability'!J$112&gt;=$E53)*($T53+($W53&gt;0)*-INT(-(('Revenue &amp; Durability'!J$112-$U53)*('Revenue &amp; Durability'!J$112&gt;$U53)/(($W53)+($W53=0)))*$X53)/$X53)</f>
        <v>9</v>
      </c>
      <c r="K300" s="89">
        <f>('Revenue &amp; Durability'!K$112&gt;=$E53)*($T53+($W53&gt;0)*-INT(-(('Revenue &amp; Durability'!K$112-$U53)*('Revenue &amp; Durability'!K$112&gt;$U53)/(($W53)+($W53=0)))*$X53)/$X53)</f>
        <v>9</v>
      </c>
      <c r="L300" s="89">
        <f>('Revenue &amp; Durability'!L$112&gt;=$E53)*($T53+($W53&gt;0)*-INT(-(('Revenue &amp; Durability'!L$112-$U53)*('Revenue &amp; Durability'!L$112&gt;$U53)/(($W53)+($W53=0)))*$X53)/$X53)</f>
        <v>9</v>
      </c>
      <c r="M300" s="89">
        <f>('Revenue &amp; Durability'!M$112&gt;=$E53)*($T53+($W53&gt;0)*-INT(-(('Revenue &amp; Durability'!M$112-$U53)*('Revenue &amp; Durability'!M$112&gt;$U53)/(($W53)+($W53=0)))*$X53)/$X53)</f>
        <v>9</v>
      </c>
      <c r="N300" s="89">
        <f>('Revenue &amp; Durability'!N$112&gt;=$E53)*($T53+($W53&gt;0)*-INT(-(('Revenue &amp; Durability'!N$112-$U53)*('Revenue &amp; Durability'!N$112&gt;$U53)/(($W53)+($W53=0)))*$X53)/$X53)</f>
        <v>9</v>
      </c>
    </row>
    <row r="301" spans="1:14" ht="15" customHeight="1" x14ac:dyDescent="0.3">
      <c r="A301" s="6" t="s">
        <v>1263</v>
      </c>
      <c r="B301" s="6" t="s">
        <v>219</v>
      </c>
      <c r="C301" s="6" t="str">
        <f t="shared" si="60"/>
        <v>nearshore 100%</v>
      </c>
      <c r="D301" s="89">
        <f>('Revenue &amp; Durability'!D$112&gt;=$E54)*($T54+($W54&gt;0)*-INT(-(('Revenue &amp; Durability'!D$112-$U54)*('Revenue &amp; Durability'!D$112&gt;$U54)/(($W54)+($W54=0)))*$X54)/$X54)</f>
        <v>1</v>
      </c>
      <c r="E301" s="89">
        <f>('Revenue &amp; Durability'!E$112&gt;=$E54)*($T54+($W54&gt;0)*-INT(-(('Revenue &amp; Durability'!E$112-$U54)*('Revenue &amp; Durability'!E$112&gt;$U54)/(($W54)+($W54=0)))*$X54)/$X54)</f>
        <v>2</v>
      </c>
      <c r="F301" s="89">
        <f>('Revenue &amp; Durability'!F$112&gt;=$E54)*($T54+($W54&gt;0)*-INT(-(('Revenue &amp; Durability'!F$112-$U54)*('Revenue &amp; Durability'!F$112&gt;$U54)/(($W54)+($W54=0)))*$X54)/$X54)</f>
        <v>2</v>
      </c>
      <c r="G301" s="89">
        <f>('Revenue &amp; Durability'!G$112&gt;=$E54)*($T54+($W54&gt;0)*-INT(-(('Revenue &amp; Durability'!G$112-$U54)*('Revenue &amp; Durability'!G$112&gt;$U54)/(($W54)+($W54=0)))*$X54)/$X54)</f>
        <v>3</v>
      </c>
      <c r="H301" s="89">
        <f>('Revenue &amp; Durability'!H$112&gt;=$E54)*($T54+($W54&gt;0)*-INT(-(('Revenue &amp; Durability'!H$112-$U54)*('Revenue &amp; Durability'!H$112&gt;$U54)/(($W54)+($W54=0)))*$X54)/$X54)</f>
        <v>4</v>
      </c>
      <c r="I301" s="89">
        <f>('Revenue &amp; Durability'!I$112&gt;=$E54)*($T54+($W54&gt;0)*-INT(-(('Revenue &amp; Durability'!I$112-$U54)*('Revenue &amp; Durability'!I$112&gt;$U54)/(($W54)+($W54=0)))*$X54)/$X54)</f>
        <v>5</v>
      </c>
      <c r="J301" s="89">
        <f>('Revenue &amp; Durability'!J$112&gt;=$E54)*($T54+($W54&gt;0)*-INT(-(('Revenue &amp; Durability'!J$112-$U54)*('Revenue &amp; Durability'!J$112&gt;$U54)/(($W54)+($W54=0)))*$X54)/$X54)</f>
        <v>5</v>
      </c>
      <c r="K301" s="89">
        <f>('Revenue &amp; Durability'!K$112&gt;=$E54)*($T54+($W54&gt;0)*-INT(-(('Revenue &amp; Durability'!K$112-$U54)*('Revenue &amp; Durability'!K$112&gt;$U54)/(($W54)+($W54=0)))*$X54)/$X54)</f>
        <v>5</v>
      </c>
      <c r="L301" s="89">
        <f>('Revenue &amp; Durability'!L$112&gt;=$E54)*($T54+($W54&gt;0)*-INT(-(('Revenue &amp; Durability'!L$112-$U54)*('Revenue &amp; Durability'!L$112&gt;$U54)/(($W54)+($W54=0)))*$X54)/$X54)</f>
        <v>5</v>
      </c>
      <c r="M301" s="89">
        <f>('Revenue &amp; Durability'!M$112&gt;=$E54)*($T54+($W54&gt;0)*-INT(-(('Revenue &amp; Durability'!M$112-$U54)*('Revenue &amp; Durability'!M$112&gt;$U54)/(($W54)+($W54=0)))*$X54)/$X54)</f>
        <v>5</v>
      </c>
      <c r="N301" s="89">
        <f>('Revenue &amp; Durability'!N$112&gt;=$E54)*($T54+($W54&gt;0)*-INT(-(('Revenue &amp; Durability'!N$112-$U54)*('Revenue &amp; Durability'!N$112&gt;$U54)/(($W54)+($W54=0)))*$X54)/$X54)</f>
        <v>5</v>
      </c>
    </row>
    <row r="302" spans="1:14" ht="15" customHeight="1" x14ac:dyDescent="0.3">
      <c r="A302" s="6" t="s">
        <v>1264</v>
      </c>
      <c r="B302" s="6" t="s">
        <v>219</v>
      </c>
      <c r="C302" s="6" t="str">
        <f t="shared" si="60"/>
        <v>onshore</v>
      </c>
      <c r="D302" s="89">
        <f>('Revenue &amp; Durability'!D$112&gt;=$E55)*($T55+($W55&gt;0)*-INT(-(('Revenue &amp; Durability'!D$112-$U55)*('Revenue &amp; Durability'!D$112&gt;$U55)/(($W55)+($W55=0)))*$X55)/$X55)</f>
        <v>0</v>
      </c>
      <c r="E302" s="89">
        <f>('Revenue &amp; Durability'!E$112&gt;=$E55)*($T55+($W55&gt;0)*-INT(-(('Revenue &amp; Durability'!E$112-$U55)*('Revenue &amp; Durability'!E$112&gt;$U55)/(($W55)+($W55=0)))*$X55)/$X55)</f>
        <v>0.40781299999999998</v>
      </c>
      <c r="F302" s="89">
        <f>('Revenue &amp; Durability'!F$112&gt;=$E55)*($T55+($W55&gt;0)*-INT(-(('Revenue &amp; Durability'!F$112-$U55)*('Revenue &amp; Durability'!F$112&gt;$U55)/(($W55)+($W55=0)))*$X55)/$X55)</f>
        <v>0.87107999999999997</v>
      </c>
      <c r="G302" s="89">
        <f>('Revenue &amp; Durability'!G$112&gt;=$E55)*($T55+($W55&gt;0)*-INT(-(('Revenue &amp; Durability'!G$112-$U55)*('Revenue &amp; Durability'!G$112&gt;$U55)/(($W55)+($W55=0)))*$X55)/$X55)</f>
        <v>1.7193890000000001</v>
      </c>
      <c r="H302" s="89">
        <f>('Revenue &amp; Durability'!H$112&gt;=$E55)*($T55+($W55&gt;0)*-INT(-(('Revenue &amp; Durability'!H$112-$U55)*('Revenue &amp; Durability'!H$112&gt;$U55)/(($W55)+($W55=0)))*$X55)/$X55)</f>
        <v>2.5862409999999998</v>
      </c>
      <c r="I302" s="89">
        <f>('Revenue &amp; Durability'!I$112&gt;=$E55)*($T55+($W55&gt;0)*-INT(-(('Revenue &amp; Durability'!I$112-$U55)*('Revenue &amp; Durability'!I$112&gt;$U55)/(($W55)+($W55=0)))*$X55)/$X55)</f>
        <v>3.1334650000000002</v>
      </c>
      <c r="J302" s="89">
        <f>('Revenue &amp; Durability'!J$112&gt;=$E55)*($T55+($W55&gt;0)*-INT(-(('Revenue &amp; Durability'!J$112-$U55)*('Revenue &amp; Durability'!J$112&gt;$U55)/(($W55)+($W55=0)))*$X55)/$X55)</f>
        <v>3.6</v>
      </c>
      <c r="K302" s="89">
        <f>('Revenue &amp; Durability'!K$112&gt;=$E55)*($T55+($W55&gt;0)*-INT(-(('Revenue &amp; Durability'!K$112-$U55)*('Revenue &amp; Durability'!K$112&gt;$U55)/(($W55)+($W55=0)))*$X55)/$X55)</f>
        <v>3.6</v>
      </c>
      <c r="L302" s="89">
        <f>('Revenue &amp; Durability'!L$112&gt;=$E55)*($T55+($W55&gt;0)*-INT(-(('Revenue &amp; Durability'!L$112-$U55)*('Revenue &amp; Durability'!L$112&gt;$U55)/(($W55)+($W55=0)))*$X55)/$X55)</f>
        <v>3.6</v>
      </c>
      <c r="M302" s="89">
        <f>('Revenue &amp; Durability'!M$112&gt;=$E55)*($T55+($W55&gt;0)*-INT(-(('Revenue &amp; Durability'!M$112-$U55)*('Revenue &amp; Durability'!M$112&gt;$U55)/(($W55)+($W55=0)))*$X55)/$X55)</f>
        <v>3.6</v>
      </c>
      <c r="N302" s="89">
        <f>('Revenue &amp; Durability'!N$112&gt;=$E55)*($T55+($W55&gt;0)*-INT(-(('Revenue &amp; Durability'!N$112-$U55)*('Revenue &amp; Durability'!N$112&gt;$U55)/(($W55)+($W55=0)))*$X55)/$X55)</f>
        <v>3.6</v>
      </c>
    </row>
    <row r="303" spans="1:14" ht="15" customHeight="1" x14ac:dyDescent="0.3">
      <c r="A303" s="6" t="s">
        <v>1265</v>
      </c>
      <c r="B303" s="6" t="s">
        <v>219</v>
      </c>
      <c r="C303" s="6" t="str">
        <f t="shared" si="60"/>
        <v>onshore</v>
      </c>
      <c r="D303" s="89">
        <f>('Revenue &amp; Durability'!D$112&gt;=$E56)*($T56+($W56&gt;0)*-INT(-(('Revenue &amp; Durability'!D$112-$U56)*('Revenue &amp; Durability'!D$112&gt;$U56)/(($W56)+($W56=0)))*$X56)/$X56)</f>
        <v>2</v>
      </c>
      <c r="E303" s="89">
        <f>('Revenue &amp; Durability'!E$112&gt;=$E56)*($T56+($W56&gt;0)*-INT(-(('Revenue &amp; Durability'!E$112-$U56)*('Revenue &amp; Durability'!E$112&gt;$U56)/(($W56)+($W56=0)))*$X56)/$X56)</f>
        <v>2</v>
      </c>
      <c r="F303" s="89">
        <f>('Revenue &amp; Durability'!F$112&gt;=$E56)*($T56+($W56&gt;0)*-INT(-(('Revenue &amp; Durability'!F$112-$U56)*('Revenue &amp; Durability'!F$112&gt;$U56)/(($W56)+($W56=0)))*$X56)/$X56)</f>
        <v>3</v>
      </c>
      <c r="G303" s="89">
        <f>('Revenue &amp; Durability'!G$112&gt;=$E56)*($T56+($W56&gt;0)*-INT(-(('Revenue &amp; Durability'!G$112-$U56)*('Revenue &amp; Durability'!G$112&gt;$U56)/(($W56)+($W56=0)))*$X56)/$X56)</f>
        <v>5</v>
      </c>
      <c r="H303" s="89">
        <f>('Revenue &amp; Durability'!H$112&gt;=$E56)*($T56+($W56&gt;0)*-INT(-(('Revenue &amp; Durability'!H$112-$U56)*('Revenue &amp; Durability'!H$112&gt;$U56)/(($W56)+($W56=0)))*$X56)/$X56)</f>
        <v>7</v>
      </c>
      <c r="I303" s="89">
        <f>('Revenue &amp; Durability'!I$112&gt;=$E56)*($T56+($W56&gt;0)*-INT(-(('Revenue &amp; Durability'!I$112-$U56)*('Revenue &amp; Durability'!I$112&gt;$U56)/(($W56)+($W56=0)))*$X56)/$X56)</f>
        <v>8</v>
      </c>
      <c r="J303" s="89">
        <f>('Revenue &amp; Durability'!J$112&gt;=$E56)*($T56+($W56&gt;0)*-INT(-(('Revenue &amp; Durability'!J$112-$U56)*('Revenue &amp; Durability'!J$112&gt;$U56)/(($W56)+($W56=0)))*$X56)/$X56)</f>
        <v>9</v>
      </c>
      <c r="K303" s="89">
        <f>('Revenue &amp; Durability'!K$112&gt;=$E56)*($T56+($W56&gt;0)*-INT(-(('Revenue &amp; Durability'!K$112-$U56)*('Revenue &amp; Durability'!K$112&gt;$U56)/(($W56)+($W56=0)))*$X56)/$X56)</f>
        <v>9</v>
      </c>
      <c r="L303" s="89">
        <f>('Revenue &amp; Durability'!L$112&gt;=$E56)*($T56+($W56&gt;0)*-INT(-(('Revenue &amp; Durability'!L$112-$U56)*('Revenue &amp; Durability'!L$112&gt;$U56)/(($W56)+($W56=0)))*$X56)/$X56)</f>
        <v>9</v>
      </c>
      <c r="M303" s="89">
        <f>('Revenue &amp; Durability'!M$112&gt;=$E56)*($T56+($W56&gt;0)*-INT(-(('Revenue &amp; Durability'!M$112-$U56)*('Revenue &amp; Durability'!M$112&gt;$U56)/(($W56)+($W56=0)))*$X56)/$X56)</f>
        <v>9</v>
      </c>
      <c r="N303" s="89">
        <f>('Revenue &amp; Durability'!N$112&gt;=$E56)*($T56+($W56&gt;0)*-INT(-(('Revenue &amp; Durability'!N$112-$U56)*('Revenue &amp; Durability'!N$112&gt;$U56)/(($W56)+($W56=0)))*$X56)/$X56)</f>
        <v>9</v>
      </c>
    </row>
    <row r="304" spans="1:14" ht="15" customHeight="1" x14ac:dyDescent="0.3">
      <c r="A304" s="6" t="s">
        <v>1267</v>
      </c>
      <c r="B304" s="6" t="s">
        <v>219</v>
      </c>
      <c r="C304" s="6" t="str">
        <f>IF($Y58&gt;0,"nearshore "&amp;TEXT($Y58,"0%"),"onshore")</f>
        <v>onshore</v>
      </c>
      <c r="D304" s="89">
        <f>('Revenue &amp; Durability'!D$112&gt;=$E58)*($T58+($W58&gt;0)*-INT(-(('Revenue &amp; Durability'!D$112-$U58)*('Revenue &amp; Durability'!D$112&gt;$U58)/(($W58)+($W58=0)))*$X58)/$X58)</f>
        <v>2</v>
      </c>
      <c r="E304" s="89">
        <f>('Revenue &amp; Durability'!E$112&gt;=$E58)*($T58+($W58&gt;0)*-INT(-(('Revenue &amp; Durability'!E$112-$U58)*('Revenue &amp; Durability'!E$112&gt;$U58)/(($W58)+($W58=0)))*$X58)/$X58)</f>
        <v>2</v>
      </c>
      <c r="F304" s="89">
        <f>('Revenue &amp; Durability'!F$112&gt;=$E58)*($T58+($W58&gt;0)*-INT(-(('Revenue &amp; Durability'!F$112-$U58)*('Revenue &amp; Durability'!F$112&gt;$U58)/(($W58)+($W58=0)))*$X58)/$X58)</f>
        <v>3</v>
      </c>
      <c r="G304" s="89">
        <f>('Revenue &amp; Durability'!G$112&gt;=$E58)*($T58+($W58&gt;0)*-INT(-(('Revenue &amp; Durability'!G$112-$U58)*('Revenue &amp; Durability'!G$112&gt;$U58)/(($W58)+($W58=0)))*$X58)/$X58)</f>
        <v>5</v>
      </c>
      <c r="H304" s="89">
        <f>('Revenue &amp; Durability'!H$112&gt;=$E58)*($T58+($W58&gt;0)*-INT(-(('Revenue &amp; Durability'!H$112-$U58)*('Revenue &amp; Durability'!H$112&gt;$U58)/(($W58)+($W58=0)))*$X58)/$X58)</f>
        <v>7</v>
      </c>
      <c r="I304" s="89">
        <f>('Revenue &amp; Durability'!I$112&gt;=$E58)*($T58+($W58&gt;0)*-INT(-(('Revenue &amp; Durability'!I$112-$U58)*('Revenue &amp; Durability'!I$112&gt;$U58)/(($W58)+($W58=0)))*$X58)/$X58)</f>
        <v>8</v>
      </c>
      <c r="J304" s="89">
        <f>('Revenue &amp; Durability'!J$112&gt;=$E58)*($T58+($W58&gt;0)*-INT(-(('Revenue &amp; Durability'!J$112-$U58)*('Revenue &amp; Durability'!J$112&gt;$U58)/(($W58)+($W58=0)))*$X58)/$X58)</f>
        <v>9</v>
      </c>
      <c r="K304" s="89">
        <f>('Revenue &amp; Durability'!K$112&gt;=$E58)*($T58+($W58&gt;0)*-INT(-(('Revenue &amp; Durability'!K$112-$U58)*('Revenue &amp; Durability'!K$112&gt;$U58)/(($W58)+($W58=0)))*$X58)/$X58)</f>
        <v>9</v>
      </c>
      <c r="L304" s="89">
        <f>('Revenue &amp; Durability'!L$112&gt;=$E58)*($T58+($W58&gt;0)*-INT(-(('Revenue &amp; Durability'!L$112-$U58)*('Revenue &amp; Durability'!L$112&gt;$U58)/(($W58)+($W58=0)))*$X58)/$X58)</f>
        <v>9</v>
      </c>
      <c r="M304" s="89">
        <f>('Revenue &amp; Durability'!M$112&gt;=$E58)*($T58+($W58&gt;0)*-INT(-(('Revenue &amp; Durability'!M$112-$U58)*('Revenue &amp; Durability'!M$112&gt;$U58)/(($W58)+($W58=0)))*$X58)/$X58)</f>
        <v>9</v>
      </c>
      <c r="N304" s="89">
        <f>('Revenue &amp; Durability'!N$112&gt;=$E58)*($T58+($W58&gt;0)*-INT(-(('Revenue &amp; Durability'!N$112-$U58)*('Revenue &amp; Durability'!N$112&gt;$U58)/(($W58)+($W58=0)))*$X58)/$X58)</f>
        <v>9</v>
      </c>
    </row>
    <row r="305" spans="1:14" ht="15" customHeight="1" x14ac:dyDescent="0.3">
      <c r="A305" s="6" t="s">
        <v>1268</v>
      </c>
      <c r="B305" s="6" t="s">
        <v>219</v>
      </c>
      <c r="C305" s="6" t="str">
        <f>IF($Y59&gt;0,"nearshore "&amp;TEXT($Y59,"0%"),"onshore")</f>
        <v>onshore</v>
      </c>
      <c r="D305" s="89">
        <f>('Revenue &amp; Durability'!D$112&gt;=$E59)*($T59+($W59&gt;0)*-INT(-(('Revenue &amp; Durability'!D$112-$U59)*('Revenue &amp; Durability'!D$112&gt;$U59)/(($W59)+($W59=0)))*$X59)/$X59)</f>
        <v>0</v>
      </c>
      <c r="E305" s="89">
        <f>('Revenue &amp; Durability'!E$112&gt;=$E59)*($T59+($W59&gt;0)*-INT(-(('Revenue &amp; Durability'!E$112-$U59)*('Revenue &amp; Durability'!E$112&gt;$U59)/(($W59)+($W59=0)))*$X59)/$X59)</f>
        <v>2</v>
      </c>
      <c r="F305" s="89">
        <f>('Revenue &amp; Durability'!F$112&gt;=$E59)*($T59+($W59&gt;0)*-INT(-(('Revenue &amp; Durability'!F$112-$U59)*('Revenue &amp; Durability'!F$112&gt;$U59)/(($W59)+($W59=0)))*$X59)/$X59)</f>
        <v>2</v>
      </c>
      <c r="G305" s="89">
        <f>('Revenue &amp; Durability'!G$112&gt;=$E59)*($T59+($W59&gt;0)*-INT(-(('Revenue &amp; Durability'!G$112-$U59)*('Revenue &amp; Durability'!G$112&gt;$U59)/(($W59)+($W59=0)))*$X59)/$X59)</f>
        <v>4</v>
      </c>
      <c r="H305" s="89">
        <f>('Revenue &amp; Durability'!H$112&gt;=$E59)*($T59+($W59&gt;0)*-INT(-(('Revenue &amp; Durability'!H$112-$U59)*('Revenue &amp; Durability'!H$112&gt;$U59)/(($W59)+($W59=0)))*$X59)/$X59)</f>
        <v>5</v>
      </c>
      <c r="I305" s="89">
        <f>('Revenue &amp; Durability'!I$112&gt;=$E59)*($T59+($W59&gt;0)*-INT(-(('Revenue &amp; Durability'!I$112-$U59)*('Revenue &amp; Durability'!I$112&gt;$U59)/(($W59)+($W59=0)))*$X59)/$X59)</f>
        <v>6</v>
      </c>
      <c r="J305" s="89">
        <f>('Revenue &amp; Durability'!J$112&gt;=$E59)*($T59+($W59&gt;0)*-INT(-(('Revenue &amp; Durability'!J$112-$U59)*('Revenue &amp; Durability'!J$112&gt;$U59)/(($W59)+($W59=0)))*$X59)/$X59)</f>
        <v>6</v>
      </c>
      <c r="K305" s="89">
        <f>('Revenue &amp; Durability'!K$112&gt;=$E59)*($T59+($W59&gt;0)*-INT(-(('Revenue &amp; Durability'!K$112-$U59)*('Revenue &amp; Durability'!K$112&gt;$U59)/(($W59)+($W59=0)))*$X59)/$X59)</f>
        <v>6</v>
      </c>
      <c r="L305" s="89">
        <f>('Revenue &amp; Durability'!L$112&gt;=$E59)*($T59+($W59&gt;0)*-INT(-(('Revenue &amp; Durability'!L$112-$U59)*('Revenue &amp; Durability'!L$112&gt;$U59)/(($W59)+($W59=0)))*$X59)/$X59)</f>
        <v>6</v>
      </c>
      <c r="M305" s="89">
        <f>('Revenue &amp; Durability'!M$112&gt;=$E59)*($T59+($W59&gt;0)*-INT(-(('Revenue &amp; Durability'!M$112-$U59)*('Revenue &amp; Durability'!M$112&gt;$U59)/(($W59)+($W59=0)))*$X59)/$X59)</f>
        <v>6</v>
      </c>
      <c r="N305" s="89">
        <f>('Revenue &amp; Durability'!N$112&gt;=$E59)*($T59+($W59&gt;0)*-INT(-(('Revenue &amp; Durability'!N$112-$U59)*('Revenue &amp; Durability'!N$112&gt;$U59)/(($W59)+($W59=0)))*$X59)/$X59)</f>
        <v>6</v>
      </c>
    </row>
    <row r="306" spans="1:14" ht="15" customHeight="1" x14ac:dyDescent="0.3">
      <c r="A306" s="6" t="s">
        <v>1273</v>
      </c>
      <c r="B306" s="6" t="s">
        <v>219</v>
      </c>
      <c r="C306" s="6" t="s">
        <v>211</v>
      </c>
      <c r="D306" s="86">
        <f t="shared" ref="D306:N306" si="61">SUM(D298:D305)-D183</f>
        <v>0</v>
      </c>
      <c r="E306" s="86">
        <f t="shared" si="61"/>
        <v>0</v>
      </c>
      <c r="F306" s="86">
        <f t="shared" si="61"/>
        <v>0</v>
      </c>
      <c r="G306" s="86">
        <f t="shared" si="61"/>
        <v>0</v>
      </c>
      <c r="H306" s="86">
        <f t="shared" si="61"/>
        <v>0</v>
      </c>
      <c r="I306" s="86">
        <f t="shared" si="61"/>
        <v>0</v>
      </c>
      <c r="J306" s="86">
        <f t="shared" si="61"/>
        <v>0</v>
      </c>
      <c r="K306" s="86">
        <f t="shared" si="61"/>
        <v>0</v>
      </c>
      <c r="L306" s="86">
        <f t="shared" si="61"/>
        <v>0</v>
      </c>
      <c r="M306" s="86">
        <f t="shared" si="61"/>
        <v>0</v>
      </c>
      <c r="N306" s="86">
        <f t="shared" si="61"/>
        <v>0</v>
      </c>
    </row>
    <row r="308" spans="1:14" ht="15" customHeight="1" x14ac:dyDescent="0.3">
      <c r="A308" s="6" t="s">
        <v>1274</v>
      </c>
      <c r="B308" s="6" t="s">
        <v>1275</v>
      </c>
      <c r="C308" s="6" t="s">
        <v>1073</v>
      </c>
      <c r="D308" s="89">
        <f>--('Revenue &amp; Durability'!D$112&gt;=$C66)</f>
        <v>1</v>
      </c>
      <c r="E308" s="89">
        <f>--('Revenue &amp; Durability'!E$112&gt;=$C66)</f>
        <v>1</v>
      </c>
      <c r="F308" s="89">
        <f>--('Revenue &amp; Durability'!F$112&gt;=$C66)</f>
        <v>1</v>
      </c>
      <c r="G308" s="89">
        <f>--('Revenue &amp; Durability'!G$112&gt;=$C66)</f>
        <v>1</v>
      </c>
      <c r="H308" s="89">
        <f>--('Revenue &amp; Durability'!H$112&gt;=$C66)</f>
        <v>1</v>
      </c>
      <c r="I308" s="89">
        <f>--('Revenue &amp; Durability'!I$112&gt;=$C66)</f>
        <v>1</v>
      </c>
      <c r="J308" s="89">
        <f>--('Revenue &amp; Durability'!J$112&gt;=$C66)</f>
        <v>1</v>
      </c>
      <c r="K308" s="89">
        <f>--('Revenue &amp; Durability'!K$112&gt;=$C66)</f>
        <v>1</v>
      </c>
      <c r="L308" s="89">
        <f>--('Revenue &amp; Durability'!L$112&gt;=$C66)</f>
        <v>1</v>
      </c>
      <c r="M308" s="89">
        <f>--('Revenue &amp; Durability'!M$112&gt;=$C66)</f>
        <v>1</v>
      </c>
      <c r="N308" s="89">
        <f>--('Revenue &amp; Durability'!N$112&gt;=$C66)</f>
        <v>1</v>
      </c>
    </row>
    <row r="309" spans="1:14" ht="15" customHeight="1" x14ac:dyDescent="0.3">
      <c r="A309" s="6" t="s">
        <v>1276</v>
      </c>
      <c r="B309" s="6" t="s">
        <v>1275</v>
      </c>
      <c r="C309" s="6" t="s">
        <v>1073</v>
      </c>
      <c r="D309" s="89">
        <f>--('Revenue &amp; Durability'!D$112&gt;=$C67)</f>
        <v>1</v>
      </c>
      <c r="E309" s="89">
        <f>--('Revenue &amp; Durability'!E$112&gt;=$C67)</f>
        <v>1</v>
      </c>
      <c r="F309" s="89">
        <f>--('Revenue &amp; Durability'!F$112&gt;=$C67)</f>
        <v>1</v>
      </c>
      <c r="G309" s="89">
        <f>--('Revenue &amp; Durability'!G$112&gt;=$C67)</f>
        <v>1</v>
      </c>
      <c r="H309" s="89">
        <f>--('Revenue &amp; Durability'!H$112&gt;=$C67)</f>
        <v>1</v>
      </c>
      <c r="I309" s="89">
        <f>--('Revenue &amp; Durability'!I$112&gt;=$C67)</f>
        <v>1</v>
      </c>
      <c r="J309" s="89">
        <f>--('Revenue &amp; Durability'!J$112&gt;=$C67)</f>
        <v>1</v>
      </c>
      <c r="K309" s="89">
        <f>--('Revenue &amp; Durability'!K$112&gt;=$C67)</f>
        <v>1</v>
      </c>
      <c r="L309" s="89">
        <f>--('Revenue &amp; Durability'!L$112&gt;=$C67)</f>
        <v>1</v>
      </c>
      <c r="M309" s="89">
        <f>--('Revenue &amp; Durability'!M$112&gt;=$C67)</f>
        <v>1</v>
      </c>
      <c r="N309" s="89">
        <f>--('Revenue &amp; Durability'!N$112&gt;=$C67)</f>
        <v>1</v>
      </c>
    </row>
    <row r="310" spans="1:14" ht="15" customHeight="1" x14ac:dyDescent="0.3">
      <c r="A310" s="6" t="s">
        <v>1277</v>
      </c>
      <c r="B310" s="6" t="s">
        <v>1275</v>
      </c>
      <c r="C310" s="6" t="s">
        <v>1073</v>
      </c>
      <c r="D310" s="89">
        <f>--('Revenue &amp; Durability'!D$112&gt;=$C68)</f>
        <v>0</v>
      </c>
      <c r="E310" s="89">
        <f>--('Revenue &amp; Durability'!E$112&gt;=$C68)</f>
        <v>1</v>
      </c>
      <c r="F310" s="89">
        <f>--('Revenue &amp; Durability'!F$112&gt;=$C68)</f>
        <v>1</v>
      </c>
      <c r="G310" s="89">
        <f>--('Revenue &amp; Durability'!G$112&gt;=$C68)</f>
        <v>1</v>
      </c>
      <c r="H310" s="89">
        <f>--('Revenue &amp; Durability'!H$112&gt;=$C68)</f>
        <v>1</v>
      </c>
      <c r="I310" s="89">
        <f>--('Revenue &amp; Durability'!I$112&gt;=$C68)</f>
        <v>1</v>
      </c>
      <c r="J310" s="89">
        <f>--('Revenue &amp; Durability'!J$112&gt;=$C68)</f>
        <v>1</v>
      </c>
      <c r="K310" s="89">
        <f>--('Revenue &amp; Durability'!K$112&gt;=$C68)</f>
        <v>1</v>
      </c>
      <c r="L310" s="89">
        <f>--('Revenue &amp; Durability'!L$112&gt;=$C68)</f>
        <v>1</v>
      </c>
      <c r="M310" s="89">
        <f>--('Revenue &amp; Durability'!M$112&gt;=$C68)</f>
        <v>1</v>
      </c>
      <c r="N310" s="89">
        <f>--('Revenue &amp; Durability'!N$112&gt;=$C68)</f>
        <v>1</v>
      </c>
    </row>
    <row r="311" spans="1:14" ht="15" customHeight="1" x14ac:dyDescent="0.3">
      <c r="A311" s="6" t="s">
        <v>1278</v>
      </c>
      <c r="B311" s="6" t="s">
        <v>1275</v>
      </c>
      <c r="C311" s="6" t="s">
        <v>1073</v>
      </c>
      <c r="D311" s="89">
        <f>--('Revenue &amp; Durability'!D$112&gt;=$C69)</f>
        <v>1</v>
      </c>
      <c r="E311" s="89">
        <f>--('Revenue &amp; Durability'!E$112&gt;=$C69)</f>
        <v>1</v>
      </c>
      <c r="F311" s="89">
        <f>--('Revenue &amp; Durability'!F$112&gt;=$C69)</f>
        <v>1</v>
      </c>
      <c r="G311" s="89">
        <f>--('Revenue &amp; Durability'!G$112&gt;=$C69)</f>
        <v>1</v>
      </c>
      <c r="H311" s="89">
        <f>--('Revenue &amp; Durability'!H$112&gt;=$C69)</f>
        <v>1</v>
      </c>
      <c r="I311" s="89">
        <f>--('Revenue &amp; Durability'!I$112&gt;=$C69)</f>
        <v>1</v>
      </c>
      <c r="J311" s="89">
        <f>--('Revenue &amp; Durability'!J$112&gt;=$C69)</f>
        <v>1</v>
      </c>
      <c r="K311" s="89">
        <f>--('Revenue &amp; Durability'!K$112&gt;=$C69)</f>
        <v>1</v>
      </c>
      <c r="L311" s="89">
        <f>--('Revenue &amp; Durability'!L$112&gt;=$C69)</f>
        <v>1</v>
      </c>
      <c r="M311" s="89">
        <f>--('Revenue &amp; Durability'!M$112&gt;=$C69)</f>
        <v>1</v>
      </c>
      <c r="N311" s="89">
        <f>--('Revenue &amp; Durability'!N$112&gt;=$C69)</f>
        <v>1</v>
      </c>
    </row>
    <row r="312" spans="1:14" ht="15" customHeight="1" x14ac:dyDescent="0.3">
      <c r="A312" s="6" t="s">
        <v>1279</v>
      </c>
      <c r="B312" s="6" t="s">
        <v>1275</v>
      </c>
      <c r="C312" s="6" t="s">
        <v>1073</v>
      </c>
      <c r="D312" s="89">
        <f>--('Revenue &amp; Durability'!D$112&gt;=$C70)</f>
        <v>1</v>
      </c>
      <c r="E312" s="89">
        <f>--('Revenue &amp; Durability'!E$112&gt;=$C70)</f>
        <v>1</v>
      </c>
      <c r="F312" s="89">
        <f>--('Revenue &amp; Durability'!F$112&gt;=$C70)</f>
        <v>1</v>
      </c>
      <c r="G312" s="89">
        <f>--('Revenue &amp; Durability'!G$112&gt;=$C70)</f>
        <v>1</v>
      </c>
      <c r="H312" s="89">
        <f>--('Revenue &amp; Durability'!H$112&gt;=$C70)</f>
        <v>1</v>
      </c>
      <c r="I312" s="89">
        <f>--('Revenue &amp; Durability'!I$112&gt;=$C70)</f>
        <v>1</v>
      </c>
      <c r="J312" s="89">
        <f>--('Revenue &amp; Durability'!J$112&gt;=$C70)</f>
        <v>1</v>
      </c>
      <c r="K312" s="89">
        <f>--('Revenue &amp; Durability'!K$112&gt;=$C70)</f>
        <v>1</v>
      </c>
      <c r="L312" s="89">
        <f>--('Revenue &amp; Durability'!L$112&gt;=$C70)</f>
        <v>1</v>
      </c>
      <c r="M312" s="89">
        <f>--('Revenue &amp; Durability'!M$112&gt;=$C70)</f>
        <v>1</v>
      </c>
      <c r="N312" s="89">
        <f>--('Revenue &amp; Durability'!N$112&gt;=$C70)</f>
        <v>1</v>
      </c>
    </row>
    <row r="313" spans="1:14" ht="15" customHeight="1" x14ac:dyDescent="0.3">
      <c r="A313" s="6" t="s">
        <v>1280</v>
      </c>
      <c r="B313" s="6" t="s">
        <v>1275</v>
      </c>
      <c r="C313" s="6" t="s">
        <v>1073</v>
      </c>
      <c r="D313" s="89">
        <f>--('Revenue &amp; Durability'!D$112&gt;=$C71)</f>
        <v>1</v>
      </c>
      <c r="E313" s="89">
        <f>--('Revenue &amp; Durability'!E$112&gt;=$C71)</f>
        <v>1</v>
      </c>
      <c r="F313" s="89">
        <f>--('Revenue &amp; Durability'!F$112&gt;=$C71)</f>
        <v>1</v>
      </c>
      <c r="G313" s="89">
        <f>--('Revenue &amp; Durability'!G$112&gt;=$C71)</f>
        <v>1</v>
      </c>
      <c r="H313" s="89">
        <f>--('Revenue &amp; Durability'!H$112&gt;=$C71)</f>
        <v>1</v>
      </c>
      <c r="I313" s="89">
        <f>--('Revenue &amp; Durability'!I$112&gt;=$C71)</f>
        <v>1</v>
      </c>
      <c r="J313" s="89">
        <f>--('Revenue &amp; Durability'!J$112&gt;=$C71)</f>
        <v>1</v>
      </c>
      <c r="K313" s="89">
        <f>--('Revenue &amp; Durability'!K$112&gt;=$C71)</f>
        <v>1</v>
      </c>
      <c r="L313" s="89">
        <f>--('Revenue &amp; Durability'!L$112&gt;=$C71)</f>
        <v>1</v>
      </c>
      <c r="M313" s="89">
        <f>--('Revenue &amp; Durability'!M$112&gt;=$C71)</f>
        <v>1</v>
      </c>
      <c r="N313" s="89">
        <f>--('Revenue &amp; Durability'!N$112&gt;=$C71)</f>
        <v>1</v>
      </c>
    </row>
    <row r="314" spans="1:14" ht="15" customHeight="1" x14ac:dyDescent="0.3">
      <c r="A314" s="6" t="s">
        <v>1281</v>
      </c>
      <c r="B314" s="6" t="s">
        <v>1275</v>
      </c>
      <c r="C314" s="6" t="s">
        <v>1073</v>
      </c>
      <c r="D314" s="89">
        <f>--('Revenue &amp; Durability'!D$112&gt;=$C72)</f>
        <v>1</v>
      </c>
      <c r="E314" s="89">
        <f>--('Revenue &amp; Durability'!E$112&gt;=$C72)</f>
        <v>1</v>
      </c>
      <c r="F314" s="89">
        <f>--('Revenue &amp; Durability'!F$112&gt;=$C72)</f>
        <v>1</v>
      </c>
      <c r="G314" s="89">
        <f>--('Revenue &amp; Durability'!G$112&gt;=$C72)</f>
        <v>1</v>
      </c>
      <c r="H314" s="89">
        <f>--('Revenue &amp; Durability'!H$112&gt;=$C72)</f>
        <v>1</v>
      </c>
      <c r="I314" s="89">
        <f>--('Revenue &amp; Durability'!I$112&gt;=$C72)</f>
        <v>1</v>
      </c>
      <c r="J314" s="89">
        <f>--('Revenue &amp; Durability'!J$112&gt;=$C72)</f>
        <v>1</v>
      </c>
      <c r="K314" s="89">
        <f>--('Revenue &amp; Durability'!K$112&gt;=$C72)</f>
        <v>1</v>
      </c>
      <c r="L314" s="89">
        <f>--('Revenue &amp; Durability'!L$112&gt;=$C72)</f>
        <v>1</v>
      </c>
      <c r="M314" s="89">
        <f>--('Revenue &amp; Durability'!M$112&gt;=$C72)</f>
        <v>1</v>
      </c>
      <c r="N314" s="89">
        <f>--('Revenue &amp; Durability'!N$112&gt;=$C72)</f>
        <v>1</v>
      </c>
    </row>
    <row r="315" spans="1:14" ht="15" customHeight="1" x14ac:dyDescent="0.3">
      <c r="A315" s="6" t="s">
        <v>1282</v>
      </c>
      <c r="B315" s="6" t="s">
        <v>1275</v>
      </c>
      <c r="C315" s="6" t="s">
        <v>1073</v>
      </c>
      <c r="D315" s="89">
        <f>--('Revenue &amp; Durability'!D$112&gt;=$C73)</f>
        <v>1</v>
      </c>
      <c r="E315" s="89">
        <f>--('Revenue &amp; Durability'!E$112&gt;=$C73)</f>
        <v>1</v>
      </c>
      <c r="F315" s="89">
        <f>--('Revenue &amp; Durability'!F$112&gt;=$C73)</f>
        <v>1</v>
      </c>
      <c r="G315" s="89">
        <f>--('Revenue &amp; Durability'!G$112&gt;=$C73)</f>
        <v>1</v>
      </c>
      <c r="H315" s="89">
        <f>--('Revenue &amp; Durability'!H$112&gt;=$C73)</f>
        <v>1</v>
      </c>
      <c r="I315" s="89">
        <f>--('Revenue &amp; Durability'!I$112&gt;=$C73)</f>
        <v>1</v>
      </c>
      <c r="J315" s="89">
        <f>--('Revenue &amp; Durability'!J$112&gt;=$C73)</f>
        <v>1</v>
      </c>
      <c r="K315" s="89">
        <f>--('Revenue &amp; Durability'!K$112&gt;=$C73)</f>
        <v>1</v>
      </c>
      <c r="L315" s="89">
        <f>--('Revenue &amp; Durability'!L$112&gt;=$C73)</f>
        <v>1</v>
      </c>
      <c r="M315" s="89">
        <f>--('Revenue &amp; Durability'!M$112&gt;=$C73)</f>
        <v>1</v>
      </c>
      <c r="N315" s="89">
        <f>--('Revenue &amp; Durability'!N$112&gt;=$C73)</f>
        <v>1</v>
      </c>
    </row>
    <row r="316" spans="1:14" ht="15" customHeight="1" x14ac:dyDescent="0.3">
      <c r="A316" s="6" t="s">
        <v>1283</v>
      </c>
      <c r="B316" s="6" t="s">
        <v>1275</v>
      </c>
      <c r="C316" s="6" t="s">
        <v>1098</v>
      </c>
      <c r="D316" s="89">
        <f>--('Revenue &amp; Durability'!D$112&gt;=$C74)</f>
        <v>0</v>
      </c>
      <c r="E316" s="89">
        <f>--('Revenue &amp; Durability'!E$112&gt;=$C74)</f>
        <v>0</v>
      </c>
      <c r="F316" s="89">
        <f>--('Revenue &amp; Durability'!F$112&gt;=$C74)</f>
        <v>0</v>
      </c>
      <c r="G316" s="89">
        <f>--('Revenue &amp; Durability'!G$112&gt;=$C74)</f>
        <v>0</v>
      </c>
      <c r="H316" s="89">
        <f>--('Revenue &amp; Durability'!H$112&gt;=$C74)</f>
        <v>0</v>
      </c>
      <c r="I316" s="89">
        <f>--('Revenue &amp; Durability'!I$112&gt;=$C74)</f>
        <v>0</v>
      </c>
      <c r="J316" s="89">
        <f>--('Revenue &amp; Durability'!J$112&gt;=$C74)</f>
        <v>0</v>
      </c>
      <c r="K316" s="89">
        <f>--('Revenue &amp; Durability'!K$112&gt;=$C74)</f>
        <v>0</v>
      </c>
      <c r="L316" s="89">
        <f>--('Revenue &amp; Durability'!L$112&gt;=$C74)</f>
        <v>0</v>
      </c>
      <c r="M316" s="89">
        <f>--('Revenue &amp; Durability'!M$112&gt;=$C74)</f>
        <v>0</v>
      </c>
      <c r="N316" s="89">
        <f>--('Revenue &amp; Durability'!N$112&gt;=$C74)</f>
        <v>0</v>
      </c>
    </row>
    <row r="317" spans="1:14" ht="15" customHeight="1" x14ac:dyDescent="0.3">
      <c r="A317" s="6" t="s">
        <v>1284</v>
      </c>
      <c r="B317" s="6" t="s">
        <v>1275</v>
      </c>
      <c r="C317" s="6" t="s">
        <v>211</v>
      </c>
      <c r="D317" s="86">
        <f t="shared" ref="D317:N317" si="62">SUM(D308:D316)</f>
        <v>7</v>
      </c>
      <c r="E317" s="86">
        <f t="shared" si="62"/>
        <v>8</v>
      </c>
      <c r="F317" s="86">
        <f t="shared" si="62"/>
        <v>8</v>
      </c>
      <c r="G317" s="86">
        <f t="shared" si="62"/>
        <v>8</v>
      </c>
      <c r="H317" s="86">
        <f t="shared" si="62"/>
        <v>8</v>
      </c>
      <c r="I317" s="86">
        <f t="shared" si="62"/>
        <v>8</v>
      </c>
      <c r="J317" s="86">
        <f t="shared" si="62"/>
        <v>8</v>
      </c>
      <c r="K317" s="86">
        <f t="shared" si="62"/>
        <v>8</v>
      </c>
      <c r="L317" s="86">
        <f t="shared" si="62"/>
        <v>8</v>
      </c>
      <c r="M317" s="86">
        <f t="shared" si="62"/>
        <v>8</v>
      </c>
      <c r="N317" s="86">
        <f t="shared" si="62"/>
        <v>8</v>
      </c>
    </row>
  </sheetData>
  <pageMargins left="0.7" right="0.7" top="0.75" bottom="0.75" header="0.511811023622047" footer="0.511811023622047"/>
  <pageSetup paperSize="9"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154"/>
  <sheetViews>
    <sheetView showGridLines="0" zoomScaleNormal="100" workbookViewId="0">
      <pane xSplit="3" ySplit="6" topLeftCell="D7" activePane="bottomRight" state="frozen"/>
      <selection pane="topRight" activeCell="D1" sqref="D1"/>
      <selection pane="bottomLeft" activeCell="A7" sqref="A7"/>
      <selection pane="bottomRight"/>
    </sheetView>
  </sheetViews>
  <sheetFormatPr defaultColWidth="8.7109375" defaultRowHeight="12.75" x14ac:dyDescent="0.2"/>
  <cols>
    <col min="1" max="1" width="58" customWidth="1"/>
    <col min="2" max="2" width="15" customWidth="1"/>
    <col min="3" max="3" width="9" customWidth="1"/>
    <col min="4" max="14" width="13" customWidth="1"/>
  </cols>
  <sheetData>
    <row r="1" spans="1:14" ht="15" customHeight="1" x14ac:dyDescent="0.3">
      <c r="A1" s="1" t="s">
        <v>1285</v>
      </c>
      <c r="B1" s="2"/>
      <c r="C1" s="2"/>
      <c r="D1" s="2"/>
      <c r="E1" s="2"/>
      <c r="F1" s="2"/>
      <c r="G1" s="2"/>
      <c r="H1" s="2"/>
      <c r="I1" s="2"/>
      <c r="J1" s="2"/>
      <c r="K1" s="2"/>
      <c r="L1" s="2"/>
      <c r="M1" s="2"/>
      <c r="N1" s="2"/>
    </row>
    <row r="2" spans="1:14" ht="15" customHeight="1" x14ac:dyDescent="0.3">
      <c r="A2" s="6" t="s">
        <v>1286</v>
      </c>
      <c r="B2" s="2"/>
      <c r="C2" s="2"/>
      <c r="D2" s="2"/>
      <c r="E2" s="2"/>
      <c r="F2" s="2"/>
      <c r="G2" s="2"/>
      <c r="H2" s="2"/>
      <c r="I2" s="2"/>
      <c r="J2" s="2"/>
      <c r="K2" s="2"/>
      <c r="L2" s="2"/>
      <c r="M2" s="2"/>
      <c r="N2" s="2"/>
    </row>
    <row r="3" spans="1:14" ht="15" customHeight="1" x14ac:dyDescent="0.3">
      <c r="A3" s="6" t="s">
        <v>1287</v>
      </c>
      <c r="B3" s="2"/>
      <c r="C3" s="2"/>
      <c r="D3" s="2"/>
      <c r="E3" s="2"/>
      <c r="F3" s="2"/>
      <c r="G3" s="2"/>
      <c r="H3" s="2"/>
      <c r="I3" s="2"/>
      <c r="J3" s="2"/>
      <c r="K3" s="2"/>
      <c r="L3" s="2"/>
      <c r="M3" s="2"/>
      <c r="N3" s="2"/>
    </row>
    <row r="4" spans="1:14" ht="15" customHeight="1" x14ac:dyDescent="0.3">
      <c r="A4" s="2"/>
      <c r="B4" s="2"/>
      <c r="C4" s="2"/>
      <c r="D4" s="2"/>
      <c r="E4" s="2"/>
      <c r="F4" s="2"/>
      <c r="G4" s="2"/>
      <c r="H4" s="2"/>
      <c r="I4" s="2"/>
      <c r="J4" s="2"/>
      <c r="K4" s="2"/>
      <c r="L4" s="2"/>
      <c r="M4" s="2"/>
      <c r="N4" s="2"/>
    </row>
    <row r="5" spans="1:14" ht="15" customHeight="1" x14ac:dyDescent="0.3">
      <c r="A5" s="21" t="s">
        <v>812</v>
      </c>
      <c r="B5" s="10"/>
      <c r="C5" s="10"/>
      <c r="D5" s="10"/>
      <c r="E5" s="10"/>
      <c r="F5" s="10"/>
      <c r="G5" s="10"/>
      <c r="H5" s="10"/>
      <c r="I5" s="10"/>
      <c r="J5" s="10"/>
      <c r="K5" s="10"/>
      <c r="L5" s="10"/>
      <c r="M5" s="10"/>
      <c r="N5" s="10"/>
    </row>
    <row r="6" spans="1:14" ht="15" customHeight="1" x14ac:dyDescent="0.3">
      <c r="A6" s="21" t="s">
        <v>202</v>
      </c>
      <c r="B6" s="10"/>
      <c r="C6" s="10"/>
      <c r="D6" s="21" t="s">
        <v>203</v>
      </c>
      <c r="E6" s="21" t="s">
        <v>204</v>
      </c>
      <c r="F6" s="21" t="s">
        <v>205</v>
      </c>
      <c r="G6" s="21" t="s">
        <v>9</v>
      </c>
      <c r="H6" s="21" t="s">
        <v>206</v>
      </c>
      <c r="I6" s="21" t="s">
        <v>10</v>
      </c>
      <c r="J6" s="21" t="s">
        <v>207</v>
      </c>
      <c r="K6" s="21" t="s">
        <v>11</v>
      </c>
      <c r="L6" s="21" t="s">
        <v>208</v>
      </c>
      <c r="M6" s="21" t="s">
        <v>209</v>
      </c>
      <c r="N6" s="21" t="s">
        <v>12</v>
      </c>
    </row>
    <row r="7" spans="1:14" ht="15" customHeight="1" x14ac:dyDescent="0.3">
      <c r="A7" s="6" t="s">
        <v>13</v>
      </c>
      <c r="B7" s="6" t="s">
        <v>210</v>
      </c>
      <c r="C7" s="6" t="s">
        <v>211</v>
      </c>
      <c r="D7" s="13">
        <f>'Revenue &amp; Durability'!D$49</f>
        <v>7109.375</v>
      </c>
      <c r="E7" s="13">
        <f>'Revenue &amp; Durability'!E$49</f>
        <v>9775.390625</v>
      </c>
      <c r="F7" s="13">
        <f>'Revenue &amp; Durability'!F$49</f>
        <v>14938.57421875</v>
      </c>
      <c r="G7" s="13">
        <f>'Revenue &amp; Durability'!G$49</f>
        <v>24422.491577148438</v>
      </c>
      <c r="H7" s="13">
        <f>'Revenue &amp; Durability'!H$49</f>
        <v>33786.695683441169</v>
      </c>
      <c r="I7" s="13">
        <f>'Revenue &amp; Durability'!I$49</f>
        <v>38379.610782053191</v>
      </c>
      <c r="J7" s="13">
        <f>'Revenue &amp; Durability'!J$49</f>
        <v>42863.444147073184</v>
      </c>
      <c r="K7" s="13">
        <f>'Revenue &amp; Durability'!K$49</f>
        <v>47240.786469673942</v>
      </c>
      <c r="L7" s="13">
        <f>'Revenue &amp; Durability'!L$49</f>
        <v>48848.151287112938</v>
      </c>
      <c r="M7" s="13">
        <f>'Revenue &amp; Durability'!M$49</f>
        <v>47688.007694044005</v>
      </c>
      <c r="N7" s="13">
        <f>'Revenue &amp; Durability'!N$49</f>
        <v>46555.417511310465</v>
      </c>
    </row>
    <row r="8" spans="1:14" ht="15" customHeight="1" x14ac:dyDescent="0.3">
      <c r="A8" s="6" t="s">
        <v>14</v>
      </c>
      <c r="B8" s="6" t="s">
        <v>212</v>
      </c>
      <c r="C8" s="6" t="s">
        <v>211</v>
      </c>
      <c r="D8" s="15">
        <f>'Revenue &amp; Durability'!D$58</f>
        <v>28.4375</v>
      </c>
      <c r="E8" s="15">
        <f>'Revenue &amp; Durability'!E$58</f>
        <v>39.1015625</v>
      </c>
      <c r="F8" s="15">
        <f>'Revenue &amp; Durability'!F$58</f>
        <v>59.754296875000001</v>
      </c>
      <c r="G8" s="15">
        <f>'Revenue &amp; Durability'!G$58</f>
        <v>97.689966308593753</v>
      </c>
      <c r="H8" s="15">
        <f>'Revenue &amp; Durability'!H$58</f>
        <v>135.14678273376467</v>
      </c>
      <c r="I8" s="15">
        <f>'Revenue &amp; Durability'!I$58</f>
        <v>153.51844312821277</v>
      </c>
      <c r="J8" s="15">
        <f>'Revenue &amp; Durability'!J$58</f>
        <v>171.45377658829273</v>
      </c>
      <c r="K8" s="15">
        <f>'Revenue &amp; Durability'!K$58</f>
        <v>188.96314587869577</v>
      </c>
      <c r="L8" s="15">
        <f>'Revenue &amp; Durability'!L$58</f>
        <v>195.39260514845176</v>
      </c>
      <c r="M8" s="15">
        <f>'Revenue &amp; Durability'!M$58</f>
        <v>190.75203077617601</v>
      </c>
      <c r="N8" s="15">
        <f>'Revenue &amp; Durability'!N$58</f>
        <v>186.22167004524186</v>
      </c>
    </row>
    <row r="9" spans="1:14" ht="15" customHeight="1" x14ac:dyDescent="0.3">
      <c r="A9" s="6" t="s">
        <v>15</v>
      </c>
      <c r="B9" s="6" t="s">
        <v>213</v>
      </c>
      <c r="C9" s="6" t="s">
        <v>214</v>
      </c>
      <c r="D9" s="15">
        <f>'Revenue &amp; Durability'!D$61</f>
        <v>5.46</v>
      </c>
      <c r="E9" s="15">
        <f>'Revenue &amp; Durability'!E$61</f>
        <v>6.7210000000000001</v>
      </c>
      <c r="F9" s="15">
        <f>'Revenue &amp; Durability'!F$61</f>
        <v>9.7901439999999997</v>
      </c>
      <c r="G9" s="15">
        <f>'Revenue &amp; Durability'!G$61</f>
        <v>13.61581041527778</v>
      </c>
      <c r="H9" s="15">
        <f>'Revenue &amp; Durability'!H$61</f>
        <v>18.946291827057298</v>
      </c>
      <c r="I9" s="15">
        <f>'Revenue &amp; Durability'!I$61</f>
        <v>21.615396792452355</v>
      </c>
      <c r="J9" s="15">
        <f>'Revenue &amp; Durability'!J$61</f>
        <v>24.221973534014214</v>
      </c>
      <c r="K9" s="15">
        <f>'Revenue &amp; Durability'!K$61</f>
        <v>26.767259490870178</v>
      </c>
      <c r="L9" s="15">
        <f>'Revenue &amp; Durability'!L$61</f>
        <v>27.678013827962012</v>
      </c>
      <c r="M9" s="15">
        <f>'Revenue &amp; Durability'!M$61</f>
        <v>27.020660999547914</v>
      </c>
      <c r="N9" s="15">
        <f>'Revenue &amp; Durability'!N$61</f>
        <v>26.378920300808655</v>
      </c>
    </row>
    <row r="10" spans="1:14" ht="15" customHeight="1" x14ac:dyDescent="0.3">
      <c r="A10" s="6" t="s">
        <v>215</v>
      </c>
      <c r="B10" s="6" t="s">
        <v>216</v>
      </c>
      <c r="C10" s="6" t="s">
        <v>217</v>
      </c>
      <c r="D10" s="54">
        <f>'Revenue &amp; Durability'!D$64</f>
        <v>0.77449999999999997</v>
      </c>
      <c r="E10" s="54">
        <f>'Revenue &amp; Durability'!E$64</f>
        <v>1.1843250000000003</v>
      </c>
      <c r="F10" s="54">
        <f>'Revenue &amp; Durability'!F$64</f>
        <v>2.1817967999999999</v>
      </c>
      <c r="G10" s="54">
        <f>'Revenue &amp; Durability'!G$64</f>
        <v>3.4251383849652779</v>
      </c>
      <c r="H10" s="54">
        <f>'Revenue &amp; Durability'!H$64</f>
        <v>5.1575448437936222</v>
      </c>
      <c r="I10" s="54">
        <f>'Revenue &amp; Durability'!I$64</f>
        <v>6.0250039575470158</v>
      </c>
      <c r="J10" s="54">
        <f>'Revenue &amp; Durability'!J$64</f>
        <v>6.8721413985546196</v>
      </c>
      <c r="K10" s="54">
        <f>'Revenue &amp; Durability'!K$64</f>
        <v>7.699359334532808</v>
      </c>
      <c r="L10" s="54">
        <f>'Revenue &amp; Durability'!L$64</f>
        <v>7.9953544940876533</v>
      </c>
      <c r="M10" s="54">
        <f>'Revenue &amp; Durability'!M$64</f>
        <v>7.7817148248530721</v>
      </c>
      <c r="N10" s="54">
        <f>'Revenue &amp; Durability'!N$64</f>
        <v>7.5731490977628138</v>
      </c>
    </row>
    <row r="11" spans="1:14" ht="15" customHeight="1" x14ac:dyDescent="0.3">
      <c r="A11" s="6" t="s">
        <v>16</v>
      </c>
      <c r="B11" s="6" t="s">
        <v>218</v>
      </c>
      <c r="C11" s="6" t="s">
        <v>211</v>
      </c>
      <c r="D11" s="13">
        <f>'Revenue &amp; Durability'!D$65</f>
        <v>4645855.3064404428</v>
      </c>
      <c r="E11" s="13">
        <f>'Revenue &amp; Durability'!E$65</f>
        <v>6388051.0463556089</v>
      </c>
      <c r="F11" s="13">
        <f>'Revenue &amp; Durability'!F$65</f>
        <v>9762103.4626579806</v>
      </c>
      <c r="G11" s="13">
        <f>'Revenue &amp; Durability'!G$65</f>
        <v>15959681.700598449</v>
      </c>
      <c r="H11" s="13">
        <f>'Revenue &amp; Durability'!H$65</f>
        <v>22079029.370092809</v>
      </c>
      <c r="I11" s="13">
        <f>'Revenue &amp; Durability'!I$65</f>
        <v>25080421.051206421</v>
      </c>
      <c r="J11" s="13">
        <f>'Revenue &amp; Durability'!J$65</f>
        <v>28010529.679893591</v>
      </c>
      <c r="K11" s="13">
        <f>'Revenue &amp; Durability'!K$65</f>
        <v>30871048.228649434</v>
      </c>
      <c r="L11" s="13">
        <f>'Revenue &amp; Durability'!L$65</f>
        <v>31921433.721957162</v>
      </c>
      <c r="M11" s="13">
        <f>'Revenue &amp; Durability'!M$65</f>
        <v>31163299.671060678</v>
      </c>
      <c r="N11" s="13">
        <f>'Revenue &amp; Durability'!N$65</f>
        <v>30423171.303872991</v>
      </c>
    </row>
    <row r="12" spans="1:14" ht="15" customHeight="1" x14ac:dyDescent="0.3">
      <c r="A12" s="1" t="s">
        <v>1288</v>
      </c>
      <c r="B12" s="6" t="s">
        <v>218</v>
      </c>
      <c r="C12" s="6" t="s">
        <v>211</v>
      </c>
      <c r="D12" s="39">
        <f>'Revenue &amp; Durability'!D$36</f>
        <v>910000</v>
      </c>
      <c r="E12" s="39">
        <f>'Revenue &amp; Durability'!E$36</f>
        <v>1251250</v>
      </c>
      <c r="F12" s="39">
        <f>'Revenue &amp; Durability'!F$36</f>
        <v>1831375</v>
      </c>
      <c r="G12" s="39">
        <f>'Revenue &amp; Durability'!G$36</f>
        <v>2914985.9375</v>
      </c>
      <c r="H12" s="39">
        <f>'Revenue &amp; Durability'!H$36</f>
        <v>3940675.01953125</v>
      </c>
      <c r="I12" s="39">
        <f>'Revenue &amp; Durability'!I$36</f>
        <v>4218239.7048339844</v>
      </c>
      <c r="J12" s="39">
        <f>'Revenue &amp; Durability'!J$36</f>
        <v>4464578.3630401613</v>
      </c>
      <c r="K12" s="39">
        <f>'Revenue &amp; Durability'!K$36</f>
        <v>4683203.9221981429</v>
      </c>
      <c r="L12" s="39">
        <f>'Revenue &amp; Durability'!L$36</f>
        <v>4535984.1059508519</v>
      </c>
      <c r="M12" s="39">
        <f>'Revenue &amp; Durability'!M$36</f>
        <v>4025685.8940313808</v>
      </c>
      <c r="N12" s="39">
        <f>'Revenue &amp; Durability'!N$36</f>
        <v>3572796.2309528505</v>
      </c>
    </row>
    <row r="13" spans="1:14" ht="15" customHeight="1" x14ac:dyDescent="0.3">
      <c r="A13" s="6" t="s">
        <v>1289</v>
      </c>
      <c r="B13" s="6" t="s">
        <v>218</v>
      </c>
      <c r="C13" s="6" t="s">
        <v>222</v>
      </c>
      <c r="D13" s="13">
        <f>'Revenue &amp; Durability'!D$46</f>
        <v>0</v>
      </c>
      <c r="E13" s="13">
        <f>'Revenue &amp; Durability'!E$46</f>
        <v>0</v>
      </c>
      <c r="F13" s="13">
        <f>'Revenue &amp; Durability'!F$46</f>
        <v>80762.500000000102</v>
      </c>
      <c r="G13" s="13">
        <f>'Revenue &amp; Durability'!G$46</f>
        <v>211092.98437500017</v>
      </c>
      <c r="H13" s="13">
        <f>'Revenue &amp; Durability'!H$46</f>
        <v>384022.02794921916</v>
      </c>
      <c r="I13" s="13">
        <f>'Revenue &amp; Durability'!I$46</f>
        <v>694350.47526882403</v>
      </c>
      <c r="J13" s="13">
        <f>'Revenue &amp; Durability'!J$46</f>
        <v>1021942.4877852057</v>
      </c>
      <c r="K13" s="13">
        <f>'Revenue &amp; Durability'!K$46</f>
        <v>1363616.7459201217</v>
      </c>
      <c r="L13" s="13">
        <f>'Revenue &amp; Durability'!L$46</f>
        <v>1716579.2587996041</v>
      </c>
      <c r="M13" s="13">
        <f>'Revenue &amp; Durability'!M$46</f>
        <v>2078379.0908062521</v>
      </c>
      <c r="N13" s="13">
        <f>'Revenue &amp; Durability'!N$46</f>
        <v>2386297.2104948889</v>
      </c>
    </row>
    <row r="14" spans="1:14" ht="15" customHeight="1" x14ac:dyDescent="0.3">
      <c r="A14" s="6" t="s">
        <v>849</v>
      </c>
      <c r="B14" s="6" t="s">
        <v>210</v>
      </c>
      <c r="C14" s="6" t="s">
        <v>245</v>
      </c>
      <c r="D14" s="13">
        <f>'Revenue &amp; Durability'!D$44</f>
        <v>0</v>
      </c>
      <c r="E14" s="13">
        <f>'Revenue &amp; Durability'!E$44</f>
        <v>0</v>
      </c>
      <c r="F14" s="13">
        <f>'Revenue &amp; Durability'!F$44</f>
        <v>0</v>
      </c>
      <c r="G14" s="13">
        <f>'Revenue &amp; Durability'!G$44</f>
        <v>0</v>
      </c>
      <c r="H14" s="13">
        <f>'Revenue &amp; Durability'!H$44</f>
        <v>0</v>
      </c>
      <c r="I14" s="13">
        <f>'Revenue &amp; Durability'!I$44</f>
        <v>0</v>
      </c>
      <c r="J14" s="13">
        <f>'Revenue &amp; Durability'!J$44</f>
        <v>0</v>
      </c>
      <c r="K14" s="13">
        <f>'Revenue &amp; Durability'!K$44</f>
        <v>0</v>
      </c>
      <c r="L14" s="13">
        <f>'Revenue &amp; Durability'!L$44</f>
        <v>0</v>
      </c>
      <c r="M14" s="13">
        <f>'Revenue &amp; Durability'!M$44</f>
        <v>0</v>
      </c>
      <c r="N14" s="13">
        <f>'Revenue &amp; Durability'!N$44</f>
        <v>0</v>
      </c>
    </row>
    <row r="15" spans="1:14" ht="15" customHeight="1" x14ac:dyDescent="0.3">
      <c r="A15" s="6" t="s">
        <v>242</v>
      </c>
      <c r="B15" s="6" t="s">
        <v>218</v>
      </c>
      <c r="C15" s="6" t="s">
        <v>211</v>
      </c>
      <c r="D15" s="13">
        <f>'Org &amp; Capacity'!D$142</f>
        <v>1299478.778954786</v>
      </c>
      <c r="E15" s="13">
        <f>'Org &amp; Capacity'!E$142</f>
        <v>1761739.7495431597</v>
      </c>
      <c r="F15" s="13">
        <f>'Org &amp; Capacity'!F$142</f>
        <v>2628972.789570556</v>
      </c>
      <c r="G15" s="13">
        <f>'Org &amp; Capacity'!G$142</f>
        <v>4353500.0160987936</v>
      </c>
      <c r="H15" s="13">
        <f>'Org &amp; Capacity'!H$142</f>
        <v>6109363.590092835</v>
      </c>
      <c r="I15" s="13">
        <f>'Org &amp; Capacity'!I$142</f>
        <v>6732418.6831120988</v>
      </c>
      <c r="J15" s="13">
        <f>'Org &amp; Capacity'!J$142</f>
        <v>7343954.2506571636</v>
      </c>
      <c r="K15" s="13">
        <f>'Org &amp; Capacity'!K$142</f>
        <v>7946281.1324120639</v>
      </c>
      <c r="L15" s="13">
        <f>'Org &amp; Capacity'!L$142</f>
        <v>7953444.9773296118</v>
      </c>
      <c r="M15" s="13">
        <f>'Org &amp; Capacity'!M$142</f>
        <v>7305736.3019883288</v>
      </c>
      <c r="N15" s="13">
        <f>'Org &amp; Capacity'!N$142</f>
        <v>6710775.4018951515</v>
      </c>
    </row>
    <row r="16" spans="1:14" ht="15" customHeight="1" x14ac:dyDescent="0.3">
      <c r="A16" s="6" t="s">
        <v>243</v>
      </c>
      <c r="B16" s="6" t="s">
        <v>218</v>
      </c>
      <c r="C16" s="6" t="s">
        <v>211</v>
      </c>
      <c r="D16" s="13">
        <f>-'Org &amp; Capacity'!D$146</f>
        <v>-862012.62999999989</v>
      </c>
      <c r="E16" s="13">
        <f>-'Org &amp; Capacity'!E$146</f>
        <v>-862012.62999999989</v>
      </c>
      <c r="F16" s="13">
        <f>-'Org &amp; Capacity'!F$146</f>
        <v>-2265052.6854175273</v>
      </c>
      <c r="G16" s="13">
        <f>-'Org &amp; Capacity'!G$146</f>
        <v>-3605478.8462831136</v>
      </c>
      <c r="H16" s="13">
        <f>-'Org &amp; Capacity'!H$146</f>
        <v>-4617429.1019843146</v>
      </c>
      <c r="I16" s="13">
        <f>-'Org &amp; Capacity'!I$146</f>
        <v>-5490914.7749836417</v>
      </c>
      <c r="J16" s="13">
        <f>-'Org &amp; Capacity'!J$146</f>
        <v>-6460237.6826968016</v>
      </c>
      <c r="K16" s="13">
        <f>-'Org &amp; Capacity'!K$146</f>
        <v>-7265408.1002021916</v>
      </c>
      <c r="L16" s="13">
        <f>-'Org &amp; Capacity'!L$146</f>
        <v>-7604055.1790773151</v>
      </c>
      <c r="M16" s="13">
        <f>-'Org &amp; Capacity'!M$146</f>
        <v>-7791503.8516714815</v>
      </c>
      <c r="N16" s="13">
        <f>-'Org &amp; Capacity'!N$146</f>
        <v>-7586608.5551516982</v>
      </c>
    </row>
    <row r="17" spans="1:14" ht="15" customHeight="1" x14ac:dyDescent="0.3">
      <c r="A17" s="6" t="s">
        <v>1206</v>
      </c>
      <c r="B17" s="6" t="s">
        <v>218</v>
      </c>
      <c r="C17" s="6" t="s">
        <v>245</v>
      </c>
      <c r="D17" s="13">
        <f>-'Org &amp; Capacity'!D$155</f>
        <v>-649739.38947739301</v>
      </c>
      <c r="E17" s="13">
        <f>-'Org &amp; Capacity'!E$155</f>
        <v>-231130.48529418686</v>
      </c>
      <c r="F17" s="13">
        <f>-'Org &amp; Capacity'!F$155</f>
        <v>-433616.52001369814</v>
      </c>
      <c r="G17" s="13">
        <f>-'Org &amp; Capacity'!G$155</f>
        <v>-862263.61326411879</v>
      </c>
      <c r="H17" s="13">
        <f>-'Org &amp; Capacity'!H$155</f>
        <v>-877931.78699702071</v>
      </c>
      <c r="I17" s="13">
        <f>-'Org &amp; Capacity'!I$155</f>
        <v>-311527.54650963191</v>
      </c>
      <c r="J17" s="13">
        <f>-'Org &amp; Capacity'!J$155</f>
        <v>-305767.78377253236</v>
      </c>
      <c r="K17" s="13">
        <f>-'Org &amp; Capacity'!K$155</f>
        <v>-301163.44087745016</v>
      </c>
      <c r="L17" s="13">
        <f>-'Org &amp; Capacity'!L$155</f>
        <v>-3581.9224587739445</v>
      </c>
      <c r="M17" s="13">
        <f>-'Org &amp; Capacity'!M$155</f>
        <v>0</v>
      </c>
      <c r="N17" s="13">
        <f>-'Org &amp; Capacity'!N$155</f>
        <v>0</v>
      </c>
    </row>
    <row r="18" spans="1:14" ht="15" customHeight="1" x14ac:dyDescent="0.3">
      <c r="A18" s="6" t="s">
        <v>246</v>
      </c>
      <c r="B18" s="6" t="s">
        <v>218</v>
      </c>
      <c r="C18" s="6" t="s">
        <v>222</v>
      </c>
      <c r="D18" s="13">
        <f>'Org &amp; Capacity'!D$157</f>
        <v>0</v>
      </c>
      <c r="E18" s="13">
        <f>'Org &amp; Capacity'!E$157</f>
        <v>0</v>
      </c>
      <c r="F18" s="13">
        <f>'Org &amp; Capacity'!F$157</f>
        <v>0</v>
      </c>
      <c r="G18" s="13">
        <f>'Org &amp; Capacity'!G$157</f>
        <v>0</v>
      </c>
      <c r="H18" s="13">
        <f>'Org &amp; Capacity'!H$157</f>
        <v>0</v>
      </c>
      <c r="I18" s="13">
        <f>'Org &amp; Capacity'!I$157</f>
        <v>0</v>
      </c>
      <c r="J18" s="13">
        <f>'Org &amp; Capacity'!J$157</f>
        <v>0</v>
      </c>
      <c r="K18" s="13">
        <f>'Org &amp; Capacity'!K$157</f>
        <v>0</v>
      </c>
      <c r="L18" s="13">
        <f>'Org &amp; Capacity'!L$157</f>
        <v>0</v>
      </c>
      <c r="M18" s="13">
        <f>'Org &amp; Capacity'!M$157</f>
        <v>0</v>
      </c>
      <c r="N18" s="13">
        <f>'Org &amp; Capacity'!N$157</f>
        <v>0</v>
      </c>
    </row>
    <row r="19" spans="1:14" ht="15" customHeight="1" x14ac:dyDescent="0.3">
      <c r="A19" s="6" t="s">
        <v>187</v>
      </c>
      <c r="B19" s="6" t="s">
        <v>218</v>
      </c>
      <c r="C19" s="6" t="s">
        <v>217</v>
      </c>
      <c r="D19" s="13">
        <f>-'Org &amp; Capacity'!D$151</f>
        <v>-685510.07499999995</v>
      </c>
      <c r="E19" s="13">
        <f>-'Org &amp; Capacity'!E$151</f>
        <v>-685510.07499999995</v>
      </c>
      <c r="F19" s="13">
        <f>-'Org &amp; Capacity'!F$151</f>
        <v>-709502.92762499989</v>
      </c>
      <c r="G19" s="13">
        <f>-'Org &amp; Capacity'!G$151</f>
        <v>-734335.53009187488</v>
      </c>
      <c r="H19" s="13">
        <f>-'Org &amp; Capacity'!H$151</f>
        <v>-898629.0037122654</v>
      </c>
      <c r="I19" s="13">
        <f>-'Org &amp; Capacity'!I$151</f>
        <v>-930081.0188421947</v>
      </c>
      <c r="J19" s="13">
        <f>-'Org &amp; Capacity'!J$151</f>
        <v>-962633.85450167139</v>
      </c>
      <c r="K19" s="13">
        <f>-'Org &amp; Capacity'!K$151</f>
        <v>-996326.03940922988</v>
      </c>
      <c r="L19" s="13">
        <f>-'Org &amp; Capacity'!L$151</f>
        <v>-1031197.4507885529</v>
      </c>
      <c r="M19" s="13">
        <f>-'Org &amp; Capacity'!M$151</f>
        <v>-1067289.361566152</v>
      </c>
      <c r="N19" s="13">
        <f>-'Org &amp; Capacity'!N$151</f>
        <v>-1104644.4892209671</v>
      </c>
    </row>
    <row r="20" spans="1:14" ht="15" customHeight="1" x14ac:dyDescent="0.3">
      <c r="A20" s="6" t="s">
        <v>247</v>
      </c>
      <c r="B20" s="6" t="s">
        <v>218</v>
      </c>
      <c r="C20" s="6" t="s">
        <v>222</v>
      </c>
      <c r="D20" s="13">
        <f>-'Org &amp; Capacity'!D$154</f>
        <v>0</v>
      </c>
      <c r="E20" s="13">
        <f>-'Org &amp; Capacity'!E$154</f>
        <v>-343395.9975</v>
      </c>
      <c r="F20" s="13">
        <f>-'Org &amp; Capacity'!F$154</f>
        <v>-355414.85741249996</v>
      </c>
      <c r="G20" s="13">
        <f>-'Org &amp; Capacity'!G$154</f>
        <v>-367854.37742193748</v>
      </c>
      <c r="H20" s="13">
        <f>-'Org &amp; Capacity'!H$154</f>
        <v>-589835.21088069212</v>
      </c>
      <c r="I20" s="13">
        <f>-'Org &amp; Capacity'!I$154</f>
        <v>-610479.44326151628</v>
      </c>
      <c r="J20" s="13">
        <f>-'Org &amp; Capacity'!J$154</f>
        <v>-920610.09187748155</v>
      </c>
      <c r="K20" s="13">
        <f>-'Org &amp; Capacity'!K$154</f>
        <v>-952831.44509319344</v>
      </c>
      <c r="L20" s="13">
        <f>-'Org &amp; Capacity'!L$154</f>
        <v>-986180.5456714551</v>
      </c>
      <c r="M20" s="13">
        <f>-'Org &amp; Capacity'!M$154</f>
        <v>-1020696.8647699559</v>
      </c>
      <c r="N20" s="13">
        <f>-'Org &amp; Capacity'!N$154</f>
        <v>-1056421.2550369042</v>
      </c>
    </row>
    <row r="21" spans="1:14" ht="15" customHeight="1" x14ac:dyDescent="0.3">
      <c r="A21" s="6" t="s">
        <v>248</v>
      </c>
      <c r="B21" s="6" t="s">
        <v>218</v>
      </c>
      <c r="C21" s="6" t="s">
        <v>222</v>
      </c>
      <c r="D21" s="13">
        <f>-'Org &amp; Capacity'!D$158</f>
        <v>-540000</v>
      </c>
      <c r="E21" s="13">
        <f>-'Org &amp; Capacity'!E$158</f>
        <v>-540000</v>
      </c>
      <c r="F21" s="13">
        <f>-'Org &amp; Capacity'!F$158</f>
        <v>-540000</v>
      </c>
      <c r="G21" s="13">
        <f>-'Org &amp; Capacity'!G$158</f>
        <v>-540000</v>
      </c>
      <c r="H21" s="13">
        <f>-'Org &amp; Capacity'!H$158</f>
        <v>-540000</v>
      </c>
      <c r="I21" s="13">
        <f>-'Org &amp; Capacity'!I$158</f>
        <v>-540000</v>
      </c>
      <c r="J21" s="13">
        <f>-'Org &amp; Capacity'!J$158</f>
        <v>-540000</v>
      </c>
      <c r="K21" s="13">
        <f>-'Org &amp; Capacity'!K$158</f>
        <v>-540000</v>
      </c>
      <c r="L21" s="13">
        <f>-'Org &amp; Capacity'!L$158</f>
        <v>0</v>
      </c>
      <c r="M21" s="13">
        <f>-'Org &amp; Capacity'!M$158</f>
        <v>0</v>
      </c>
      <c r="N21" s="13">
        <f>-'Org &amp; Capacity'!N$158</f>
        <v>0</v>
      </c>
    </row>
    <row r="22" spans="1:14" ht="15" customHeight="1" x14ac:dyDescent="0.3">
      <c r="A22" s="6" t="s">
        <v>618</v>
      </c>
      <c r="B22" s="6" t="s">
        <v>218</v>
      </c>
      <c r="C22" s="6" t="s">
        <v>222</v>
      </c>
      <c r="D22" s="63">
        <f>0</f>
        <v>0</v>
      </c>
      <c r="E22" s="13">
        <f>D22+'Acquisition Schedule'!G$20*(INDEX(Assumptions!$D$59:$F$59,1,1)*(1-Assumptions!$D$8))*INDEX(Assumptions!$D$60:$F$60,1,1)+'Acquisition Schedule'!F$20*(INDEX(Assumptions!$D$59:$F$59,1,1)*(1-Assumptions!$D$8))*(INDEX(Assumptions!$D$61:$F$61,1,1)-INDEX(Assumptions!$D$60:$F$60,1,1))</f>
        <v>15000</v>
      </c>
      <c r="F22" s="13">
        <f>E22+'Acquisition Schedule'!H$20*(INDEX(Assumptions!$D$59:$F$59,1,1)*(1-Assumptions!$D$8))*INDEX(Assumptions!$D$60:$F$60,1,1)+'Acquisition Schedule'!G$20*(INDEX(Assumptions!$D$59:$F$59,1,1)*(1-Assumptions!$D$8))*(INDEX(Assumptions!$D$61:$F$61,1,1)-INDEX(Assumptions!$D$60:$F$60,1,1))+'Acquisition Schedule'!F$20*(INDEX(Assumptions!$D$59:$F$59,1,1)*(1-Assumptions!$D$8))*(INDEX(Assumptions!$D$62:$F$62,1,1)-INDEX(Assumptions!$D$61:$F$61,1,1))</f>
        <v>41250</v>
      </c>
      <c r="G22" s="13">
        <f>F22+'Acquisition Schedule'!I$20*(INDEX(Assumptions!$D$59:$F$59,1,1)*(1-Assumptions!$D$8))*INDEX(Assumptions!$D$60:$F$60,1,1)+'Acquisition Schedule'!H$20*(INDEX(Assumptions!$D$59:$F$59,1,1)*(1-Assumptions!$D$8))*(INDEX(Assumptions!$D$61:$F$61,1,1)-INDEX(Assumptions!$D$60:$F$60,1,1))+'Acquisition Schedule'!G$20*(INDEX(Assumptions!$D$59:$F$59,1,1)*(1-Assumptions!$D$8))*(INDEX(Assumptions!$D$62:$F$62,1,1)-INDEX(Assumptions!$D$61:$F$61,1,1))</f>
        <v>63750</v>
      </c>
      <c r="H22" s="13">
        <f>G22+'Acquisition Schedule'!J$20*(INDEX(Assumptions!$D$59:$F$59,1,1)*(1-Assumptions!$D$8))*INDEX(Assumptions!$D$60:$F$60,1,1)+'Acquisition Schedule'!I$20*(INDEX(Assumptions!$D$59:$F$59,1,1)*(1-Assumptions!$D$8))*(INDEX(Assumptions!$D$61:$F$61,1,1)-INDEX(Assumptions!$D$60:$F$60,1,1))+'Acquisition Schedule'!H$20*(INDEX(Assumptions!$D$59:$F$59,1,1)*(1-Assumptions!$D$8))*(INDEX(Assumptions!$D$62:$F$62,1,1)-INDEX(Assumptions!$D$61:$F$61,1,1))</f>
        <v>105000</v>
      </c>
      <c r="I22" s="13">
        <f>H22+'Acquisition Schedule'!K$20*(INDEX(Assumptions!$D$59:$F$59,1,1)*(1-Assumptions!$D$8))*INDEX(Assumptions!$D$60:$F$60,1,1)+'Acquisition Schedule'!J$20*(INDEX(Assumptions!$D$59:$F$59,1,1)*(1-Assumptions!$D$8))*(INDEX(Assumptions!$D$61:$F$61,1,1)-INDEX(Assumptions!$D$60:$F$60,1,1))+'Acquisition Schedule'!I$20*(INDEX(Assumptions!$D$59:$F$59,1,1)*(1-Assumptions!$D$8))*(INDEX(Assumptions!$D$62:$F$62,1,1)-INDEX(Assumptions!$D$61:$F$61,1,1))</f>
        <v>146250</v>
      </c>
      <c r="J22" s="13">
        <f>I22+'Acquisition Schedule'!L$20*(INDEX(Assumptions!$D$59:$F$59,1,1)*(1-Assumptions!$D$8))*INDEX(Assumptions!$D$60:$F$60,1,1)+'Acquisition Schedule'!K$20*(INDEX(Assumptions!$D$59:$F$59,1,1)*(1-Assumptions!$D$8))*(INDEX(Assumptions!$D$61:$F$61,1,1)-INDEX(Assumptions!$D$60:$F$60,1,1))+'Acquisition Schedule'!J$20*(INDEX(Assumptions!$D$59:$F$59,1,1)*(1-Assumptions!$D$8))*(INDEX(Assumptions!$D$62:$F$62,1,1)-INDEX(Assumptions!$D$61:$F$61,1,1))</f>
        <v>168750</v>
      </c>
      <c r="K22" s="13">
        <f>J22+'Acquisition Schedule'!M$20*(INDEX(Assumptions!$D$59:$F$59,1,1)*(1-Assumptions!$D$8))*INDEX(Assumptions!$D$60:$F$60,1,1)+'Acquisition Schedule'!L$20*(INDEX(Assumptions!$D$59:$F$59,1,1)*(1-Assumptions!$D$8))*(INDEX(Assumptions!$D$61:$F$61,1,1)-INDEX(Assumptions!$D$60:$F$60,1,1))+'Acquisition Schedule'!K$20*(INDEX(Assumptions!$D$59:$F$59,1,1)*(1-Assumptions!$D$8))*(INDEX(Assumptions!$D$62:$F$62,1,1)-INDEX(Assumptions!$D$61:$F$61,1,1))</f>
        <v>191250</v>
      </c>
      <c r="L22" s="13">
        <f>K22+'Acquisition Schedule'!N$20*(INDEX(Assumptions!$D$59:$F$59,1,1)*(1-Assumptions!$D$8))*INDEX(Assumptions!$D$60:$F$60,1,1)+'Acquisition Schedule'!M$20*(INDEX(Assumptions!$D$59:$F$59,1,1)*(1-Assumptions!$D$8))*(INDEX(Assumptions!$D$61:$F$61,1,1)-INDEX(Assumptions!$D$60:$F$60,1,1))+'Acquisition Schedule'!L$20*(INDEX(Assumptions!$D$59:$F$59,1,1)*(1-Assumptions!$D$8))*(INDEX(Assumptions!$D$62:$F$62,1,1)-INDEX(Assumptions!$D$61:$F$61,1,1))</f>
        <v>213750</v>
      </c>
      <c r="M22" s="13">
        <f>L22+'Acquisition Schedule'!O$20*(INDEX(Assumptions!$D$59:$F$59,1,1)*(1-Assumptions!$D$8))*INDEX(Assumptions!$D$60:$F$60,1,1)+'Acquisition Schedule'!N$20*(INDEX(Assumptions!$D$59:$F$59,1,1)*(1-Assumptions!$D$8))*(INDEX(Assumptions!$D$61:$F$61,1,1)-INDEX(Assumptions!$D$60:$F$60,1,1))+'Acquisition Schedule'!M$20*(INDEX(Assumptions!$D$59:$F$59,1,1)*(1-Assumptions!$D$8))*(INDEX(Assumptions!$D$62:$F$62,1,1)-INDEX(Assumptions!$D$61:$F$61,1,1))</f>
        <v>225000</v>
      </c>
      <c r="N22" s="13">
        <f>M22+'Acquisition Schedule'!P$20*(INDEX(Assumptions!$D$59:$F$59,1,1)*(1-Assumptions!$D$8))*INDEX(Assumptions!$D$60:$F$60,1,1)+'Acquisition Schedule'!O$20*(INDEX(Assumptions!$D$59:$F$59,1,1)*(1-Assumptions!$D$8))*(INDEX(Assumptions!$D$61:$F$61,1,1)-INDEX(Assumptions!$D$60:$F$60,1,1))+'Acquisition Schedule'!N$20*(INDEX(Assumptions!$D$59:$F$59,1,1)*(1-Assumptions!$D$8))*(INDEX(Assumptions!$D$62:$F$62,1,1)-INDEX(Assumptions!$D$61:$F$61,1,1))</f>
        <v>225000</v>
      </c>
    </row>
    <row r="23" spans="1:14" ht="15" customHeight="1" x14ac:dyDescent="0.3">
      <c r="A23" s="6" t="s">
        <v>1204</v>
      </c>
      <c r="B23" s="6" t="s">
        <v>210</v>
      </c>
      <c r="C23" s="6" t="s">
        <v>222</v>
      </c>
      <c r="D23" s="63">
        <f>0</f>
        <v>0</v>
      </c>
      <c r="E23" s="13">
        <f>E7*MIN(1,1/INDEX(Assumptions!$D$77:$F$77,1,1))*(INDEX(Assumptions!$D$76:$F$76,1,1)*(1-Assumptions!$D$8))</f>
        <v>684.27734375000011</v>
      </c>
      <c r="F23" s="13">
        <f>F7*MIN(1,2/INDEX(Assumptions!$D$77:$F$77,1,1))*(INDEX(Assumptions!$D$76:$F$76,1,1)*(1-Assumptions!$D$8))</f>
        <v>2091.400390625</v>
      </c>
      <c r="G23" s="13">
        <f>G7*MIN(1,3/INDEX(Assumptions!$D$77:$F$77,1,1))*(INDEX(Assumptions!$D$76:$F$76,1,1)*(1-Assumptions!$D$8))</f>
        <v>5128.723231201172</v>
      </c>
      <c r="H23" s="13">
        <f>H7*MIN(1,4/INDEX(Assumptions!$D$77:$F$77,1,1))*(INDEX(Assumptions!$D$76:$F$76,1,1)*(1-Assumptions!$D$8))</f>
        <v>9460.2747913635285</v>
      </c>
      <c r="I23" s="13">
        <f>I7*MIN(1,5/INDEX(Assumptions!$D$77:$F$77,1,1))*(INDEX(Assumptions!$D$76:$F$76,1,1)*(1-Assumptions!$D$8))</f>
        <v>10746.291018974895</v>
      </c>
      <c r="J23" s="13">
        <f>J7*MIN(1,6/INDEX(Assumptions!$D$77:$F$77,1,1))*(INDEX(Assumptions!$D$76:$F$76,1,1)*(1-Assumptions!$D$8))</f>
        <v>12001.764361180492</v>
      </c>
      <c r="K23" s="13">
        <f>K7*MIN(1,7/INDEX(Assumptions!$D$77:$F$77,1,1))*(INDEX(Assumptions!$D$76:$F$76,1,1)*(1-Assumptions!$D$8))</f>
        <v>13227.420211508705</v>
      </c>
      <c r="L23" s="13">
        <f>L7*MIN(1,8/INDEX(Assumptions!$D$77:$F$77,1,1))*(INDEX(Assumptions!$D$76:$F$76,1,1)*(1-Assumptions!$D$8))</f>
        <v>13677.482360391625</v>
      </c>
      <c r="M23" s="13">
        <f>M7*MIN(1,9/INDEX(Assumptions!$D$77:$F$77,1,1))*(INDEX(Assumptions!$D$76:$F$76,1,1)*(1-Assumptions!$D$8))</f>
        <v>13352.642154332323</v>
      </c>
      <c r="N23" s="13">
        <f>N7*MIN(1,10/INDEX(Assumptions!$D$77:$F$77,1,1))*(INDEX(Assumptions!$D$76:$F$76,1,1)*(1-Assumptions!$D$8))</f>
        <v>13035.516903166932</v>
      </c>
    </row>
    <row r="24" spans="1:14" ht="15" customHeight="1" x14ac:dyDescent="0.3">
      <c r="A24" s="6" t="s">
        <v>1290</v>
      </c>
      <c r="B24" s="6" t="s">
        <v>218</v>
      </c>
      <c r="C24" s="6" t="s">
        <v>222</v>
      </c>
      <c r="D24" s="63">
        <f>0</f>
        <v>0</v>
      </c>
      <c r="E24" s="13">
        <f>E23*(INDEX(Assumptions!$D$68:$F$68,1,1)*(1-Assumptions!$D$8))*(1-(INDEX(Assumptions!$D$72:$F$72,1,1)*(1-Assumptions!$D$8)))</f>
        <v>8553.4667968750018</v>
      </c>
      <c r="F24" s="13">
        <f>F23*(INDEX(Assumptions!$D$68:$F$68,1,1)*(1-Assumptions!$D$8))*(1-(INDEX(Assumptions!$D$72:$F$72,1,1)*(1-Assumptions!$D$8)))</f>
        <v>26142.5048828125</v>
      </c>
      <c r="G24" s="13">
        <f>G23*(INDEX(Assumptions!$D$68:$F$68,1,1)*(1-Assumptions!$D$8))*(1-(INDEX(Assumptions!$D$72:$F$72,1,1)*(1-Assumptions!$D$8)))</f>
        <v>64109.040390014648</v>
      </c>
      <c r="H24" s="13">
        <f>H23*(INDEX(Assumptions!$D$68:$F$68,1,1)*(1-Assumptions!$D$8))*(1-(INDEX(Assumptions!$D$72:$F$72,1,1)*(1-Assumptions!$D$8)))</f>
        <v>118253.43489204411</v>
      </c>
      <c r="I24" s="13">
        <f>I23*(INDEX(Assumptions!$D$68:$F$68,1,1)*(1-Assumptions!$D$8))*(1-(INDEX(Assumptions!$D$72:$F$72,1,1)*(1-Assumptions!$D$8)))</f>
        <v>134328.63773718619</v>
      </c>
      <c r="J24" s="13">
        <f>J23*(INDEX(Assumptions!$D$68:$F$68,1,1)*(1-Assumptions!$D$8))*(1-(INDEX(Assumptions!$D$72:$F$72,1,1)*(1-Assumptions!$D$8)))</f>
        <v>150022.05451475616</v>
      </c>
      <c r="K24" s="13">
        <f>K23*(INDEX(Assumptions!$D$68:$F$68,1,1)*(1-Assumptions!$D$8))*(1-(INDEX(Assumptions!$D$72:$F$72,1,1)*(1-Assumptions!$D$8)))</f>
        <v>165342.75264385881</v>
      </c>
      <c r="L24" s="13">
        <f>L23*(INDEX(Assumptions!$D$68:$F$68,1,1)*(1-Assumptions!$D$8))*(1-(INDEX(Assumptions!$D$72:$F$72,1,1)*(1-Assumptions!$D$8)))</f>
        <v>170968.5295048953</v>
      </c>
      <c r="M24" s="13">
        <f>M23*(INDEX(Assumptions!$D$68:$F$68,1,1)*(1-Assumptions!$D$8))*(1-(INDEX(Assumptions!$D$72:$F$72,1,1)*(1-Assumptions!$D$8)))</f>
        <v>166908.02692915403</v>
      </c>
      <c r="N24" s="13">
        <f>N23*(INDEX(Assumptions!$D$68:$F$68,1,1)*(1-Assumptions!$D$8))*(1-(INDEX(Assumptions!$D$72:$F$72,1,1)*(1-Assumptions!$D$8)))</f>
        <v>162943.96128958664</v>
      </c>
    </row>
    <row r="25" spans="1:14" ht="15" customHeight="1" x14ac:dyDescent="0.3">
      <c r="A25" s="6" t="s">
        <v>1291</v>
      </c>
      <c r="B25" s="6" t="s">
        <v>218</v>
      </c>
      <c r="C25" s="6" t="s">
        <v>222</v>
      </c>
      <c r="D25" s="13">
        <f>-D24*INDEX(Assumptions!$D$73:$F$73,1,1)</f>
        <v>0</v>
      </c>
      <c r="E25" s="13">
        <f>-E24*INDEX(Assumptions!$D$73:$F$73,1,1)</f>
        <v>-3250.3173828125009</v>
      </c>
      <c r="F25" s="13">
        <f>-F24*INDEX(Assumptions!$D$73:$F$73,1,1)</f>
        <v>-9934.15185546875</v>
      </c>
      <c r="G25" s="13">
        <f>-G24*INDEX(Assumptions!$D$73:$F$73,1,1)</f>
        <v>-24361.435348205567</v>
      </c>
      <c r="H25" s="13">
        <f>-H24*INDEX(Assumptions!$D$73:$F$73,1,1)</f>
        <v>-44936.305258976761</v>
      </c>
      <c r="I25" s="13">
        <f>-I24*INDEX(Assumptions!$D$73:$F$73,1,1)</f>
        <v>-51044.882340130753</v>
      </c>
      <c r="J25" s="13">
        <f>-J24*INDEX(Assumptions!$D$73:$F$73,1,1)</f>
        <v>-57008.380715607345</v>
      </c>
      <c r="K25" s="13">
        <f>-K24*INDEX(Assumptions!$D$73:$F$73,1,1)</f>
        <v>-62830.246004666347</v>
      </c>
      <c r="L25" s="13">
        <f>-L24*INDEX(Assumptions!$D$73:$F$73,1,1)</f>
        <v>-64968.041211860211</v>
      </c>
      <c r="M25" s="13">
        <f>-M24*INDEX(Assumptions!$D$73:$F$73,1,1)</f>
        <v>-63425.050233078531</v>
      </c>
      <c r="N25" s="13">
        <f>-N24*INDEX(Assumptions!$D$73:$F$73,1,1)</f>
        <v>-61918.705290042926</v>
      </c>
    </row>
    <row r="26" spans="1:14" ht="15" customHeight="1" x14ac:dyDescent="0.3">
      <c r="A26" s="6" t="s">
        <v>1292</v>
      </c>
      <c r="B26" s="6" t="s">
        <v>218</v>
      </c>
      <c r="C26" s="6" t="s">
        <v>222</v>
      </c>
      <c r="D26" s="63">
        <f>0</f>
        <v>0</v>
      </c>
      <c r="E26" s="13">
        <f>E23*(INDEX(Assumptions!$D$69:$F$69,1,1)*(1-Assumptions!$D$8))*(1-(INDEX(Assumptions!$D$72:$F$72,1,1)*(1-Assumptions!$D$8)))</f>
        <v>13685.546875000002</v>
      </c>
      <c r="F26" s="13">
        <f>F23*(INDEX(Assumptions!$D$69:$F$69,1,1)*(1-Assumptions!$D$8))*(1-(INDEX(Assumptions!$D$72:$F$72,1,1)*(1-Assumptions!$D$8)))</f>
        <v>41828.0078125</v>
      </c>
      <c r="G26" s="13">
        <f>G23*(INDEX(Assumptions!$D$69:$F$69,1,1)*(1-Assumptions!$D$8))*(1-(INDEX(Assumptions!$D$72:$F$72,1,1)*(1-Assumptions!$D$8)))</f>
        <v>102574.46462402344</v>
      </c>
      <c r="H26" s="13">
        <f>H23*(INDEX(Assumptions!$D$69:$F$69,1,1)*(1-Assumptions!$D$8))*(1-(INDEX(Assumptions!$D$72:$F$72,1,1)*(1-Assumptions!$D$8)))</f>
        <v>189205.49582727056</v>
      </c>
      <c r="I26" s="13">
        <f>I23*(INDEX(Assumptions!$D$69:$F$69,1,1)*(1-Assumptions!$D$8))*(1-(INDEX(Assumptions!$D$72:$F$72,1,1)*(1-Assumptions!$D$8)))</f>
        <v>214925.82037949789</v>
      </c>
      <c r="J26" s="13">
        <f>J23*(INDEX(Assumptions!$D$69:$F$69,1,1)*(1-Assumptions!$D$8))*(1-(INDEX(Assumptions!$D$72:$F$72,1,1)*(1-Assumptions!$D$8)))</f>
        <v>240035.28722360986</v>
      </c>
      <c r="K26" s="13">
        <f>K23*(INDEX(Assumptions!$D$69:$F$69,1,1)*(1-Assumptions!$D$8))*(1-(INDEX(Assumptions!$D$72:$F$72,1,1)*(1-Assumptions!$D$8)))</f>
        <v>264548.40423017408</v>
      </c>
      <c r="L26" s="13">
        <f>L23*(INDEX(Assumptions!$D$69:$F$69,1,1)*(1-Assumptions!$D$8))*(1-(INDEX(Assumptions!$D$72:$F$72,1,1)*(1-Assumptions!$D$8)))</f>
        <v>273549.64720783249</v>
      </c>
      <c r="M26" s="13">
        <f>M23*(INDEX(Assumptions!$D$69:$F$69,1,1)*(1-Assumptions!$D$8))*(1-(INDEX(Assumptions!$D$72:$F$72,1,1)*(1-Assumptions!$D$8)))</f>
        <v>267052.84308664646</v>
      </c>
      <c r="N26" s="13">
        <f>N23*(INDEX(Assumptions!$D$69:$F$69,1,1)*(1-Assumptions!$D$8))*(1-(INDEX(Assumptions!$D$72:$F$72,1,1)*(1-Assumptions!$D$8)))</f>
        <v>260710.33806333866</v>
      </c>
    </row>
    <row r="27" spans="1:14" ht="15" customHeight="1" x14ac:dyDescent="0.3">
      <c r="A27" s="6" t="s">
        <v>1293</v>
      </c>
      <c r="B27" s="6" t="s">
        <v>218</v>
      </c>
      <c r="C27" s="6" t="s">
        <v>326</v>
      </c>
      <c r="D27" s="13">
        <f>-D23*INDEX(Assumptions!$D$74:$F$74,1,1)</f>
        <v>0</v>
      </c>
      <c r="E27" s="13">
        <f>-E23*INDEX(Assumptions!$D$74:$F$74,1,1)</f>
        <v>-16451.998669061635</v>
      </c>
      <c r="F27" s="13">
        <f>-F23*INDEX(Assumptions!$D$74:$F$74,1,1)</f>
        <v>-50283.290477622919</v>
      </c>
      <c r="G27" s="13">
        <f>-G23*INDEX(Assumptions!$D$74:$F$74,1,1)</f>
        <v>-123309.28174721869</v>
      </c>
      <c r="H27" s="13">
        <f>-H23*INDEX(Assumptions!$D$74:$F$74,1,1)</f>
        <v>-227452.2599616175</v>
      </c>
      <c r="I27" s="13">
        <f>-I23*INDEX(Assumptions!$D$74:$F$74,1,1)</f>
        <v>-258371.79494008922</v>
      </c>
      <c r="J27" s="13">
        <f>-J23*INDEX(Assumptions!$D$74:$F$74,1,1)</f>
        <v>-288556.99096282228</v>
      </c>
      <c r="K27" s="13">
        <f>-K23*INDEX(Assumptions!$D$74:$F$74,1,1)</f>
        <v>-318025.28858001542</v>
      </c>
      <c r="L27" s="13">
        <f>-L23*INDEX(Assumptions!$D$74:$F$74,1,1)</f>
        <v>-328846.07921709667</v>
      </c>
      <c r="M27" s="13">
        <f>-M23*INDEX(Assumptions!$D$74:$F$74,1,1)</f>
        <v>-321035.98483569059</v>
      </c>
      <c r="N27" s="13">
        <f>-N23*INDEX(Assumptions!$D$74:$F$74,1,1)</f>
        <v>-313411.380195843</v>
      </c>
    </row>
    <row r="28" spans="1:14" ht="15" customHeight="1" x14ac:dyDescent="0.3">
      <c r="A28" s="6" t="s">
        <v>1294</v>
      </c>
      <c r="B28" s="6" t="s">
        <v>218</v>
      </c>
      <c r="C28" s="6" t="s">
        <v>222</v>
      </c>
      <c r="D28" s="63">
        <f>0</f>
        <v>0</v>
      </c>
      <c r="E28" s="13">
        <f>E23*(INDEX(Assumptions!$D$70:$F$70,1,1)*(1-Assumptions!$D$8))</f>
        <v>3421.3867187500005</v>
      </c>
      <c r="F28" s="13">
        <f>F23*(INDEX(Assumptions!$D$70:$F$70,1,1)*(1-Assumptions!$D$8))</f>
        <v>10457.001953125</v>
      </c>
      <c r="G28" s="13">
        <f>G23*(INDEX(Assumptions!$D$70:$F$70,1,1)*(1-Assumptions!$D$8))</f>
        <v>25643.616156005861</v>
      </c>
      <c r="H28" s="13">
        <f>H23*(INDEX(Assumptions!$D$70:$F$70,1,1)*(1-Assumptions!$D$8))</f>
        <v>47301.373956817639</v>
      </c>
      <c r="I28" s="13">
        <f>I23*(INDEX(Assumptions!$D$70:$F$70,1,1)*(1-Assumptions!$D$8))</f>
        <v>53731.455094874473</v>
      </c>
      <c r="J28" s="13">
        <f>J23*(INDEX(Assumptions!$D$70:$F$70,1,1)*(1-Assumptions!$D$8))</f>
        <v>60008.821805902466</v>
      </c>
      <c r="K28" s="13">
        <f>K23*(INDEX(Assumptions!$D$70:$F$70,1,1)*(1-Assumptions!$D$8))</f>
        <v>66137.101057543521</v>
      </c>
      <c r="L28" s="13">
        <f>L23*(INDEX(Assumptions!$D$70:$F$70,1,1)*(1-Assumptions!$D$8))</f>
        <v>68387.411801958122</v>
      </c>
      <c r="M28" s="13">
        <f>M23*(INDEX(Assumptions!$D$70:$F$70,1,1)*(1-Assumptions!$D$8))</f>
        <v>66763.210771661616</v>
      </c>
      <c r="N28" s="13">
        <f>N23*(INDEX(Assumptions!$D$70:$F$70,1,1)*(1-Assumptions!$D$8))</f>
        <v>65177.584515834664</v>
      </c>
    </row>
    <row r="29" spans="1:14" ht="15" customHeight="1" x14ac:dyDescent="0.3">
      <c r="A29" s="6" t="s">
        <v>1295</v>
      </c>
      <c r="B29" s="6" t="s">
        <v>218</v>
      </c>
      <c r="C29" s="6" t="s">
        <v>222</v>
      </c>
      <c r="D29" s="13">
        <f>-D28*INDEX(Assumptions!$D$75:$F$75,1,1)</f>
        <v>0</v>
      </c>
      <c r="E29" s="13">
        <f>-E28*INDEX(Assumptions!$D$75:$F$75,1,1)</f>
        <v>-889.56054687500011</v>
      </c>
      <c r="F29" s="13">
        <f>-F28*INDEX(Assumptions!$D$75:$F$75,1,1)</f>
        <v>-2718.8205078125002</v>
      </c>
      <c r="G29" s="13">
        <f>-G28*INDEX(Assumptions!$D$75:$F$75,1,1)</f>
        <v>-6667.3402005615244</v>
      </c>
      <c r="H29" s="13">
        <f>-H28*INDEX(Assumptions!$D$75:$F$75,1,1)</f>
        <v>-12298.357228772587</v>
      </c>
      <c r="I29" s="13">
        <f>-I28*INDEX(Assumptions!$D$75:$F$75,1,1)</f>
        <v>-13970.178324667364</v>
      </c>
      <c r="J29" s="13">
        <f>-J28*INDEX(Assumptions!$D$75:$F$75,1,1)</f>
        <v>-15602.293669534642</v>
      </c>
      <c r="K29" s="13">
        <f>-K28*INDEX(Assumptions!$D$75:$F$75,1,1)</f>
        <v>-17195.646274961317</v>
      </c>
      <c r="L29" s="13">
        <f>-L28*INDEX(Assumptions!$D$75:$F$75,1,1)</f>
        <v>-17780.727068509113</v>
      </c>
      <c r="M29" s="13">
        <f>-M28*INDEX(Assumptions!$D$75:$F$75,1,1)</f>
        <v>-17358.434800632022</v>
      </c>
      <c r="N29" s="13">
        <f>-N28*INDEX(Assumptions!$D$75:$F$75,1,1)</f>
        <v>-16946.171974117013</v>
      </c>
    </row>
    <row r="30" spans="1:14" ht="15" customHeight="1" x14ac:dyDescent="0.3">
      <c r="A30" s="6" t="s">
        <v>253</v>
      </c>
      <c r="B30" s="6" t="s">
        <v>218</v>
      </c>
      <c r="C30" s="6" t="s">
        <v>222</v>
      </c>
      <c r="D30" s="63">
        <f>0</f>
        <v>0</v>
      </c>
      <c r="E30" s="13">
        <f>-MAX(0,E23-D23)*(INDEX(Assumptions!$D$78:$F$78,1,1)*(1-Assumptions!$D$8))</f>
        <v>-10264.160156250002</v>
      </c>
      <c r="F30" s="13">
        <f>-MAX(0,F23-E23)*(INDEX(Assumptions!$D$78:$F$78,1,1)*(1-Assumptions!$D$8))</f>
        <v>-21106.845703125</v>
      </c>
      <c r="G30" s="13">
        <f>-MAX(0,G23-F23)*(INDEX(Assumptions!$D$78:$F$78,1,1)*(1-Assumptions!$D$8))</f>
        <v>-45559.842608642582</v>
      </c>
      <c r="H30" s="13">
        <f>-MAX(0,H23-G23)*(INDEX(Assumptions!$D$78:$F$78,1,1)*(1-Assumptions!$D$8))</f>
        <v>-64973.273402435349</v>
      </c>
      <c r="I30" s="13">
        <f>-MAX(0,I23-H23)*(INDEX(Assumptions!$D$78:$F$78,1,1)*(1-Assumptions!$D$8))</f>
        <v>-19290.243414170491</v>
      </c>
      <c r="J30" s="13">
        <f>-MAX(0,J23-I23)*(INDEX(Assumptions!$D$78:$F$78,1,1)*(1-Assumptions!$D$8))</f>
        <v>-18832.100133083968</v>
      </c>
      <c r="K30" s="13">
        <f>-MAX(0,K23-J23)*(INDEX(Assumptions!$D$78:$F$78,1,1)*(1-Assumptions!$D$8))</f>
        <v>-18384.837754923181</v>
      </c>
      <c r="L30" s="13">
        <f>-MAX(0,L23-K23)*(INDEX(Assumptions!$D$78:$F$78,1,1)*(1-Assumptions!$D$8))</f>
        <v>-6750.9322332438023</v>
      </c>
      <c r="M30" s="13">
        <f>-MAX(0,M23-L23)*(INDEX(Assumptions!$D$78:$F$78,1,1)*(1-Assumptions!$D$8))</f>
        <v>0</v>
      </c>
      <c r="N30" s="13">
        <f>-MAX(0,N23-M23)*(INDEX(Assumptions!$D$78:$F$78,1,1)*(1-Assumptions!$D$8))</f>
        <v>0</v>
      </c>
    </row>
    <row r="31" spans="1:14" ht="15" customHeight="1" x14ac:dyDescent="0.3">
      <c r="A31" s="1" t="s">
        <v>291</v>
      </c>
      <c r="B31" s="6" t="s">
        <v>218</v>
      </c>
      <c r="C31" s="6" t="s">
        <v>222</v>
      </c>
      <c r="D31" s="40">
        <f t="shared" ref="D31:N31" si="0">D24+D25+D26+D27+D28+D29+D30+D20</f>
        <v>0</v>
      </c>
      <c r="E31" s="40">
        <f t="shared" si="0"/>
        <v>-348591.63386437413</v>
      </c>
      <c r="F31" s="40">
        <f t="shared" si="0"/>
        <v>-361030.45130809164</v>
      </c>
      <c r="G31" s="40">
        <f t="shared" si="0"/>
        <v>-375425.15615652187</v>
      </c>
      <c r="H31" s="40">
        <f t="shared" si="0"/>
        <v>-584735.10205636197</v>
      </c>
      <c r="I31" s="40">
        <f t="shared" si="0"/>
        <v>-550170.6290690155</v>
      </c>
      <c r="J31" s="40">
        <f t="shared" si="0"/>
        <v>-850543.69381426135</v>
      </c>
      <c r="K31" s="40">
        <f t="shared" si="0"/>
        <v>-873239.20577618328</v>
      </c>
      <c r="L31" s="40">
        <f t="shared" si="0"/>
        <v>-891620.73688747897</v>
      </c>
      <c r="M31" s="40">
        <f t="shared" si="0"/>
        <v>-921792.25385189499</v>
      </c>
      <c r="N31" s="40">
        <f t="shared" si="0"/>
        <v>-959865.62862814718</v>
      </c>
    </row>
    <row r="32" spans="1:14" ht="15" customHeight="1" x14ac:dyDescent="0.3">
      <c r="A32" s="1" t="s">
        <v>1296</v>
      </c>
      <c r="B32" s="6" t="s">
        <v>218</v>
      </c>
      <c r="C32" s="6" t="s">
        <v>222</v>
      </c>
      <c r="D32" s="40">
        <f t="shared" ref="D32:N32" si="1">D13+D15+D16+D17+D18+D19+D21+D22+D31</f>
        <v>-1437783.315522607</v>
      </c>
      <c r="E32" s="40">
        <f t="shared" si="1"/>
        <v>-890505.0746154011</v>
      </c>
      <c r="F32" s="40">
        <f t="shared" si="1"/>
        <v>-1558217.2947937609</v>
      </c>
      <c r="G32" s="40">
        <f t="shared" si="1"/>
        <v>-1489160.1453218353</v>
      </c>
      <c r="H32" s="40">
        <f t="shared" si="1"/>
        <v>-920339.37670790812</v>
      </c>
      <c r="I32" s="40">
        <f t="shared" si="1"/>
        <v>-249674.81102356093</v>
      </c>
      <c r="J32" s="40">
        <f t="shared" si="1"/>
        <v>-584536.27634289791</v>
      </c>
      <c r="K32" s="40">
        <f t="shared" si="1"/>
        <v>-474988.90793286846</v>
      </c>
      <c r="L32" s="40">
        <f t="shared" si="1"/>
        <v>353318.94691709592</v>
      </c>
      <c r="M32" s="40">
        <f t="shared" si="1"/>
        <v>-171470.07429494732</v>
      </c>
      <c r="N32" s="40">
        <f t="shared" si="1"/>
        <v>-329046.06061077106</v>
      </c>
    </row>
    <row r="33" spans="1:14" ht="15" customHeight="1" x14ac:dyDescent="0.3">
      <c r="A33" s="1" t="s">
        <v>254</v>
      </c>
      <c r="B33" s="6" t="s">
        <v>218</v>
      </c>
      <c r="C33" s="6" t="s">
        <v>211</v>
      </c>
      <c r="D33" s="61">
        <f t="shared" ref="D33:N33" si="2">D12+D32</f>
        <v>-527783.31552260695</v>
      </c>
      <c r="E33" s="61">
        <f t="shared" si="2"/>
        <v>360744.9253845989</v>
      </c>
      <c r="F33" s="61">
        <f t="shared" si="2"/>
        <v>273157.70520623913</v>
      </c>
      <c r="G33" s="61">
        <f t="shared" si="2"/>
        <v>1425825.7921781647</v>
      </c>
      <c r="H33" s="61">
        <f t="shared" si="2"/>
        <v>3020335.6428233418</v>
      </c>
      <c r="I33" s="61">
        <f t="shared" si="2"/>
        <v>3968564.8938104236</v>
      </c>
      <c r="J33" s="61">
        <f t="shared" si="2"/>
        <v>3880042.0866972636</v>
      </c>
      <c r="K33" s="61">
        <f t="shared" si="2"/>
        <v>4208215.0142652746</v>
      </c>
      <c r="L33" s="61">
        <f t="shared" si="2"/>
        <v>4889303.0528679481</v>
      </c>
      <c r="M33" s="61">
        <f t="shared" si="2"/>
        <v>3854215.8197364332</v>
      </c>
      <c r="N33" s="61">
        <f t="shared" si="2"/>
        <v>3243750.1703420794</v>
      </c>
    </row>
    <row r="34" spans="1:14" ht="15" customHeight="1" x14ac:dyDescent="0.3">
      <c r="A34" s="6" t="s">
        <v>255</v>
      </c>
      <c r="B34" s="6" t="s">
        <v>218</v>
      </c>
      <c r="C34" s="6" t="s">
        <v>211</v>
      </c>
      <c r="D34" s="13">
        <f>-'Org &amp; Capacity'!D$148</f>
        <v>-1446175.214445</v>
      </c>
      <c r="E34" s="13">
        <f>-'Org &amp; Capacity'!E$148</f>
        <v>-1446175.214445</v>
      </c>
      <c r="F34" s="13">
        <f>-'Org &amp; Capacity'!F$148</f>
        <v>-1709703.692853075</v>
      </c>
      <c r="G34" s="13">
        <f>-'Org &amp; Capacity'!G$148</f>
        <v>-1769543.3221029327</v>
      </c>
      <c r="H34" s="13">
        <f>-'Org &amp; Capacity'!H$148</f>
        <v>-1831477.3383765351</v>
      </c>
      <c r="I34" s="13">
        <f>-'Org &amp; Capacity'!I$148</f>
        <v>-1895579.0452197138</v>
      </c>
      <c r="J34" s="13">
        <f>-'Org &amp; Capacity'!J$148</f>
        <v>-1961924.3118024033</v>
      </c>
      <c r="K34" s="13">
        <f>-'Org &amp; Capacity'!K$148</f>
        <v>-2030591.6627154876</v>
      </c>
      <c r="L34" s="13">
        <f>-'Org &amp; Capacity'!L$148</f>
        <v>-2101662.3709105295</v>
      </c>
      <c r="M34" s="13">
        <f>-'Org &amp; Capacity'!M$148</f>
        <v>-2175220.5538923978</v>
      </c>
      <c r="N34" s="13">
        <f>-'Org &amp; Capacity'!N$148</f>
        <v>-2251353.2732786313</v>
      </c>
    </row>
    <row r="35" spans="1:14" ht="15" customHeight="1" x14ac:dyDescent="0.3">
      <c r="A35" s="6" t="s">
        <v>192</v>
      </c>
      <c r="B35" s="6" t="s">
        <v>218</v>
      </c>
      <c r="C35" s="6" t="s">
        <v>222</v>
      </c>
      <c r="D35" s="13">
        <f>-'Org &amp; Capacity'!D$159</f>
        <v>-820000</v>
      </c>
      <c r="E35" s="13">
        <f>-'Org &amp; Capacity'!E$159</f>
        <v>-820000</v>
      </c>
      <c r="F35" s="13">
        <f>-'Org &amp; Capacity'!F$159</f>
        <v>-877400</v>
      </c>
      <c r="G35" s="13">
        <f>-'Org &amp; Capacity'!G$159</f>
        <v>-938818</v>
      </c>
      <c r="H35" s="13">
        <f>-'Org &amp; Capacity'!H$159</f>
        <v>-1004535.2600000001</v>
      </c>
      <c r="I35" s="13">
        <f>-'Org &amp; Capacity'!I$159</f>
        <v>-1074852.7282</v>
      </c>
      <c r="J35" s="13">
        <f>-'Org &amp; Capacity'!J$159</f>
        <v>-1150092.4191740002</v>
      </c>
      <c r="K35" s="13">
        <f>-'Org &amp; Capacity'!K$159</f>
        <v>-1230598.88851618</v>
      </c>
      <c r="L35" s="13">
        <f>-'Org &amp; Capacity'!L$159</f>
        <v>-1316740.8107123128</v>
      </c>
      <c r="M35" s="13">
        <f>-'Org &amp; Capacity'!M$159</f>
        <v>-1408912.6674621745</v>
      </c>
      <c r="N35" s="13">
        <f>-'Org &amp; Capacity'!N$159</f>
        <v>-1507536.5541845269</v>
      </c>
    </row>
    <row r="36" spans="1:14" ht="15" customHeight="1" x14ac:dyDescent="0.3">
      <c r="A36" s="1" t="s">
        <v>256</v>
      </c>
      <c r="B36" s="6" t="s">
        <v>218</v>
      </c>
      <c r="C36" s="6" t="s">
        <v>211</v>
      </c>
      <c r="D36" s="61">
        <f t="shared" ref="D36:N36" si="3">D33+D34+D35</f>
        <v>-2793958.529967607</v>
      </c>
      <c r="E36" s="61">
        <f t="shared" si="3"/>
        <v>-1905430.2890604013</v>
      </c>
      <c r="F36" s="61">
        <f t="shared" si="3"/>
        <v>-2313945.9876468359</v>
      </c>
      <c r="G36" s="61">
        <f t="shared" si="3"/>
        <v>-1282535.529924768</v>
      </c>
      <c r="H36" s="61">
        <f t="shared" si="3"/>
        <v>184323.04444680654</v>
      </c>
      <c r="I36" s="61">
        <f t="shared" si="3"/>
        <v>998133.12039070972</v>
      </c>
      <c r="J36" s="61">
        <f t="shared" si="3"/>
        <v>768025.35572086019</v>
      </c>
      <c r="K36" s="61">
        <f t="shared" si="3"/>
        <v>947024.463033607</v>
      </c>
      <c r="L36" s="61">
        <f t="shared" si="3"/>
        <v>1470899.8712451058</v>
      </c>
      <c r="M36" s="61">
        <f t="shared" si="3"/>
        <v>270082.59838186088</v>
      </c>
      <c r="N36" s="61">
        <f t="shared" si="3"/>
        <v>-515139.65712107881</v>
      </c>
    </row>
    <row r="37" spans="1:14" ht="15" customHeight="1" x14ac:dyDescent="0.3">
      <c r="A37" s="6" t="s">
        <v>1297</v>
      </c>
      <c r="B37" s="6" t="s">
        <v>218</v>
      </c>
      <c r="C37" s="6" t="s">
        <v>211</v>
      </c>
      <c r="D37" s="13">
        <f>'Revenue &amp; Durability'!D$68+D32+D34+D35</f>
        <v>-3703958.529967607</v>
      </c>
      <c r="E37" s="13">
        <f>'Revenue &amp; Durability'!E$68+E32+E34+E35</f>
        <v>-1564180.2890604013</v>
      </c>
      <c r="F37" s="13">
        <f>'Revenue &amp; Durability'!F$68+F32+F34+F35</f>
        <v>-1891933.4876468359</v>
      </c>
      <c r="G37" s="13">
        <f>'Revenue &amp; Durability'!G$68+G32+G34+G35</f>
        <v>-161442.54554976802</v>
      </c>
      <c r="H37" s="13">
        <f>'Revenue &amp; Durability'!H$68+H32+H34+H35</f>
        <v>909595.07239602611</v>
      </c>
      <c r="I37" s="13">
        <f>'Revenue &amp; Durability'!I$68+I32+I34+I35</f>
        <v>2033733.5956595333</v>
      </c>
      <c r="J37" s="13">
        <f>'Revenue &amp; Durability'!J$68+J32+J34+J35</f>
        <v>2131217.8435060666</v>
      </c>
      <c r="K37" s="13">
        <f>'Revenue &amp; Durability'!K$68+K32+K34+K35</f>
        <v>2651891.2089537289</v>
      </c>
      <c r="L37" s="13">
        <f>'Revenue &amp; Durability'!L$68+L32+L34+L35</f>
        <v>3187479.1300447104</v>
      </c>
      <c r="M37" s="13">
        <f>'Revenue &amp; Durability'!M$68+M32+M34+M35</f>
        <v>2348461.6891881134</v>
      </c>
      <c r="N37" s="13">
        <f>'Revenue &amp; Durability'!N$68+N32+N34+N35</f>
        <v>1871157.5533738101</v>
      </c>
    </row>
    <row r="38" spans="1:14" ht="15" customHeight="1" x14ac:dyDescent="0.3">
      <c r="A38" s="6" t="s">
        <v>1298</v>
      </c>
      <c r="B38" s="6" t="s">
        <v>218</v>
      </c>
      <c r="C38" s="6" t="s">
        <v>222</v>
      </c>
      <c r="D38" s="13">
        <f>-D7*INDEX(Assumptions!$D$89:$F$89,1,1)</f>
        <v>-199062.5</v>
      </c>
      <c r="E38" s="13">
        <f>-E7*INDEX(Assumptions!$D$89:$F$89,1,1)</f>
        <v>-273710.9375</v>
      </c>
      <c r="F38" s="13">
        <f>-F7*INDEX(Assumptions!$D$89:$F$89,1,1)</f>
        <v>-418280.078125</v>
      </c>
      <c r="G38" s="13">
        <f>-G7*INDEX(Assumptions!$D$89:$F$89,1,1)</f>
        <v>-683829.76416015625</v>
      </c>
      <c r="H38" s="13">
        <f>-H7*INDEX(Assumptions!$D$89:$F$89,1,1)</f>
        <v>-946027.47913635266</v>
      </c>
      <c r="I38" s="13">
        <f>-I7*INDEX(Assumptions!$D$89:$F$89,1,1)</f>
        <v>-1074629.1018974893</v>
      </c>
      <c r="J38" s="13">
        <f>-J7*INDEX(Assumptions!$D$89:$F$89,1,1)</f>
        <v>-1200176.4361180491</v>
      </c>
      <c r="K38" s="13">
        <f>-K7*INDEX(Assumptions!$D$89:$F$89,1,1)</f>
        <v>-1322742.0211508702</v>
      </c>
      <c r="L38" s="13">
        <f>-L7*INDEX(Assumptions!$D$89:$F$89,1,1)</f>
        <v>-1367748.2360391621</v>
      </c>
      <c r="M38" s="13">
        <f>-M7*INDEX(Assumptions!$D$89:$F$89,1,1)</f>
        <v>-1335264.215433232</v>
      </c>
      <c r="N38" s="13">
        <f>-N7*INDEX(Assumptions!$D$89:$F$89,1,1)</f>
        <v>-1303551.6903166929</v>
      </c>
    </row>
    <row r="39" spans="1:14" ht="15" customHeight="1" x14ac:dyDescent="0.3">
      <c r="A39" s="6" t="s">
        <v>1299</v>
      </c>
      <c r="B39" s="6" t="s">
        <v>218</v>
      </c>
      <c r="C39" s="6" t="s">
        <v>222</v>
      </c>
      <c r="D39" s="13">
        <f>D7*INDEX(Assumptions!$D$90:$F$90,1,1)</f>
        <v>184843.75</v>
      </c>
      <c r="E39" s="13">
        <f>E7*INDEX(Assumptions!$D$90:$F$90,1,1)</f>
        <v>254160.15625</v>
      </c>
      <c r="F39" s="13">
        <f>F7*INDEX(Assumptions!$D$90:$F$90,1,1)</f>
        <v>388402.9296875</v>
      </c>
      <c r="G39" s="13">
        <f>G7*INDEX(Assumptions!$D$90:$F$90,1,1)</f>
        <v>634984.78100585938</v>
      </c>
      <c r="H39" s="13">
        <f>H7*INDEX(Assumptions!$D$90:$F$90,1,1)</f>
        <v>878454.08776947041</v>
      </c>
      <c r="I39" s="13">
        <f>I7*INDEX(Assumptions!$D$90:$F$90,1,1)</f>
        <v>997869.88033338299</v>
      </c>
      <c r="J39" s="13">
        <f>J7*INDEX(Assumptions!$D$90:$F$90,1,1)</f>
        <v>1114449.5478239027</v>
      </c>
      <c r="K39" s="13">
        <f>K7*INDEX(Assumptions!$D$90:$F$90,1,1)</f>
        <v>1228260.4482115225</v>
      </c>
      <c r="L39" s="13">
        <f>L7*INDEX(Assumptions!$D$90:$F$90,1,1)</f>
        <v>1270051.9334649364</v>
      </c>
      <c r="M39" s="13">
        <f>M7*INDEX(Assumptions!$D$90:$F$90,1,1)</f>
        <v>1239888.2000451442</v>
      </c>
      <c r="N39" s="13">
        <f>N7*INDEX(Assumptions!$D$90:$F$90,1,1)</f>
        <v>1210440.8552940721</v>
      </c>
    </row>
    <row r="40" spans="1:14" ht="15" customHeight="1" x14ac:dyDescent="0.3">
      <c r="A40" s="6" t="s">
        <v>1300</v>
      </c>
      <c r="B40" s="6" t="s">
        <v>218</v>
      </c>
      <c r="C40" s="6" t="s">
        <v>211</v>
      </c>
      <c r="D40" s="63">
        <f>-D39</f>
        <v>-184843.75</v>
      </c>
      <c r="E40" s="63">
        <f t="shared" ref="E40:N40" si="4">-(E39-D39)</f>
        <v>-69316.40625</v>
      </c>
      <c r="F40" s="63">
        <f t="shared" si="4"/>
        <v>-134242.7734375</v>
      </c>
      <c r="G40" s="63">
        <f t="shared" si="4"/>
        <v>-246581.85131835938</v>
      </c>
      <c r="H40" s="63">
        <f t="shared" si="4"/>
        <v>-243469.30676361104</v>
      </c>
      <c r="I40" s="63">
        <f t="shared" si="4"/>
        <v>-119415.79256391258</v>
      </c>
      <c r="J40" s="63">
        <f t="shared" si="4"/>
        <v>-116579.6674905197</v>
      </c>
      <c r="K40" s="63">
        <f t="shared" si="4"/>
        <v>-113810.90038761985</v>
      </c>
      <c r="L40" s="63">
        <f t="shared" si="4"/>
        <v>-41791.485253413906</v>
      </c>
      <c r="M40" s="63">
        <f t="shared" si="4"/>
        <v>30163.733419792261</v>
      </c>
      <c r="N40" s="63">
        <f t="shared" si="4"/>
        <v>29447.344751072116</v>
      </c>
    </row>
    <row r="41" spans="1:14" ht="15" customHeight="1" x14ac:dyDescent="0.3">
      <c r="A41" s="6" t="s">
        <v>84</v>
      </c>
      <c r="B41" s="6" t="s">
        <v>219</v>
      </c>
      <c r="C41" s="6" t="s">
        <v>211</v>
      </c>
      <c r="D41" s="13">
        <f>'Org &amp; Capacity'!D$160</f>
        <v>17</v>
      </c>
      <c r="E41" s="13">
        <f>'Org &amp; Capacity'!E$160</f>
        <v>22</v>
      </c>
      <c r="F41" s="13">
        <f>'Org &amp; Capacity'!F$160</f>
        <v>29.795085999999998</v>
      </c>
      <c r="G41" s="13">
        <f>'Org &amp; Capacity'!G$160</f>
        <v>40.553800000000003</v>
      </c>
      <c r="H41" s="13">
        <f>'Org &amp; Capacity'!H$160</f>
        <v>50.302936000000003</v>
      </c>
      <c r="I41" s="13">
        <f>'Org &amp; Capacity'!I$160</f>
        <v>54.670369000000001</v>
      </c>
      <c r="J41" s="13">
        <f>'Org &amp; Capacity'!J$160</f>
        <v>62.029076000000003</v>
      </c>
      <c r="K41" s="13">
        <f>'Org &amp; Capacity'!K$160</f>
        <v>65.379263000000009</v>
      </c>
      <c r="L41" s="13">
        <f>'Org &amp; Capacity'!L$160</f>
        <v>66.507852999999997</v>
      </c>
      <c r="M41" s="13">
        <f>'Org &amp; Capacity'!M$160</f>
        <v>65.415041000000002</v>
      </c>
      <c r="N41" s="13">
        <f>'Org &amp; Capacity'!N$160</f>
        <v>63.324433999999997</v>
      </c>
    </row>
    <row r="42" spans="1:14" ht="15" customHeight="1" x14ac:dyDescent="0.3">
      <c r="A42" s="6" t="s">
        <v>85</v>
      </c>
      <c r="B42" s="6" t="s">
        <v>344</v>
      </c>
      <c r="C42" s="6" t="s">
        <v>211</v>
      </c>
      <c r="D42" s="13">
        <f>IF(D7=0,0,('Org &amp; Capacity'!D$146+'Org &amp; Capacity'!D$148+'Org &amp; Capacity'!D$151+'Org &amp; Capacity'!D$154)/D7)</f>
        <v>421.09157548237357</v>
      </c>
      <c r="E42" s="13">
        <f>IF(E7=0,0,('Org &amp; Capacity'!E$146+'Org &amp; Capacity'!E$148+'Org &amp; Capacity'!E$151+'Org &amp; Capacity'!E$154)/E7)</f>
        <v>341.37704005511284</v>
      </c>
      <c r="F42" s="13">
        <f>IF(F7=0,0,('Org &amp; Capacity'!F$146+'Org &amp; Capacity'!F$148+'Org &amp; Capacity'!F$151+'Org &amp; Capacity'!F$154)/F7)</f>
        <v>337.35978343787366</v>
      </c>
      <c r="G42" s="13">
        <f>IF(G7=0,0,('Org &amp; Capacity'!G$146+'Org &amp; Capacity'!G$148+'Org &amp; Capacity'!G$151+'Org &amp; Capacity'!G$154)/G7)</f>
        <v>265.21503981028854</v>
      </c>
      <c r="H42" s="13">
        <f>IF(H7=0,0,('Org &amp; Capacity'!H$146+'Org &amp; Capacity'!H$148+'Org &amp; Capacity'!H$151+'Org &amp; Capacity'!H$154)/H7)</f>
        <v>234.92592259751243</v>
      </c>
      <c r="I42" s="13">
        <f>IF(I7=0,0,('Org &amp; Capacity'!I$146+'Org &amp; Capacity'!I$148+'Org &amp; Capacity'!I$151+'Org &amp; Capacity'!I$154)/I7)</f>
        <v>232.59887477758045</v>
      </c>
      <c r="J42" s="13">
        <f>IF(J7=0,0,('Org &amp; Capacity'!J$146+'Org &amp; Capacity'!J$148+'Org &amp; Capacity'!J$151+'Org &amp; Capacity'!J$154)/J7)</f>
        <v>240.42412237146453</v>
      </c>
      <c r="K42" s="13">
        <f>IF(K7=0,0,('Org &amp; Capacity'!K$146+'Org &amp; Capacity'!K$148+'Org &amp; Capacity'!K$151+'Org &amp; Capacity'!K$154)/K7)</f>
        <v>238.03916250714607</v>
      </c>
      <c r="L42" s="13">
        <f>IF(L7=0,0,('Org &amp; Capacity'!L$146+'Org &amp; Capacity'!L$148+'Org &amp; Capacity'!L$151+'Org &amp; Capacity'!L$154)/L7)</f>
        <v>239.99056745348372</v>
      </c>
      <c r="M42" s="13">
        <f>IF(M7=0,0,('Org &amp; Capacity'!M$146+'Org &amp; Capacity'!M$148+'Org &amp; Capacity'!M$151+'Org &amp; Capacity'!M$154)/M7)</f>
        <v>252.7828528555946</v>
      </c>
      <c r="N42" s="13">
        <f>IF(N7=0,0,('Org &amp; Capacity'!N$146+'Org &amp; Capacity'!N$148+'Org &amp; Capacity'!N$151+'Org &amp; Capacity'!N$154)/N7)</f>
        <v>257.73644001308935</v>
      </c>
    </row>
    <row r="43" spans="1:14" ht="15" customHeight="1" x14ac:dyDescent="0.3">
      <c r="A43" s="6" t="s">
        <v>1301</v>
      </c>
      <c r="B43" s="6" t="s">
        <v>344</v>
      </c>
      <c r="C43" s="6" t="s">
        <v>211</v>
      </c>
      <c r="D43" s="63">
        <f t="shared" ref="D43:N43" si="5">IF(D7=0,0,D36/D7)</f>
        <v>-392.99636465478426</v>
      </c>
      <c r="E43" s="63">
        <f t="shared" si="5"/>
        <v>-194.92114045932576</v>
      </c>
      <c r="F43" s="63">
        <f t="shared" si="5"/>
        <v>-154.89737867637396</v>
      </c>
      <c r="G43" s="63">
        <f t="shared" si="5"/>
        <v>-52.514524403595537</v>
      </c>
      <c r="H43" s="63">
        <f t="shared" si="5"/>
        <v>5.4554918946141013</v>
      </c>
      <c r="I43" s="63">
        <f t="shared" si="5"/>
        <v>26.006858851665317</v>
      </c>
      <c r="J43" s="63">
        <f t="shared" si="5"/>
        <v>17.917957154483648</v>
      </c>
      <c r="K43" s="63">
        <f t="shared" si="5"/>
        <v>20.046754802474467</v>
      </c>
      <c r="L43" s="63">
        <f t="shared" si="5"/>
        <v>30.111679408288207</v>
      </c>
      <c r="M43" s="63">
        <f t="shared" si="5"/>
        <v>5.6635328553596267</v>
      </c>
      <c r="N43" s="63">
        <f t="shared" si="5"/>
        <v>-11.065085110576605</v>
      </c>
    </row>
    <row r="44" spans="1:14" ht="15" customHeight="1" x14ac:dyDescent="0.3">
      <c r="A44" s="6" t="s">
        <v>1302</v>
      </c>
      <c r="B44" s="6" t="s">
        <v>267</v>
      </c>
      <c r="C44" s="6" t="s">
        <v>211</v>
      </c>
      <c r="D44" s="71">
        <f t="shared" ref="D44:N44" si="6">IF(D11=0,0,(D12+D13)/D11)</f>
        <v>0.1958735130511895</v>
      </c>
      <c r="E44" s="71">
        <f t="shared" si="6"/>
        <v>0.1958735130511895</v>
      </c>
      <c r="F44" s="71">
        <f t="shared" si="6"/>
        <v>0.19587351305118947</v>
      </c>
      <c r="G44" s="71">
        <f t="shared" si="6"/>
        <v>0.19587351305118947</v>
      </c>
      <c r="H44" s="71">
        <f t="shared" si="6"/>
        <v>0.19587351305118947</v>
      </c>
      <c r="I44" s="71">
        <f t="shared" si="6"/>
        <v>0.1958735130511895</v>
      </c>
      <c r="J44" s="71">
        <f t="shared" si="6"/>
        <v>0.19587351305118947</v>
      </c>
      <c r="K44" s="71">
        <f t="shared" si="6"/>
        <v>0.19587351305118947</v>
      </c>
      <c r="L44" s="71">
        <f t="shared" si="6"/>
        <v>0.19587351305118947</v>
      </c>
      <c r="M44" s="71">
        <f t="shared" si="6"/>
        <v>0.1958735130511895</v>
      </c>
      <c r="N44" s="71">
        <f t="shared" si="6"/>
        <v>0.19587351305118947</v>
      </c>
    </row>
    <row r="45" spans="1:14" ht="15" customHeight="1" x14ac:dyDescent="0.3">
      <c r="A45" s="1" t="s">
        <v>1303</v>
      </c>
      <c r="B45" s="6" t="s">
        <v>267</v>
      </c>
      <c r="C45" s="6" t="s">
        <v>211</v>
      </c>
      <c r="D45" s="62">
        <f>IF((D11+D7*INDEX(Assumptions!$D$30:$F$30,1,1)+D24+D26+D28)=0,0,D36/(D11+D7*INDEX(Assumptions!$D$30:$F$30,1,1)+D24+D26+D28))</f>
        <v>-0.60138733250999155</v>
      </c>
      <c r="E45" s="62">
        <f>IF((E11+E7*INDEX(Assumptions!$D$30:$F$30,1,1)+E24+E26+E28)=0,0,E36/(E11+E7*INDEX(Assumptions!$D$30:$F$30,1,1)+E24+E26+E28))</f>
        <v>-0.29708699945131656</v>
      </c>
      <c r="F45" s="62">
        <f>IF((F11+F7*INDEX(Assumptions!$D$30:$F$30,1,1)+F24+F26+F28)=0,0,F36/(F11+F7*INDEX(Assumptions!$D$30:$F$30,1,1)+F24+F26+F28))</f>
        <v>-0.23514442391199267</v>
      </c>
      <c r="G45" s="62">
        <f>IF((G11+G7*INDEX(Assumptions!$D$30:$F$30,1,1)+G24+G26+G28)=0,0,G36/(G11+G7*INDEX(Assumptions!$D$30:$F$30,1,1)+G24+G26+G28))</f>
        <v>-7.9404088003980078E-2</v>
      </c>
      <c r="H45" s="62">
        <f>IF((H11+H7*INDEX(Assumptions!$D$30:$F$30,1,1)+H24+H26+H28)=0,0,H36/(H11+H7*INDEX(Assumptions!$D$30:$F$30,1,1)+H24+H26+H28))</f>
        <v>8.216313298778621E-3</v>
      </c>
      <c r="I45" s="62">
        <f>IF((I11+I7*INDEX(Assumptions!$D$30:$F$30,1,1)+I24+I26+I28)=0,0,I36/(I11+I7*INDEX(Assumptions!$D$30:$F$30,1,1)+I24+I26+I28))</f>
        <v>3.9167962187488706E-2</v>
      </c>
      <c r="J45" s="62">
        <f>IF((J11+J7*INDEX(Assumptions!$D$30:$F$30,1,1)+J24+J26+J28)=0,0,J36/(J11+J7*INDEX(Assumptions!$D$30:$F$30,1,1)+J24+J26+J28))</f>
        <v>2.6985568395889482E-2</v>
      </c>
      <c r="K45" s="62">
        <f>IF((K11+K7*INDEX(Assumptions!$D$30:$F$30,1,1)+K24+K26+K28)=0,0,K36/(K11+K7*INDEX(Assumptions!$D$30:$F$30,1,1)+K24+K26+K28))</f>
        <v>3.0191671303468424E-2</v>
      </c>
      <c r="L45" s="62">
        <f>IF((L11+L7*INDEX(Assumptions!$D$30:$F$30,1,1)+L24+L26+L28)=0,0,L36/(L11+L7*INDEX(Assumptions!$D$30:$F$30,1,1)+L24+L26+L28))</f>
        <v>4.5350079653702288E-2</v>
      </c>
      <c r="M45" s="62">
        <f>IF((M11+M7*INDEX(Assumptions!$D$30:$F$30,1,1)+M24+M26+M28)=0,0,M36/(M11+M7*INDEX(Assumptions!$D$30:$F$30,1,1)+M24+M26+M28))</f>
        <v>8.5296360468431285E-3</v>
      </c>
      <c r="N45" s="62">
        <f>IF((N11+N7*INDEX(Assumptions!$D$30:$F$30,1,1)+N24+N26+N28)=0,0,N36/(N11+N7*INDEX(Assumptions!$D$30:$F$30,1,1)+N24+N26+N28))</f>
        <v>-1.6664712862263127E-2</v>
      </c>
    </row>
    <row r="46" spans="1:14" ht="15" customHeight="1" x14ac:dyDescent="0.3">
      <c r="A46" s="6" t="s">
        <v>300</v>
      </c>
      <c r="B46" s="6" t="s">
        <v>819</v>
      </c>
      <c r="C46" s="6" t="s">
        <v>211</v>
      </c>
      <c r="D46" s="71">
        <f t="shared" ref="D46:N46" si="7">D45-D44</f>
        <v>-0.79726084556118104</v>
      </c>
      <c r="E46" s="71">
        <f t="shared" si="7"/>
        <v>-0.49296051250250605</v>
      </c>
      <c r="F46" s="71">
        <f t="shared" si="7"/>
        <v>-0.43101793696318214</v>
      </c>
      <c r="G46" s="71">
        <f t="shared" si="7"/>
        <v>-0.27527760105516952</v>
      </c>
      <c r="H46" s="71">
        <f t="shared" si="7"/>
        <v>-0.18765719975241085</v>
      </c>
      <c r="I46" s="71">
        <f t="shared" si="7"/>
        <v>-0.1567055508637008</v>
      </c>
      <c r="J46" s="71">
        <f t="shared" si="7"/>
        <v>-0.16888794465529999</v>
      </c>
      <c r="K46" s="71">
        <f t="shared" si="7"/>
        <v>-0.16568184174772105</v>
      </c>
      <c r="L46" s="71">
        <f t="shared" si="7"/>
        <v>-0.15052343339748719</v>
      </c>
      <c r="M46" s="71">
        <f t="shared" si="7"/>
        <v>-0.18734387700434638</v>
      </c>
      <c r="N46" s="71">
        <f t="shared" si="7"/>
        <v>-0.21253822591345259</v>
      </c>
    </row>
    <row r="47" spans="1:14" ht="15" customHeight="1" x14ac:dyDescent="0.3">
      <c r="A47" s="2"/>
      <c r="B47" s="2"/>
      <c r="C47" s="2"/>
      <c r="D47" s="2"/>
      <c r="E47" s="2"/>
      <c r="F47" s="2"/>
      <c r="G47" s="2"/>
      <c r="H47" s="2"/>
      <c r="I47" s="2"/>
      <c r="J47" s="2"/>
      <c r="K47" s="2"/>
      <c r="L47" s="2"/>
      <c r="M47" s="2"/>
      <c r="N47" s="2"/>
    </row>
    <row r="48" spans="1:14" ht="15" customHeight="1" x14ac:dyDescent="0.3">
      <c r="A48" s="21" t="s">
        <v>873</v>
      </c>
      <c r="B48" s="10"/>
      <c r="C48" s="10"/>
      <c r="D48" s="10"/>
      <c r="E48" s="10"/>
      <c r="F48" s="10"/>
      <c r="G48" s="10"/>
      <c r="H48" s="10"/>
      <c r="I48" s="10"/>
      <c r="J48" s="10"/>
      <c r="K48" s="10"/>
      <c r="L48" s="10"/>
      <c r="M48" s="10"/>
      <c r="N48" s="10"/>
    </row>
    <row r="49" spans="1:14" ht="15" customHeight="1" x14ac:dyDescent="0.3">
      <c r="A49" s="21" t="s">
        <v>202</v>
      </c>
      <c r="B49" s="10"/>
      <c r="C49" s="10"/>
      <c r="D49" s="21" t="s">
        <v>203</v>
      </c>
      <c r="E49" s="21" t="s">
        <v>204</v>
      </c>
      <c r="F49" s="21" t="s">
        <v>205</v>
      </c>
      <c r="G49" s="21" t="s">
        <v>9</v>
      </c>
      <c r="H49" s="21" t="s">
        <v>206</v>
      </c>
      <c r="I49" s="21" t="s">
        <v>10</v>
      </c>
      <c r="J49" s="21" t="s">
        <v>207</v>
      </c>
      <c r="K49" s="21" t="s">
        <v>11</v>
      </c>
      <c r="L49" s="21" t="s">
        <v>208</v>
      </c>
      <c r="M49" s="21" t="s">
        <v>209</v>
      </c>
      <c r="N49" s="21" t="s">
        <v>12</v>
      </c>
    </row>
    <row r="50" spans="1:14" ht="15" customHeight="1" x14ac:dyDescent="0.3">
      <c r="A50" s="6" t="s">
        <v>13</v>
      </c>
      <c r="B50" s="6" t="s">
        <v>210</v>
      </c>
      <c r="C50" s="6" t="s">
        <v>211</v>
      </c>
      <c r="D50" s="13">
        <f>'Revenue &amp; Durability'!D$112</f>
        <v>7343.75</v>
      </c>
      <c r="E50" s="13">
        <f>'Revenue &amp; Durability'!E$112</f>
        <v>10097.65625</v>
      </c>
      <c r="F50" s="13">
        <f>'Revenue &amp; Durability'!F$112</f>
        <v>15888.496875000001</v>
      </c>
      <c r="G50" s="13">
        <f>'Revenue &amp; Durability'!G$112</f>
        <v>26492.360247687506</v>
      </c>
      <c r="H50" s="13">
        <f>'Revenue &amp; Durability'!H$112</f>
        <v>37328.003936633388</v>
      </c>
      <c r="I50" s="13">
        <f>'Revenue &amp; Durability'!I$112</f>
        <v>44168.302161476255</v>
      </c>
      <c r="J50" s="13">
        <f>'Revenue &amp; Durability'!J$112</f>
        <v>50000</v>
      </c>
      <c r="K50" s="13">
        <f>'Revenue &amp; Durability'!K$112</f>
        <v>50000</v>
      </c>
      <c r="L50" s="13">
        <f>'Revenue &amp; Durability'!L$112</f>
        <v>50000</v>
      </c>
      <c r="M50" s="13">
        <f>'Revenue &amp; Durability'!M$112</f>
        <v>50000</v>
      </c>
      <c r="N50" s="13">
        <f>'Revenue &amp; Durability'!N$112</f>
        <v>50000</v>
      </c>
    </row>
    <row r="51" spans="1:14" ht="15" customHeight="1" x14ac:dyDescent="0.3">
      <c r="A51" s="6" t="s">
        <v>14</v>
      </c>
      <c r="B51" s="6" t="s">
        <v>212</v>
      </c>
      <c r="C51" s="6" t="s">
        <v>211</v>
      </c>
      <c r="D51" s="15">
        <f>'Revenue &amp; Durability'!D$121</f>
        <v>29.375</v>
      </c>
      <c r="E51" s="15">
        <f>'Revenue &amp; Durability'!E$121</f>
        <v>40.390625</v>
      </c>
      <c r="F51" s="15">
        <f>'Revenue &amp; Durability'!F$121</f>
        <v>63.553987500000005</v>
      </c>
      <c r="G51" s="15">
        <f>'Revenue &amp; Durability'!G$121</f>
        <v>105.96944099075003</v>
      </c>
      <c r="H51" s="15">
        <f>'Revenue &amp; Durability'!H$121</f>
        <v>149.31201574653355</v>
      </c>
      <c r="I51" s="15">
        <f>'Revenue &amp; Durability'!I$121</f>
        <v>176.67320864590502</v>
      </c>
      <c r="J51" s="15">
        <f>'Revenue &amp; Durability'!J$121</f>
        <v>200</v>
      </c>
      <c r="K51" s="15">
        <f>'Revenue &amp; Durability'!K$121</f>
        <v>200</v>
      </c>
      <c r="L51" s="15">
        <f>'Revenue &amp; Durability'!L$121</f>
        <v>200</v>
      </c>
      <c r="M51" s="15">
        <f>'Revenue &amp; Durability'!M$121</f>
        <v>200</v>
      </c>
      <c r="N51" s="15">
        <f>'Revenue &amp; Durability'!N$121</f>
        <v>200</v>
      </c>
    </row>
    <row r="52" spans="1:14" ht="15" customHeight="1" x14ac:dyDescent="0.3">
      <c r="A52" s="6" t="s">
        <v>15</v>
      </c>
      <c r="B52" s="6" t="s">
        <v>213</v>
      </c>
      <c r="C52" s="6" t="s">
        <v>214</v>
      </c>
      <c r="D52" s="15">
        <f>'Revenue &amp; Durability'!D$124</f>
        <v>5.6400000000000006</v>
      </c>
      <c r="E52" s="15">
        <f>'Revenue &amp; Durability'!E$124</f>
        <v>6.9425714285714291</v>
      </c>
      <c r="F52" s="15">
        <f>'Revenue &amp; Durability'!F$124</f>
        <v>10.412685312000001</v>
      </c>
      <c r="G52" s="15">
        <f>'Revenue &amp; Durability'!G$124</f>
        <v>14.769785197644094</v>
      </c>
      <c r="H52" s="15">
        <f>'Revenue &amp; Durability'!H$124</f>
        <v>20.93212258846642</v>
      </c>
      <c r="I52" s="15">
        <f>'Revenue &amp; Durability'!I$124</f>
        <v>24.875587777343423</v>
      </c>
      <c r="J52" s="15">
        <f>'Revenue &amp; Durability'!J$124</f>
        <v>28.254814814814811</v>
      </c>
      <c r="K52" s="15">
        <f>'Revenue &amp; Durability'!K$124</f>
        <v>28.330666666666662</v>
      </c>
      <c r="L52" s="15">
        <f>'Revenue &amp; Durability'!L$124</f>
        <v>28.330666666666662</v>
      </c>
      <c r="M52" s="15">
        <f>'Revenue &amp; Durability'!M$124</f>
        <v>28.330666666666662</v>
      </c>
      <c r="N52" s="15">
        <f>'Revenue &amp; Durability'!N$124</f>
        <v>28.330666666666662</v>
      </c>
    </row>
    <row r="53" spans="1:14" ht="15" customHeight="1" x14ac:dyDescent="0.3">
      <c r="A53" s="6" t="s">
        <v>215</v>
      </c>
      <c r="B53" s="6" t="s">
        <v>216</v>
      </c>
      <c r="C53" s="6" t="s">
        <v>217</v>
      </c>
      <c r="D53" s="54">
        <f>'Revenue &amp; Durability'!D$127</f>
        <v>0.76250000000000018</v>
      </c>
      <c r="E53" s="54">
        <f>'Revenue &amp; Durability'!E$127</f>
        <v>1.1695535714285716</v>
      </c>
      <c r="F53" s="54">
        <f>'Revenue &amp; Durability'!F$127</f>
        <v>2.2539641600000002</v>
      </c>
      <c r="G53" s="54">
        <f>'Revenue &amp; Durability'!G$127</f>
        <v>3.6155578742637795</v>
      </c>
      <c r="H53" s="54">
        <f>'Revenue &amp; Durability'!H$127</f>
        <v>5.5412883088957567</v>
      </c>
      <c r="I53" s="54">
        <f>'Revenue &amp; Durability'!I$127</f>
        <v>6.7736211804198199</v>
      </c>
      <c r="J53" s="54">
        <f>'Revenue &amp; Durability'!J$127</f>
        <v>7.8296296296296291</v>
      </c>
      <c r="K53" s="54">
        <f>'Revenue &amp; Durability'!K$127</f>
        <v>7.8533333333333317</v>
      </c>
      <c r="L53" s="54">
        <f>'Revenue &amp; Durability'!L$127</f>
        <v>7.8533333333333317</v>
      </c>
      <c r="M53" s="54">
        <f>'Revenue &amp; Durability'!M$127</f>
        <v>7.8533333333333317</v>
      </c>
      <c r="N53" s="54">
        <f>'Revenue &amp; Durability'!N$127</f>
        <v>7.8533333333333317</v>
      </c>
    </row>
    <row r="54" spans="1:14" ht="15" customHeight="1" x14ac:dyDescent="0.3">
      <c r="A54" s="6" t="s">
        <v>16</v>
      </c>
      <c r="B54" s="6" t="s">
        <v>218</v>
      </c>
      <c r="C54" s="6" t="s">
        <v>211</v>
      </c>
      <c r="D54" s="13">
        <f>'Revenue &amp; Durability'!D$128</f>
        <v>4799015.3714879304</v>
      </c>
      <c r="E54" s="13">
        <f>'Revenue &amp; Durability'!E$128</f>
        <v>6598646.1357959034</v>
      </c>
      <c r="F54" s="13">
        <f>'Revenue &amp; Durability'!F$128</f>
        <v>10382861.716828996</v>
      </c>
      <c r="G54" s="13">
        <f>'Revenue &amp; Durability'!G$128</f>
        <v>17312305.573535062</v>
      </c>
      <c r="H54" s="13">
        <f>'Revenue &amp; Durability'!H$128</f>
        <v>24393213.913717866</v>
      </c>
      <c r="I54" s="13">
        <f>'Revenue &amp; Durability'!I$128</f>
        <v>28863232.136912081</v>
      </c>
      <c r="J54" s="13">
        <f>'Revenue &amp; Durability'!J$128</f>
        <v>32674147.210130587</v>
      </c>
      <c r="K54" s="13">
        <f>'Revenue &amp; Durability'!K$128</f>
        <v>32674147.210130587</v>
      </c>
      <c r="L54" s="13">
        <f>'Revenue &amp; Durability'!L$128</f>
        <v>32674147.210130587</v>
      </c>
      <c r="M54" s="13">
        <f>'Revenue &amp; Durability'!M$128</f>
        <v>32674147.210130587</v>
      </c>
      <c r="N54" s="13">
        <f>'Revenue &amp; Durability'!N$128</f>
        <v>32674147.210130587</v>
      </c>
    </row>
    <row r="55" spans="1:14" ht="15" customHeight="1" x14ac:dyDescent="0.3">
      <c r="A55" s="1" t="s">
        <v>1288</v>
      </c>
      <c r="B55" s="6" t="s">
        <v>218</v>
      </c>
      <c r="C55" s="6" t="s">
        <v>211</v>
      </c>
      <c r="D55" s="39">
        <f>'Revenue &amp; Durability'!D$99</f>
        <v>940000</v>
      </c>
      <c r="E55" s="39">
        <f>'Revenue &amp; Durability'!E$99</f>
        <v>1292500</v>
      </c>
      <c r="F55" s="39">
        <f>'Revenue &amp; Durability'!F$99</f>
        <v>1913840</v>
      </c>
      <c r="G55" s="39">
        <f>'Revenue &amp; Durability'!G$99</f>
        <v>3067380.74</v>
      </c>
      <c r="H55" s="39">
        <f>'Revenue &amp; Durability'!H$99</f>
        <v>4170543.85414</v>
      </c>
      <c r="I55" s="39">
        <f>'Revenue &amp; Durability'!I$99</f>
        <v>4535737.9511215407</v>
      </c>
      <c r="J55" s="39">
        <f>'Revenue &amp; Durability'!J$99</f>
        <v>4868429.7734717233</v>
      </c>
      <c r="K55" s="39">
        <f>'Revenue &amp; Durability'!K$99</f>
        <v>5171512.0236327406</v>
      </c>
      <c r="L55" s="39">
        <f>'Revenue &amp; Durability'!L$99</f>
        <v>5095119.9535294268</v>
      </c>
      <c r="M55" s="39">
        <f>'Revenue &amp; Durability'!M$99</f>
        <v>4641654.2776653077</v>
      </c>
      <c r="N55" s="39">
        <f>'Revenue &amp; Durability'!N$99</f>
        <v>4228547.0469530951</v>
      </c>
    </row>
    <row r="56" spans="1:14" ht="15" customHeight="1" x14ac:dyDescent="0.3">
      <c r="A56" s="6" t="s">
        <v>1289</v>
      </c>
      <c r="B56" s="6" t="s">
        <v>218</v>
      </c>
      <c r="C56" s="6" t="s">
        <v>222</v>
      </c>
      <c r="D56" s="13">
        <f>'Revenue &amp; Durability'!D$109</f>
        <v>0</v>
      </c>
      <c r="E56" s="13">
        <f>'Revenue &amp; Durability'!E$109</f>
        <v>0</v>
      </c>
      <c r="F56" s="13">
        <f>'Revenue &amp; Durability'!F$109</f>
        <v>119887.60000000019</v>
      </c>
      <c r="G56" s="13">
        <f>'Revenue &amp; Durability'!G$109</f>
        <v>323641.37170400063</v>
      </c>
      <c r="H56" s="13">
        <f>'Revenue &amp; Durability'!H$109</f>
        <v>607440.64974907355</v>
      </c>
      <c r="I56" s="13">
        <f>'Revenue &amp; Durability'!I$109</f>
        <v>1117804.7255474194</v>
      </c>
      <c r="J56" s="13">
        <f>'Revenue &amp; Durability'!J$109</f>
        <v>1531570.2265282767</v>
      </c>
      <c r="K56" s="13">
        <f>'Revenue &amp; Durability'!K$109</f>
        <v>1228487.9763672594</v>
      </c>
      <c r="L56" s="13">
        <f>'Revenue &amp; Durability'!L$109</f>
        <v>1304880.0464705732</v>
      </c>
      <c r="M56" s="13">
        <f>'Revenue &amp; Durability'!M$109</f>
        <v>1758345.7223346923</v>
      </c>
      <c r="N56" s="13">
        <f>'Revenue &amp; Durability'!N$109</f>
        <v>2171452.9530469049</v>
      </c>
    </row>
    <row r="57" spans="1:14" ht="15" customHeight="1" x14ac:dyDescent="0.3">
      <c r="A57" s="6" t="s">
        <v>849</v>
      </c>
      <c r="B57" s="6" t="s">
        <v>210</v>
      </c>
      <c r="C57" s="6" t="s">
        <v>245</v>
      </c>
      <c r="D57" s="13">
        <f>'Revenue &amp; Durability'!D$107</f>
        <v>0</v>
      </c>
      <c r="E57" s="13">
        <f>'Revenue &amp; Durability'!E$107</f>
        <v>0</v>
      </c>
      <c r="F57" s="13">
        <f>'Revenue &amp; Durability'!F$107</f>
        <v>0</v>
      </c>
      <c r="G57" s="13">
        <f>'Revenue &amp; Durability'!G$107</f>
        <v>0</v>
      </c>
      <c r="H57" s="13">
        <f>'Revenue &amp; Durability'!H$107</f>
        <v>0</v>
      </c>
      <c r="I57" s="13">
        <f>'Revenue &amp; Durability'!I$107</f>
        <v>0</v>
      </c>
      <c r="J57" s="13">
        <f>'Revenue &amp; Durability'!J$107</f>
        <v>1272.2254799045513</v>
      </c>
      <c r="K57" s="13">
        <f>'Revenue &amp; Durability'!K$107</f>
        <v>8649.9340030250933</v>
      </c>
      <c r="L57" s="13">
        <f>'Revenue &amp; Durability'!L$107</f>
        <v>13558.073162626693</v>
      </c>
      <c r="M57" s="13">
        <f>'Revenue &amp; Durability'!M$107</f>
        <v>16007.601302314335</v>
      </c>
      <c r="N57" s="13">
        <f>'Revenue &amp; Durability'!N$107</f>
        <v>18551.53425650554</v>
      </c>
    </row>
    <row r="58" spans="1:14" ht="15" customHeight="1" x14ac:dyDescent="0.3">
      <c r="A58" s="6" t="s">
        <v>242</v>
      </c>
      <c r="B58" s="6" t="s">
        <v>218</v>
      </c>
      <c r="C58" s="6" t="s">
        <v>211</v>
      </c>
      <c r="D58" s="13">
        <f>'Org &amp; Capacity'!D$180</f>
        <v>1342318.7387005482</v>
      </c>
      <c r="E58" s="13">
        <f>'Org &amp; Capacity'!E$180</f>
        <v>1819819.0819456815</v>
      </c>
      <c r="F58" s="13">
        <f>'Org &amp; Capacity'!F$180</f>
        <v>2735014.0027123471</v>
      </c>
      <c r="G58" s="13">
        <f>'Org &amp; Capacity'!G$180</f>
        <v>4537674.5139547624</v>
      </c>
      <c r="H58" s="13">
        <f>'Org &amp; Capacity'!H$180</f>
        <v>6372007.1317362897</v>
      </c>
      <c r="I58" s="13">
        <f>'Org &amp; Capacity'!I$180</f>
        <v>7101738.4831588939</v>
      </c>
      <c r="J58" s="13">
        <f>'Org &amp; Capacity'!J$180</f>
        <v>7820148.0930763679</v>
      </c>
      <c r="K58" s="13">
        <f>'Org &amp; Capacity'!K$180</f>
        <v>8528944.5970154479</v>
      </c>
      <c r="L58" s="13">
        <f>'Org &amp; Capacity'!L$180</f>
        <v>8642496.3787731882</v>
      </c>
      <c r="M58" s="13">
        <f>'Org &amp; Capacity'!M$180</f>
        <v>8109513.6270942437</v>
      </c>
      <c r="N58" s="13">
        <f>'Org &amp; Capacity'!N$180</f>
        <v>7609399.9217113415</v>
      </c>
    </row>
    <row r="59" spans="1:14" ht="15" customHeight="1" x14ac:dyDescent="0.3">
      <c r="A59" s="6" t="s">
        <v>243</v>
      </c>
      <c r="B59" s="6" t="s">
        <v>218</v>
      </c>
      <c r="C59" s="6" t="s">
        <v>211</v>
      </c>
      <c r="D59" s="13">
        <f>-'Org &amp; Capacity'!D$184</f>
        <v>-862012.62999999989</v>
      </c>
      <c r="E59" s="13">
        <f>-'Org &amp; Capacity'!E$184</f>
        <v>-1740982.2791857501</v>
      </c>
      <c r="F59" s="13">
        <f>-'Org &amp; Capacity'!F$184</f>
        <v>-2343782.8318440998</v>
      </c>
      <c r="G59" s="13">
        <f>-'Org &amp; Capacity'!G$184</f>
        <v>-3790121.0972822127</v>
      </c>
      <c r="H59" s="13">
        <f>-'Org &amp; Capacity'!H$184</f>
        <v>-5211901.0344628152</v>
      </c>
      <c r="I59" s="13">
        <f>-'Org &amp; Capacity'!I$184</f>
        <v>-6143522.1012323834</v>
      </c>
      <c r="J59" s="13">
        <f>-'Org &amp; Capacity'!J$184</f>
        <v>-6948193.2986329906</v>
      </c>
      <c r="K59" s="13">
        <f>-'Org &amp; Capacity'!K$184</f>
        <v>-7156639.0975919804</v>
      </c>
      <c r="L59" s="13">
        <f>-'Org &amp; Capacity'!L$184</f>
        <v>-7371338.2705197409</v>
      </c>
      <c r="M59" s="13">
        <f>-'Org &amp; Capacity'!M$184</f>
        <v>-7592478.418635332</v>
      </c>
      <c r="N59" s="13">
        <f>-'Org &amp; Capacity'!N$184</f>
        <v>-7820252.7711943919</v>
      </c>
    </row>
    <row r="60" spans="1:14" ht="15" customHeight="1" x14ac:dyDescent="0.3">
      <c r="A60" s="6" t="s">
        <v>1206</v>
      </c>
      <c r="B60" s="6" t="s">
        <v>218</v>
      </c>
      <c r="C60" s="6" t="s">
        <v>245</v>
      </c>
      <c r="D60" s="13">
        <f>-'Org &amp; Capacity'!D$193</f>
        <v>-671159.36935027409</v>
      </c>
      <c r="E60" s="13">
        <f>-'Org &amp; Capacity'!E$193</f>
        <v>-238750.17162256665</v>
      </c>
      <c r="F60" s="13">
        <f>-'Org &amp; Capacity'!F$193</f>
        <v>-457597.4603833328</v>
      </c>
      <c r="G60" s="13">
        <f>-'Org &amp; Capacity'!G$193</f>
        <v>-901330.25562120765</v>
      </c>
      <c r="H60" s="13">
        <f>-'Org &amp; Capacity'!H$193</f>
        <v>-917166.30889076367</v>
      </c>
      <c r="I60" s="13">
        <f>-'Org &amp; Capacity'!I$193</f>
        <v>-364865.67571130209</v>
      </c>
      <c r="J60" s="13">
        <f>-'Org &amp; Capacity'!J$193</f>
        <v>-359204.80495873699</v>
      </c>
      <c r="K60" s="13">
        <f>-'Org &amp; Capacity'!K$193</f>
        <v>-354398.25196954003</v>
      </c>
      <c r="L60" s="13">
        <f>-'Org &amp; Capacity'!L$193</f>
        <v>-56775.890878870152</v>
      </c>
      <c r="M60" s="13">
        <f>-'Org &amp; Capacity'!M$193</f>
        <v>0</v>
      </c>
      <c r="N60" s="13">
        <f>-'Org &amp; Capacity'!N$193</f>
        <v>0</v>
      </c>
    </row>
    <row r="61" spans="1:14" ht="15" customHeight="1" x14ac:dyDescent="0.3">
      <c r="A61" s="6" t="s">
        <v>246</v>
      </c>
      <c r="B61" s="6" t="s">
        <v>218</v>
      </c>
      <c r="C61" s="6" t="s">
        <v>222</v>
      </c>
      <c r="D61" s="13">
        <f>'Org &amp; Capacity'!D$195</f>
        <v>0</v>
      </c>
      <c r="E61" s="13">
        <f>'Org &amp; Capacity'!E$195</f>
        <v>0</v>
      </c>
      <c r="F61" s="13">
        <f>'Org &amp; Capacity'!F$195</f>
        <v>0</v>
      </c>
      <c r="G61" s="13">
        <f>'Org &amp; Capacity'!G$195</f>
        <v>0</v>
      </c>
      <c r="H61" s="13">
        <f>'Org &amp; Capacity'!H$195</f>
        <v>0</v>
      </c>
      <c r="I61" s="13">
        <f>'Org &amp; Capacity'!I$195</f>
        <v>0</v>
      </c>
      <c r="J61" s="13">
        <f>'Org &amp; Capacity'!J$195</f>
        <v>0</v>
      </c>
      <c r="K61" s="13">
        <f>'Org &amp; Capacity'!K$195</f>
        <v>0</v>
      </c>
      <c r="L61" s="13">
        <f>'Org &amp; Capacity'!L$195</f>
        <v>0</v>
      </c>
      <c r="M61" s="13">
        <f>'Org &amp; Capacity'!M$195</f>
        <v>0</v>
      </c>
      <c r="N61" s="13">
        <f>'Org &amp; Capacity'!N$195</f>
        <v>0</v>
      </c>
    </row>
    <row r="62" spans="1:14" ht="15" customHeight="1" x14ac:dyDescent="0.3">
      <c r="A62" s="6" t="s">
        <v>187</v>
      </c>
      <c r="B62" s="6" t="s">
        <v>218</v>
      </c>
      <c r="C62" s="6" t="s">
        <v>217</v>
      </c>
      <c r="D62" s="13">
        <f>-'Org &amp; Capacity'!D$189</f>
        <v>-685510.07499999995</v>
      </c>
      <c r="E62" s="13">
        <f>-'Org &amp; Capacity'!E$189</f>
        <v>-685510.07499999995</v>
      </c>
      <c r="F62" s="13">
        <f>-'Org &amp; Capacity'!F$189</f>
        <v>-706075.37725000002</v>
      </c>
      <c r="G62" s="13">
        <f>-'Org &amp; Capacity'!G$189</f>
        <v>-727257.63856749993</v>
      </c>
      <c r="H62" s="13">
        <f>-'Org &amp; Capacity'!H$189</f>
        <v>-885668.20963312499</v>
      </c>
      <c r="I62" s="13">
        <f>-'Org &amp; Capacity'!I$189</f>
        <v>-912238.25592211867</v>
      </c>
      <c r="J62" s="13">
        <f>-'Org &amp; Capacity'!J$189</f>
        <v>-939605.40359978215</v>
      </c>
      <c r="K62" s="13">
        <f>-'Org &amp; Capacity'!K$189</f>
        <v>-967793.56570777576</v>
      </c>
      <c r="L62" s="13">
        <f>-'Org &amp; Capacity'!L$189</f>
        <v>-996827.37267900899</v>
      </c>
      <c r="M62" s="13">
        <f>-'Org &amp; Capacity'!M$189</f>
        <v>-1026732.1938593792</v>
      </c>
      <c r="N62" s="13">
        <f>-'Org &amp; Capacity'!N$189</f>
        <v>-1057534.1596751607</v>
      </c>
    </row>
    <row r="63" spans="1:14" ht="15" customHeight="1" x14ac:dyDescent="0.3">
      <c r="A63" s="6" t="s">
        <v>247</v>
      </c>
      <c r="B63" s="6" t="s">
        <v>218</v>
      </c>
      <c r="C63" s="6" t="s">
        <v>222</v>
      </c>
      <c r="D63" s="13">
        <f>-'Org &amp; Capacity'!D$192</f>
        <v>0</v>
      </c>
      <c r="E63" s="13">
        <f>-'Org &amp; Capacity'!E$192</f>
        <v>-343395.9975</v>
      </c>
      <c r="F63" s="13">
        <f>-'Org &amp; Capacity'!F$192</f>
        <v>-353697.87742500001</v>
      </c>
      <c r="G63" s="13">
        <f>-'Org &amp; Capacity'!G$192</f>
        <v>-564396.21776939998</v>
      </c>
      <c r="H63" s="13">
        <f>-'Org &amp; Capacity'!H$192</f>
        <v>-956566.18246266444</v>
      </c>
      <c r="I63" s="13">
        <f>-'Org &amp; Capacity'!I$192</f>
        <v>-985263.16793654428</v>
      </c>
      <c r="J63" s="13">
        <f>-'Org &amp; Capacity'!J$192</f>
        <v>-1117227.8562964427</v>
      </c>
      <c r="K63" s="13">
        <f>-'Org &amp; Capacity'!K$192</f>
        <v>-1150744.6919853359</v>
      </c>
      <c r="L63" s="13">
        <f>-'Org &amp; Capacity'!L$192</f>
        <v>-1185267.0327448961</v>
      </c>
      <c r="M63" s="13">
        <f>-'Org &amp; Capacity'!M$192</f>
        <v>-1220825.0437272429</v>
      </c>
      <c r="N63" s="13">
        <f>-'Org &amp; Capacity'!N$192</f>
        <v>-1257449.7950390603</v>
      </c>
    </row>
    <row r="64" spans="1:14" ht="15" customHeight="1" x14ac:dyDescent="0.3">
      <c r="A64" s="6" t="s">
        <v>248</v>
      </c>
      <c r="B64" s="6" t="s">
        <v>218</v>
      </c>
      <c r="C64" s="6" t="s">
        <v>222</v>
      </c>
      <c r="D64" s="13">
        <f>-'Org &amp; Capacity'!D$196</f>
        <v>-480000</v>
      </c>
      <c r="E64" s="13">
        <f>-'Org &amp; Capacity'!E$196</f>
        <v>-480000</v>
      </c>
      <c r="F64" s="13">
        <f>-'Org &amp; Capacity'!F$196</f>
        <v>-480000</v>
      </c>
      <c r="G64" s="13">
        <f>-'Org &amp; Capacity'!G$196</f>
        <v>-480000</v>
      </c>
      <c r="H64" s="13">
        <f>-'Org &amp; Capacity'!H$196</f>
        <v>-480000</v>
      </c>
      <c r="I64" s="13">
        <f>-'Org &amp; Capacity'!I$196</f>
        <v>-480000</v>
      </c>
      <c r="J64" s="13">
        <f>-'Org &amp; Capacity'!J$196</f>
        <v>-480000</v>
      </c>
      <c r="K64" s="13">
        <f>-'Org &amp; Capacity'!K$196</f>
        <v>-480000</v>
      </c>
      <c r="L64" s="13">
        <f>-'Org &amp; Capacity'!L$196</f>
        <v>0</v>
      </c>
      <c r="M64" s="13">
        <f>-'Org &amp; Capacity'!M$196</f>
        <v>0</v>
      </c>
      <c r="N64" s="13">
        <f>-'Org &amp; Capacity'!N$196</f>
        <v>0</v>
      </c>
    </row>
    <row r="65" spans="1:14" ht="15" customHeight="1" x14ac:dyDescent="0.3">
      <c r="A65" s="6" t="s">
        <v>618</v>
      </c>
      <c r="B65" s="6" t="s">
        <v>218</v>
      </c>
      <c r="C65" s="6" t="s">
        <v>222</v>
      </c>
      <c r="D65" s="63">
        <f>0</f>
        <v>0</v>
      </c>
      <c r="E65" s="13">
        <f>D65+'Acquisition Schedule'!G$20*(INDEX(Assumptions!$D$59:$F$59,1,2)*(1-Assumptions!$D$8))*INDEX(Assumptions!$D$60:$F$60,1,2)+'Acquisition Schedule'!F$20*(INDEX(Assumptions!$D$59:$F$59,1,2)*(1-Assumptions!$D$8))*(INDEX(Assumptions!$D$61:$F$61,1,2)-INDEX(Assumptions!$D$60:$F$60,1,2))</f>
        <v>28750</v>
      </c>
      <c r="F65" s="13">
        <f>E65+'Acquisition Schedule'!H$20*(INDEX(Assumptions!$D$59:$F$59,1,2)*(1-Assumptions!$D$8))*INDEX(Assumptions!$D$60:$F$60,1,2)+'Acquisition Schedule'!G$20*(INDEX(Assumptions!$D$59:$F$59,1,2)*(1-Assumptions!$D$8))*(INDEX(Assumptions!$D$61:$F$61,1,2)-INDEX(Assumptions!$D$60:$F$60,1,2))+'Acquisition Schedule'!F$20*(INDEX(Assumptions!$D$59:$F$59,1,2)*(1-Assumptions!$D$8))*(INDEX(Assumptions!$D$62:$F$62,1,2)-INDEX(Assumptions!$D$61:$F$61,1,2))</f>
        <v>71250</v>
      </c>
      <c r="G65" s="13">
        <f>F65+'Acquisition Schedule'!I$20*(INDEX(Assumptions!$D$59:$F$59,1,2)*(1-Assumptions!$D$8))*INDEX(Assumptions!$D$60:$F$60,1,2)+'Acquisition Schedule'!H$20*(INDEX(Assumptions!$D$59:$F$59,1,2)*(1-Assumptions!$D$8))*(INDEX(Assumptions!$D$61:$F$61,1,2)-INDEX(Assumptions!$D$60:$F$60,1,2))+'Acquisition Schedule'!G$20*(INDEX(Assumptions!$D$59:$F$59,1,2)*(1-Assumptions!$D$8))*(INDEX(Assumptions!$D$62:$F$62,1,2)-INDEX(Assumptions!$D$61:$F$61,1,2))</f>
        <v>115000</v>
      </c>
      <c r="H65" s="13">
        <f>G65+'Acquisition Schedule'!J$20*(INDEX(Assumptions!$D$59:$F$59,1,2)*(1-Assumptions!$D$8))*INDEX(Assumptions!$D$60:$F$60,1,2)+'Acquisition Schedule'!I$20*(INDEX(Assumptions!$D$59:$F$59,1,2)*(1-Assumptions!$D$8))*(INDEX(Assumptions!$D$61:$F$61,1,2)-INDEX(Assumptions!$D$60:$F$60,1,2))+'Acquisition Schedule'!H$20*(INDEX(Assumptions!$D$59:$F$59,1,2)*(1-Assumptions!$D$8))*(INDEX(Assumptions!$D$62:$F$62,1,2)-INDEX(Assumptions!$D$61:$F$61,1,2))</f>
        <v>183750</v>
      </c>
      <c r="I65" s="13">
        <f>H65+'Acquisition Schedule'!K$20*(INDEX(Assumptions!$D$59:$F$59,1,2)*(1-Assumptions!$D$8))*INDEX(Assumptions!$D$60:$F$60,1,2)+'Acquisition Schedule'!J$20*(INDEX(Assumptions!$D$59:$F$59,1,2)*(1-Assumptions!$D$8))*(INDEX(Assumptions!$D$61:$F$61,1,2)-INDEX(Assumptions!$D$60:$F$60,1,2))+'Acquisition Schedule'!I$20*(INDEX(Assumptions!$D$59:$F$59,1,2)*(1-Assumptions!$D$8))*(INDEX(Assumptions!$D$62:$F$62,1,2)-INDEX(Assumptions!$D$61:$F$61,1,2))</f>
        <v>246250</v>
      </c>
      <c r="J65" s="13">
        <f>I65+'Acquisition Schedule'!L$20*(INDEX(Assumptions!$D$59:$F$59,1,2)*(1-Assumptions!$D$8))*INDEX(Assumptions!$D$60:$F$60,1,2)+'Acquisition Schedule'!K$20*(INDEX(Assumptions!$D$59:$F$59,1,2)*(1-Assumptions!$D$8))*(INDEX(Assumptions!$D$61:$F$61,1,2)-INDEX(Assumptions!$D$60:$F$60,1,2))+'Acquisition Schedule'!J$20*(INDEX(Assumptions!$D$59:$F$59,1,2)*(1-Assumptions!$D$8))*(INDEX(Assumptions!$D$62:$F$62,1,2)-INDEX(Assumptions!$D$61:$F$61,1,2))</f>
        <v>283750</v>
      </c>
      <c r="K65" s="13">
        <f>J65+'Acquisition Schedule'!M$20*(INDEX(Assumptions!$D$59:$F$59,1,2)*(1-Assumptions!$D$8))*INDEX(Assumptions!$D$60:$F$60,1,2)+'Acquisition Schedule'!L$20*(INDEX(Assumptions!$D$59:$F$59,1,2)*(1-Assumptions!$D$8))*(INDEX(Assumptions!$D$61:$F$61,1,2)-INDEX(Assumptions!$D$60:$F$60,1,2))+'Acquisition Schedule'!K$20*(INDEX(Assumptions!$D$59:$F$59,1,2)*(1-Assumptions!$D$8))*(INDEX(Assumptions!$D$62:$F$62,1,2)-INDEX(Assumptions!$D$61:$F$61,1,2))</f>
        <v>321250</v>
      </c>
      <c r="L65" s="13">
        <f>K65+'Acquisition Schedule'!N$20*(INDEX(Assumptions!$D$59:$F$59,1,2)*(1-Assumptions!$D$8))*INDEX(Assumptions!$D$60:$F$60,1,2)+'Acquisition Schedule'!M$20*(INDEX(Assumptions!$D$59:$F$59,1,2)*(1-Assumptions!$D$8))*(INDEX(Assumptions!$D$61:$F$61,1,2)-INDEX(Assumptions!$D$60:$F$60,1,2))+'Acquisition Schedule'!L$20*(INDEX(Assumptions!$D$59:$F$59,1,2)*(1-Assumptions!$D$8))*(INDEX(Assumptions!$D$62:$F$62,1,2)-INDEX(Assumptions!$D$61:$F$61,1,2))</f>
        <v>355000</v>
      </c>
      <c r="M65" s="13">
        <f>L65+'Acquisition Schedule'!O$20*(INDEX(Assumptions!$D$59:$F$59,1,2)*(1-Assumptions!$D$8))*INDEX(Assumptions!$D$60:$F$60,1,2)+'Acquisition Schedule'!N$20*(INDEX(Assumptions!$D$59:$F$59,1,2)*(1-Assumptions!$D$8))*(INDEX(Assumptions!$D$61:$F$61,1,2)-INDEX(Assumptions!$D$60:$F$60,1,2))+'Acquisition Schedule'!M$20*(INDEX(Assumptions!$D$59:$F$59,1,2)*(1-Assumptions!$D$8))*(INDEX(Assumptions!$D$62:$F$62,1,2)-INDEX(Assumptions!$D$61:$F$61,1,2))</f>
        <v>370000</v>
      </c>
      <c r="N65" s="13">
        <f>M65+'Acquisition Schedule'!P$20*(INDEX(Assumptions!$D$59:$F$59,1,2)*(1-Assumptions!$D$8))*INDEX(Assumptions!$D$60:$F$60,1,2)+'Acquisition Schedule'!O$20*(INDEX(Assumptions!$D$59:$F$59,1,2)*(1-Assumptions!$D$8))*(INDEX(Assumptions!$D$61:$F$61,1,2)-INDEX(Assumptions!$D$60:$F$60,1,2))+'Acquisition Schedule'!N$20*(INDEX(Assumptions!$D$59:$F$59,1,2)*(1-Assumptions!$D$8))*(INDEX(Assumptions!$D$62:$F$62,1,2)-INDEX(Assumptions!$D$61:$F$61,1,2))</f>
        <v>370000</v>
      </c>
    </row>
    <row r="66" spans="1:14" ht="15" customHeight="1" x14ac:dyDescent="0.3">
      <c r="A66" s="6" t="s">
        <v>1204</v>
      </c>
      <c r="B66" s="6" t="s">
        <v>210</v>
      </c>
      <c r="C66" s="6" t="s">
        <v>222</v>
      </c>
      <c r="D66" s="63">
        <f>0</f>
        <v>0</v>
      </c>
      <c r="E66" s="13">
        <f>E50*MIN(1,1/INDEX(Assumptions!$D$77:$F$77,1,2))*(INDEX(Assumptions!$D$76:$F$76,1,2)*(1-Assumptions!$D$8))</f>
        <v>1346.3541666666667</v>
      </c>
      <c r="F66" s="13">
        <f>F50*MIN(1,2/INDEX(Assumptions!$D$77:$F$77,1,2))*(INDEX(Assumptions!$D$76:$F$76,1,2)*(1-Assumptions!$D$8))</f>
        <v>4236.9324999999999</v>
      </c>
      <c r="G66" s="13">
        <f>G50*MIN(1,3/INDEX(Assumptions!$D$77:$F$77,1,2))*(INDEX(Assumptions!$D$76:$F$76,1,2)*(1-Assumptions!$D$8))</f>
        <v>10596.944099075003</v>
      </c>
      <c r="H66" s="13">
        <f>H50*MIN(1,4/INDEX(Assumptions!$D$77:$F$77,1,2))*(INDEX(Assumptions!$D$76:$F$76,1,2)*(1-Assumptions!$D$8))</f>
        <v>14931.201574653356</v>
      </c>
      <c r="I66" s="13">
        <f>I50*MIN(1,5/INDEX(Assumptions!$D$77:$F$77,1,2))*(INDEX(Assumptions!$D$76:$F$76,1,2)*(1-Assumptions!$D$8))</f>
        <v>17667.320864590503</v>
      </c>
      <c r="J66" s="13">
        <f>J50*MIN(1,6/INDEX(Assumptions!$D$77:$F$77,1,2))*(INDEX(Assumptions!$D$76:$F$76,1,2)*(1-Assumptions!$D$8))</f>
        <v>20000</v>
      </c>
      <c r="K66" s="13">
        <f>K50*MIN(1,7/INDEX(Assumptions!$D$77:$F$77,1,2))*(INDEX(Assumptions!$D$76:$F$76,1,2)*(1-Assumptions!$D$8))</f>
        <v>20000</v>
      </c>
      <c r="L66" s="13">
        <f>L50*MIN(1,8/INDEX(Assumptions!$D$77:$F$77,1,2))*(INDEX(Assumptions!$D$76:$F$76,1,2)*(1-Assumptions!$D$8))</f>
        <v>20000</v>
      </c>
      <c r="M66" s="13">
        <f>M50*MIN(1,9/INDEX(Assumptions!$D$77:$F$77,1,2))*(INDEX(Assumptions!$D$76:$F$76,1,2)*(1-Assumptions!$D$8))</f>
        <v>20000</v>
      </c>
      <c r="N66" s="13">
        <f>N50*MIN(1,10/INDEX(Assumptions!$D$77:$F$77,1,2))*(INDEX(Assumptions!$D$76:$F$76,1,2)*(1-Assumptions!$D$8))</f>
        <v>20000</v>
      </c>
    </row>
    <row r="67" spans="1:14" ht="15" customHeight="1" x14ac:dyDescent="0.3">
      <c r="A67" s="6" t="s">
        <v>1290</v>
      </c>
      <c r="B67" s="6" t="s">
        <v>218</v>
      </c>
      <c r="C67" s="6" t="s">
        <v>222</v>
      </c>
      <c r="D67" s="63">
        <f>0</f>
        <v>0</v>
      </c>
      <c r="E67" s="13">
        <f>E66*(INDEX(Assumptions!$D$68:$F$68,1,2)*(1-Assumptions!$D$8))*(1-(INDEX(Assumptions!$D$72:$F$72,1,2)*(1-Assumptions!$D$8)))</f>
        <v>32312.5</v>
      </c>
      <c r="F67" s="13">
        <f>F66*(INDEX(Assumptions!$D$68:$F$68,1,2)*(1-Assumptions!$D$8))*(1-(INDEX(Assumptions!$D$72:$F$72,1,2)*(1-Assumptions!$D$8)))</f>
        <v>101686.37999999999</v>
      </c>
      <c r="G67" s="13">
        <f>G66*(INDEX(Assumptions!$D$68:$F$68,1,2)*(1-Assumptions!$D$8))*(1-(INDEX(Assumptions!$D$72:$F$72,1,2)*(1-Assumptions!$D$8)))</f>
        <v>254326.65837780005</v>
      </c>
      <c r="H67" s="13">
        <f>H66*(INDEX(Assumptions!$D$68:$F$68,1,2)*(1-Assumptions!$D$8))*(1-(INDEX(Assumptions!$D$72:$F$72,1,2)*(1-Assumptions!$D$8)))</f>
        <v>358348.83779168053</v>
      </c>
      <c r="I67" s="13">
        <f>I66*(INDEX(Assumptions!$D$68:$F$68,1,2)*(1-Assumptions!$D$8))*(1-(INDEX(Assumptions!$D$72:$F$72,1,2)*(1-Assumptions!$D$8)))</f>
        <v>424015.70075017202</v>
      </c>
      <c r="J67" s="13">
        <f>J66*(INDEX(Assumptions!$D$68:$F$68,1,2)*(1-Assumptions!$D$8))*(1-(INDEX(Assumptions!$D$72:$F$72,1,2)*(1-Assumptions!$D$8)))</f>
        <v>480000</v>
      </c>
      <c r="K67" s="13">
        <f>K66*(INDEX(Assumptions!$D$68:$F$68,1,2)*(1-Assumptions!$D$8))*(1-(INDEX(Assumptions!$D$72:$F$72,1,2)*(1-Assumptions!$D$8)))</f>
        <v>480000</v>
      </c>
      <c r="L67" s="13">
        <f>L66*(INDEX(Assumptions!$D$68:$F$68,1,2)*(1-Assumptions!$D$8))*(1-(INDEX(Assumptions!$D$72:$F$72,1,2)*(1-Assumptions!$D$8)))</f>
        <v>480000</v>
      </c>
      <c r="M67" s="13">
        <f>M66*(INDEX(Assumptions!$D$68:$F$68,1,2)*(1-Assumptions!$D$8))*(1-(INDEX(Assumptions!$D$72:$F$72,1,2)*(1-Assumptions!$D$8)))</f>
        <v>480000</v>
      </c>
      <c r="N67" s="13">
        <f>N66*(INDEX(Assumptions!$D$68:$F$68,1,2)*(1-Assumptions!$D$8))*(1-(INDEX(Assumptions!$D$72:$F$72,1,2)*(1-Assumptions!$D$8)))</f>
        <v>480000</v>
      </c>
    </row>
    <row r="68" spans="1:14" ht="15" customHeight="1" x14ac:dyDescent="0.3">
      <c r="A68" s="6" t="s">
        <v>1291</v>
      </c>
      <c r="B68" s="6" t="s">
        <v>218</v>
      </c>
      <c r="C68" s="6" t="s">
        <v>222</v>
      </c>
      <c r="D68" s="13">
        <f>-D67*INDEX(Assumptions!$D$73:$F$73,1,2)</f>
        <v>0</v>
      </c>
      <c r="E68" s="13">
        <f>-E67*INDEX(Assumptions!$D$73:$F$73,1,2)</f>
        <v>-9693.75</v>
      </c>
      <c r="F68" s="13">
        <f>-F67*INDEX(Assumptions!$D$73:$F$73,1,2)</f>
        <v>-30505.913999999997</v>
      </c>
      <c r="G68" s="13">
        <f>-G67*INDEX(Assumptions!$D$73:$F$73,1,2)</f>
        <v>-76297.997513340015</v>
      </c>
      <c r="H68" s="13">
        <f>-H67*INDEX(Assumptions!$D$73:$F$73,1,2)</f>
        <v>-107504.65133750415</v>
      </c>
      <c r="I68" s="13">
        <f>-I67*INDEX(Assumptions!$D$73:$F$73,1,2)</f>
        <v>-127204.7102250516</v>
      </c>
      <c r="J68" s="13">
        <f>-J67*INDEX(Assumptions!$D$73:$F$73,1,2)</f>
        <v>-144000</v>
      </c>
      <c r="K68" s="13">
        <f>-K67*INDEX(Assumptions!$D$73:$F$73,1,2)</f>
        <v>-144000</v>
      </c>
      <c r="L68" s="13">
        <f>-L67*INDEX(Assumptions!$D$73:$F$73,1,2)</f>
        <v>-144000</v>
      </c>
      <c r="M68" s="13">
        <f>-M67*INDEX(Assumptions!$D$73:$F$73,1,2)</f>
        <v>-144000</v>
      </c>
      <c r="N68" s="13">
        <f>-N67*INDEX(Assumptions!$D$73:$F$73,1,2)</f>
        <v>-144000</v>
      </c>
    </row>
    <row r="69" spans="1:14" ht="15" customHeight="1" x14ac:dyDescent="0.3">
      <c r="A69" s="6" t="s">
        <v>1292</v>
      </c>
      <c r="B69" s="6" t="s">
        <v>218</v>
      </c>
      <c r="C69" s="6" t="s">
        <v>222</v>
      </c>
      <c r="D69" s="63">
        <f>0</f>
        <v>0</v>
      </c>
      <c r="E69" s="13">
        <f>E66*(INDEX(Assumptions!$D$69:$F$69,1,2)*(1-Assumptions!$D$8))*(1-(INDEX(Assumptions!$D$72:$F$72,1,2)*(1-Assumptions!$D$8)))</f>
        <v>48468.75</v>
      </c>
      <c r="F69" s="13">
        <f>F66*(INDEX(Assumptions!$D$69:$F$69,1,2)*(1-Assumptions!$D$8))*(1-(INDEX(Assumptions!$D$72:$F$72,1,2)*(1-Assumptions!$D$8)))</f>
        <v>152529.56999999998</v>
      </c>
      <c r="G69" s="13">
        <f>G66*(INDEX(Assumptions!$D$69:$F$69,1,2)*(1-Assumptions!$D$8))*(1-(INDEX(Assumptions!$D$72:$F$72,1,2)*(1-Assumptions!$D$8)))</f>
        <v>381489.98756670003</v>
      </c>
      <c r="H69" s="13">
        <f>H66*(INDEX(Assumptions!$D$69:$F$69,1,2)*(1-Assumptions!$D$8))*(1-(INDEX(Assumptions!$D$72:$F$72,1,2)*(1-Assumptions!$D$8)))</f>
        <v>537523.25668752077</v>
      </c>
      <c r="I69" s="13">
        <f>I66*(INDEX(Assumptions!$D$69:$F$69,1,2)*(1-Assumptions!$D$8))*(1-(INDEX(Assumptions!$D$72:$F$72,1,2)*(1-Assumptions!$D$8)))</f>
        <v>636023.55112525809</v>
      </c>
      <c r="J69" s="13">
        <f>J66*(INDEX(Assumptions!$D$69:$F$69,1,2)*(1-Assumptions!$D$8))*(1-(INDEX(Assumptions!$D$72:$F$72,1,2)*(1-Assumptions!$D$8)))</f>
        <v>720000</v>
      </c>
      <c r="K69" s="13">
        <f>K66*(INDEX(Assumptions!$D$69:$F$69,1,2)*(1-Assumptions!$D$8))*(1-(INDEX(Assumptions!$D$72:$F$72,1,2)*(1-Assumptions!$D$8)))</f>
        <v>720000</v>
      </c>
      <c r="L69" s="13">
        <f>L66*(INDEX(Assumptions!$D$69:$F$69,1,2)*(1-Assumptions!$D$8))*(1-(INDEX(Assumptions!$D$72:$F$72,1,2)*(1-Assumptions!$D$8)))</f>
        <v>720000</v>
      </c>
      <c r="M69" s="13">
        <f>M66*(INDEX(Assumptions!$D$69:$F$69,1,2)*(1-Assumptions!$D$8))*(1-(INDEX(Assumptions!$D$72:$F$72,1,2)*(1-Assumptions!$D$8)))</f>
        <v>720000</v>
      </c>
      <c r="N69" s="13">
        <f>N66*(INDEX(Assumptions!$D$69:$F$69,1,2)*(1-Assumptions!$D$8))*(1-(INDEX(Assumptions!$D$72:$F$72,1,2)*(1-Assumptions!$D$8)))</f>
        <v>720000</v>
      </c>
    </row>
    <row r="70" spans="1:14" ht="15" customHeight="1" x14ac:dyDescent="0.3">
      <c r="A70" s="6" t="s">
        <v>1293</v>
      </c>
      <c r="B70" s="6" t="s">
        <v>218</v>
      </c>
      <c r="C70" s="6" t="s">
        <v>326</v>
      </c>
      <c r="D70" s="13">
        <f>-D66*INDEX(Assumptions!$D$74:$F$74,1,2)</f>
        <v>0</v>
      </c>
      <c r="E70" s="13">
        <f>-E66*INDEX(Assumptions!$D$74:$F$74,1,2)</f>
        <v>-32370.232860110802</v>
      </c>
      <c r="F70" s="13">
        <f>-F66*INDEX(Assumptions!$D$74:$F$74,1,2)</f>
        <v>-101868.06342132963</v>
      </c>
      <c r="G70" s="13">
        <f>-G66*INDEX(Assumptions!$D$74:$F$74,1,2)</f>
        <v>-254781.06473418145</v>
      </c>
      <c r="H70" s="13">
        <f>-H66*INDEX(Assumptions!$D$74:$F$74,1,2)</f>
        <v>-358989.10095061577</v>
      </c>
      <c r="I70" s="13">
        <f>-I66*INDEX(Assumptions!$D$74:$F$74,1,2)</f>
        <v>-424773.29112962872</v>
      </c>
      <c r="J70" s="13">
        <f>-J66*INDEX(Assumptions!$D$74:$F$74,1,2)</f>
        <v>-480857.61772853183</v>
      </c>
      <c r="K70" s="13">
        <f>-K66*INDEX(Assumptions!$D$74:$F$74,1,2)</f>
        <v>-480857.61772853183</v>
      </c>
      <c r="L70" s="13">
        <f>-L66*INDEX(Assumptions!$D$74:$F$74,1,2)</f>
        <v>-480857.61772853183</v>
      </c>
      <c r="M70" s="13">
        <f>-M66*INDEX(Assumptions!$D$74:$F$74,1,2)</f>
        <v>-480857.61772853183</v>
      </c>
      <c r="N70" s="13">
        <f>-N66*INDEX(Assumptions!$D$74:$F$74,1,2)</f>
        <v>-480857.61772853183</v>
      </c>
    </row>
    <row r="71" spans="1:14" ht="15" customHeight="1" x14ac:dyDescent="0.3">
      <c r="A71" s="6" t="s">
        <v>1294</v>
      </c>
      <c r="B71" s="6" t="s">
        <v>218</v>
      </c>
      <c r="C71" s="6" t="s">
        <v>222</v>
      </c>
      <c r="D71" s="63">
        <f>0</f>
        <v>0</v>
      </c>
      <c r="E71" s="13">
        <f>E66*(INDEX(Assumptions!$D$70:$F$70,1,2)*(1-Assumptions!$D$8))</f>
        <v>13463.541666666668</v>
      </c>
      <c r="F71" s="13">
        <f>F66*(INDEX(Assumptions!$D$70:$F$70,1,2)*(1-Assumptions!$D$8))</f>
        <v>42369.324999999997</v>
      </c>
      <c r="G71" s="13">
        <f>G66*(INDEX(Assumptions!$D$70:$F$70,1,2)*(1-Assumptions!$D$8))</f>
        <v>105969.44099075002</v>
      </c>
      <c r="H71" s="13">
        <f>H66*(INDEX(Assumptions!$D$70:$F$70,1,2)*(1-Assumptions!$D$8))</f>
        <v>149312.01574653355</v>
      </c>
      <c r="I71" s="13">
        <f>I66*(INDEX(Assumptions!$D$70:$F$70,1,2)*(1-Assumptions!$D$8))</f>
        <v>176673.20864590502</v>
      </c>
      <c r="J71" s="13">
        <f>J66*(INDEX(Assumptions!$D$70:$F$70,1,2)*(1-Assumptions!$D$8))</f>
        <v>200000</v>
      </c>
      <c r="K71" s="13">
        <f>K66*(INDEX(Assumptions!$D$70:$F$70,1,2)*(1-Assumptions!$D$8))</f>
        <v>200000</v>
      </c>
      <c r="L71" s="13">
        <f>L66*(INDEX(Assumptions!$D$70:$F$70,1,2)*(1-Assumptions!$D$8))</f>
        <v>200000</v>
      </c>
      <c r="M71" s="13">
        <f>M66*(INDEX(Assumptions!$D$70:$F$70,1,2)*(1-Assumptions!$D$8))</f>
        <v>200000</v>
      </c>
      <c r="N71" s="13">
        <f>N66*(INDEX(Assumptions!$D$70:$F$70,1,2)*(1-Assumptions!$D$8))</f>
        <v>200000</v>
      </c>
    </row>
    <row r="72" spans="1:14" ht="15" customHeight="1" x14ac:dyDescent="0.3">
      <c r="A72" s="6" t="s">
        <v>1295</v>
      </c>
      <c r="B72" s="6" t="s">
        <v>218</v>
      </c>
      <c r="C72" s="6" t="s">
        <v>222</v>
      </c>
      <c r="D72" s="13">
        <f>-D71*INDEX(Assumptions!$D$75:$F$75,1,2)</f>
        <v>0</v>
      </c>
      <c r="E72" s="13">
        <f>-E71*INDEX(Assumptions!$D$75:$F$75,1,2)</f>
        <v>-2692.7083333333339</v>
      </c>
      <c r="F72" s="13">
        <f>-F71*INDEX(Assumptions!$D$75:$F$75,1,2)</f>
        <v>-8473.8649999999998</v>
      </c>
      <c r="G72" s="13">
        <f>-G71*INDEX(Assumptions!$D$75:$F$75,1,2)</f>
        <v>-21193.888198150005</v>
      </c>
      <c r="H72" s="13">
        <f>-H71*INDEX(Assumptions!$D$75:$F$75,1,2)</f>
        <v>-29862.403149306712</v>
      </c>
      <c r="I72" s="13">
        <f>-I71*INDEX(Assumptions!$D$75:$F$75,1,2)</f>
        <v>-35334.641729181007</v>
      </c>
      <c r="J72" s="13">
        <f>-J71*INDEX(Assumptions!$D$75:$F$75,1,2)</f>
        <v>-40000</v>
      </c>
      <c r="K72" s="13">
        <f>-K71*INDEX(Assumptions!$D$75:$F$75,1,2)</f>
        <v>-40000</v>
      </c>
      <c r="L72" s="13">
        <f>-L71*INDEX(Assumptions!$D$75:$F$75,1,2)</f>
        <v>-40000</v>
      </c>
      <c r="M72" s="13">
        <f>-M71*INDEX(Assumptions!$D$75:$F$75,1,2)</f>
        <v>-40000</v>
      </c>
      <c r="N72" s="13">
        <f>-N71*INDEX(Assumptions!$D$75:$F$75,1,2)</f>
        <v>-40000</v>
      </c>
    </row>
    <row r="73" spans="1:14" ht="15" customHeight="1" x14ac:dyDescent="0.3">
      <c r="A73" s="6" t="s">
        <v>253</v>
      </c>
      <c r="B73" s="6" t="s">
        <v>218</v>
      </c>
      <c r="C73" s="6" t="s">
        <v>222</v>
      </c>
      <c r="D73" s="63">
        <f>0</f>
        <v>0</v>
      </c>
      <c r="E73" s="13">
        <f>-MAX(0,E66-D66)*(INDEX(Assumptions!$D$78:$F$78,1,2)*(1-Assumptions!$D$8))</f>
        <v>-16156.25</v>
      </c>
      <c r="F73" s="13">
        <f>-MAX(0,F66-E66)*(INDEX(Assumptions!$D$78:$F$78,1,2)*(1-Assumptions!$D$8))</f>
        <v>-34686.939999999995</v>
      </c>
      <c r="G73" s="13">
        <f>-MAX(0,G66-F66)*(INDEX(Assumptions!$D$78:$F$78,1,2)*(1-Assumptions!$D$8))</f>
        <v>-76320.139188900037</v>
      </c>
      <c r="H73" s="13">
        <f>-MAX(0,H66-G66)*(INDEX(Assumptions!$D$78:$F$78,1,2)*(1-Assumptions!$D$8))</f>
        <v>-52011.089706940242</v>
      </c>
      <c r="I73" s="13">
        <f>-MAX(0,I66-H66)*(INDEX(Assumptions!$D$78:$F$78,1,2)*(1-Assumptions!$D$8))</f>
        <v>-32833.431479245766</v>
      </c>
      <c r="J73" s="13">
        <f>-MAX(0,J66-I66)*(INDEX(Assumptions!$D$78:$F$78,1,2)*(1-Assumptions!$D$8))</f>
        <v>-27992.14962491396</v>
      </c>
      <c r="K73" s="13">
        <f>-MAX(0,K66-J66)*(INDEX(Assumptions!$D$78:$F$78,1,2)*(1-Assumptions!$D$8))</f>
        <v>0</v>
      </c>
      <c r="L73" s="13">
        <f>-MAX(0,L66-K66)*(INDEX(Assumptions!$D$78:$F$78,1,2)*(1-Assumptions!$D$8))</f>
        <v>0</v>
      </c>
      <c r="M73" s="13">
        <f>-MAX(0,M66-L66)*(INDEX(Assumptions!$D$78:$F$78,1,2)*(1-Assumptions!$D$8))</f>
        <v>0</v>
      </c>
      <c r="N73" s="13">
        <f>-MAX(0,N66-M66)*(INDEX(Assumptions!$D$78:$F$78,1,2)*(1-Assumptions!$D$8))</f>
        <v>0</v>
      </c>
    </row>
    <row r="74" spans="1:14" ht="15" customHeight="1" x14ac:dyDescent="0.3">
      <c r="A74" s="1" t="s">
        <v>291</v>
      </c>
      <c r="B74" s="6" t="s">
        <v>218</v>
      </c>
      <c r="C74" s="6" t="s">
        <v>222</v>
      </c>
      <c r="D74" s="40">
        <f t="shared" ref="D74:N74" si="8">D67+D68+D69+D70+D71+D72+D73+D63</f>
        <v>0</v>
      </c>
      <c r="E74" s="40">
        <f t="shared" si="8"/>
        <v>-310064.14702677744</v>
      </c>
      <c r="F74" s="40">
        <f t="shared" si="8"/>
        <v>-232647.38484632969</v>
      </c>
      <c r="G74" s="40">
        <f t="shared" si="8"/>
        <v>-251203.22046872147</v>
      </c>
      <c r="H74" s="40">
        <f t="shared" si="8"/>
        <v>-459749.31738129631</v>
      </c>
      <c r="I74" s="40">
        <f t="shared" si="8"/>
        <v>-368696.78197831626</v>
      </c>
      <c r="J74" s="40">
        <f t="shared" si="8"/>
        <v>-410077.62364988844</v>
      </c>
      <c r="K74" s="40">
        <f t="shared" si="8"/>
        <v>-415602.30971386773</v>
      </c>
      <c r="L74" s="40">
        <f t="shared" si="8"/>
        <v>-450124.65047342796</v>
      </c>
      <c r="M74" s="40">
        <f t="shared" si="8"/>
        <v>-485682.66145577468</v>
      </c>
      <c r="N74" s="40">
        <f t="shared" si="8"/>
        <v>-522307.41276759212</v>
      </c>
    </row>
    <row r="75" spans="1:14" ht="15" customHeight="1" x14ac:dyDescent="0.3">
      <c r="A75" s="1" t="s">
        <v>1296</v>
      </c>
      <c r="B75" s="6" t="s">
        <v>218</v>
      </c>
      <c r="C75" s="6" t="s">
        <v>222</v>
      </c>
      <c r="D75" s="40">
        <f t="shared" ref="D75:N75" si="9">D56+D58+D59+D60+D61+D62+D64+D65+D74</f>
        <v>-1356363.3356497257</v>
      </c>
      <c r="E75" s="40">
        <f t="shared" si="9"/>
        <v>-1606737.5908894127</v>
      </c>
      <c r="F75" s="40">
        <f t="shared" si="9"/>
        <v>-1293951.451611415</v>
      </c>
      <c r="G75" s="40">
        <f t="shared" si="9"/>
        <v>-1173596.3262808784</v>
      </c>
      <c r="H75" s="40">
        <f t="shared" si="9"/>
        <v>-791287.08888263721</v>
      </c>
      <c r="I75" s="40">
        <f t="shared" si="9"/>
        <v>196470.39386219333</v>
      </c>
      <c r="J75" s="40">
        <f t="shared" si="9"/>
        <v>498387.18876324641</v>
      </c>
      <c r="K75" s="40">
        <f t="shared" si="9"/>
        <v>704249.34839954344</v>
      </c>
      <c r="L75" s="40">
        <f t="shared" si="9"/>
        <v>1427310.2406927133</v>
      </c>
      <c r="M75" s="40">
        <f t="shared" si="9"/>
        <v>1132966.0754784509</v>
      </c>
      <c r="N75" s="40">
        <f t="shared" si="9"/>
        <v>750758.53112110263</v>
      </c>
    </row>
    <row r="76" spans="1:14" ht="15" customHeight="1" x14ac:dyDescent="0.3">
      <c r="A76" s="1" t="s">
        <v>254</v>
      </c>
      <c r="B76" s="6" t="s">
        <v>218</v>
      </c>
      <c r="C76" s="6" t="s">
        <v>211</v>
      </c>
      <c r="D76" s="61">
        <f t="shared" ref="D76:N76" si="10">D55+D75</f>
        <v>-416363.33564972575</v>
      </c>
      <c r="E76" s="61">
        <f t="shared" si="10"/>
        <v>-314237.59088941268</v>
      </c>
      <c r="F76" s="61">
        <f t="shared" si="10"/>
        <v>619888.54838858498</v>
      </c>
      <c r="G76" s="61">
        <f t="shared" si="10"/>
        <v>1893784.4137191218</v>
      </c>
      <c r="H76" s="61">
        <f t="shared" si="10"/>
        <v>3379256.7652573627</v>
      </c>
      <c r="I76" s="61">
        <f t="shared" si="10"/>
        <v>4732208.3449837342</v>
      </c>
      <c r="J76" s="61">
        <f t="shared" si="10"/>
        <v>5366816.9622349702</v>
      </c>
      <c r="K76" s="61">
        <f t="shared" si="10"/>
        <v>5875761.3720322838</v>
      </c>
      <c r="L76" s="61">
        <f t="shared" si="10"/>
        <v>6522430.1942221401</v>
      </c>
      <c r="M76" s="61">
        <f t="shared" si="10"/>
        <v>5774620.3531437591</v>
      </c>
      <c r="N76" s="61">
        <f t="shared" si="10"/>
        <v>4979305.5780741982</v>
      </c>
    </row>
    <row r="77" spans="1:14" ht="15" customHeight="1" x14ac:dyDescent="0.3">
      <c r="A77" s="6" t="s">
        <v>255</v>
      </c>
      <c r="B77" s="6" t="s">
        <v>218</v>
      </c>
      <c r="C77" s="6" t="s">
        <v>211</v>
      </c>
      <c r="D77" s="13">
        <f>-'Org &amp; Capacity'!D$186</f>
        <v>-1446175.214445</v>
      </c>
      <c r="E77" s="13">
        <f>-'Org &amp; Capacity'!E$186</f>
        <v>-1651887.6259450002</v>
      </c>
      <c r="F77" s="13">
        <f>-'Org &amp; Capacity'!F$186</f>
        <v>-1701444.2547233503</v>
      </c>
      <c r="G77" s="13">
        <f>-'Org &amp; Capacity'!G$186</f>
        <v>-1752487.5823650507</v>
      </c>
      <c r="H77" s="13">
        <f>-'Org &amp; Capacity'!H$186</f>
        <v>-1805062.2098360022</v>
      </c>
      <c r="I77" s="13">
        <f>-'Org &amp; Capacity'!I$186</f>
        <v>-1859214.0761310821</v>
      </c>
      <c r="J77" s="13">
        <f>-'Org &amp; Capacity'!J$186</f>
        <v>-1914990.4984150145</v>
      </c>
      <c r="K77" s="13">
        <f>-'Org &amp; Capacity'!K$186</f>
        <v>-1972440.2133674652</v>
      </c>
      <c r="L77" s="13">
        <f>-'Org &amp; Capacity'!L$186</f>
        <v>-2031613.4197684892</v>
      </c>
      <c r="M77" s="13">
        <f>-'Org &amp; Capacity'!M$186</f>
        <v>-2092561.8223615435</v>
      </c>
      <c r="N77" s="13">
        <f>-'Org &amp; Capacity'!N$186</f>
        <v>-2155338.6770323901</v>
      </c>
    </row>
    <row r="78" spans="1:14" ht="15" customHeight="1" x14ac:dyDescent="0.3">
      <c r="A78" s="6" t="s">
        <v>192</v>
      </c>
      <c r="B78" s="6" t="s">
        <v>218</v>
      </c>
      <c r="C78" s="6" t="s">
        <v>222</v>
      </c>
      <c r="D78" s="13">
        <f>-'Org &amp; Capacity'!D$197</f>
        <v>-700000</v>
      </c>
      <c r="E78" s="13">
        <f>-'Org &amp; Capacity'!E$197</f>
        <v>-700000</v>
      </c>
      <c r="F78" s="13">
        <f>-'Org &amp; Capacity'!F$197</f>
        <v>-742000</v>
      </c>
      <c r="G78" s="13">
        <f>-'Org &amp; Capacity'!G$197</f>
        <v>-786520.00000000012</v>
      </c>
      <c r="H78" s="13">
        <f>-'Org &amp; Capacity'!H$197</f>
        <v>-833711.20000000019</v>
      </c>
      <c r="I78" s="13">
        <f>-'Org &amp; Capacity'!I$197</f>
        <v>-883733.87200000021</v>
      </c>
      <c r="J78" s="13">
        <f>-'Org &amp; Capacity'!J$197</f>
        <v>-936757.90432000032</v>
      </c>
      <c r="K78" s="13">
        <f>-'Org &amp; Capacity'!K$197</f>
        <v>-992963.37857920036</v>
      </c>
      <c r="L78" s="13">
        <f>-'Org &amp; Capacity'!L$197</f>
        <v>-1052541.1812939525</v>
      </c>
      <c r="M78" s="13">
        <f>-'Org &amp; Capacity'!M$197</f>
        <v>-1115693.6521715897</v>
      </c>
      <c r="N78" s="13">
        <f>-'Org &amp; Capacity'!N$197</f>
        <v>-1182635.2713018849</v>
      </c>
    </row>
    <row r="79" spans="1:14" ht="15" customHeight="1" x14ac:dyDescent="0.3">
      <c r="A79" s="1" t="s">
        <v>256</v>
      </c>
      <c r="B79" s="6" t="s">
        <v>218</v>
      </c>
      <c r="C79" s="6" t="s">
        <v>211</v>
      </c>
      <c r="D79" s="61">
        <f t="shared" ref="D79:N79" si="11">D76+D77+D78</f>
        <v>-2562538.5500947256</v>
      </c>
      <c r="E79" s="61">
        <f t="shared" si="11"/>
        <v>-2666125.2168344129</v>
      </c>
      <c r="F79" s="61">
        <f t="shared" si="11"/>
        <v>-1823555.7063347653</v>
      </c>
      <c r="G79" s="61">
        <f t="shared" si="11"/>
        <v>-645223.16864592896</v>
      </c>
      <c r="H79" s="61">
        <f t="shared" si="11"/>
        <v>740483.35542136035</v>
      </c>
      <c r="I79" s="61">
        <f t="shared" si="11"/>
        <v>1989260.3968526518</v>
      </c>
      <c r="J79" s="61">
        <f t="shared" si="11"/>
        <v>2515068.5594999553</v>
      </c>
      <c r="K79" s="61">
        <f t="shared" si="11"/>
        <v>2910357.7800856186</v>
      </c>
      <c r="L79" s="61">
        <f t="shared" si="11"/>
        <v>3438275.5931596989</v>
      </c>
      <c r="M79" s="61">
        <f t="shared" si="11"/>
        <v>2566364.8786106259</v>
      </c>
      <c r="N79" s="61">
        <f t="shared" si="11"/>
        <v>1641331.6297399232</v>
      </c>
    </row>
    <row r="80" spans="1:14" ht="15" customHeight="1" x14ac:dyDescent="0.3">
      <c r="A80" s="6" t="s">
        <v>1297</v>
      </c>
      <c r="B80" s="6" t="s">
        <v>218</v>
      </c>
      <c r="C80" s="6" t="s">
        <v>211</v>
      </c>
      <c r="D80" s="13">
        <f>'Revenue &amp; Durability'!D$131+D75+D77+D78</f>
        <v>-3502538.5500947256</v>
      </c>
      <c r="E80" s="13">
        <f>'Revenue &amp; Durability'!E$131+E75+E77+E78</f>
        <v>-2313625.2168344129</v>
      </c>
      <c r="F80" s="13">
        <f>'Revenue &amp; Durability'!F$131+F75+F77+F78</f>
        <v>-1351168.1063347652</v>
      </c>
      <c r="G80" s="13">
        <f>'Revenue &amp; Durability'!G$131+G75+G77+G78</f>
        <v>618418.20305807202</v>
      </c>
      <c r="H80" s="13">
        <f>'Revenue &amp; Durability'!H$131+H75+H77+H78</f>
        <v>1700424.0051704338</v>
      </c>
      <c r="I80" s="13">
        <f>'Revenue &amp; Durability'!I$131+I75+I77+I78</f>
        <v>3459565.1224000715</v>
      </c>
      <c r="J80" s="13">
        <f>'Revenue &amp; Durability'!J$131+J75+J77+J78</f>
        <v>4399138.7860282306</v>
      </c>
      <c r="K80" s="13">
        <f>'Revenue &amp; Durability'!K$131+K75+K77+K78</f>
        <v>4491345.756452878</v>
      </c>
      <c r="L80" s="13">
        <f>'Revenue &amp; Durability'!L$131+L75+L77+L78</f>
        <v>4743155.6396302721</v>
      </c>
      <c r="M80" s="13">
        <f>'Revenue &amp; Durability'!M$131+M75+M77+M78</f>
        <v>4324710.6009453181</v>
      </c>
      <c r="N80" s="13">
        <f>'Revenue &amp; Durability'!N$131+N75+N77+N78</f>
        <v>3812784.5827868273</v>
      </c>
    </row>
    <row r="81" spans="1:14" ht="15" customHeight="1" x14ac:dyDescent="0.3">
      <c r="A81" s="6" t="s">
        <v>1298</v>
      </c>
      <c r="B81" s="6" t="s">
        <v>218</v>
      </c>
      <c r="C81" s="6" t="s">
        <v>222</v>
      </c>
      <c r="D81" s="13">
        <f>-D50*INDEX(Assumptions!$D$89:$F$89,1,2)</f>
        <v>-183593.75</v>
      </c>
      <c r="E81" s="13">
        <f>-E50*INDEX(Assumptions!$D$89:$F$89,1,2)</f>
        <v>-252441.40625</v>
      </c>
      <c r="F81" s="13">
        <f>-F50*INDEX(Assumptions!$D$89:$F$89,1,2)</f>
        <v>-397212.421875</v>
      </c>
      <c r="G81" s="13">
        <f>-G50*INDEX(Assumptions!$D$89:$F$89,1,2)</f>
        <v>-662309.00619218766</v>
      </c>
      <c r="H81" s="13">
        <f>-H50*INDEX(Assumptions!$D$89:$F$89,1,2)</f>
        <v>-933200.09841583471</v>
      </c>
      <c r="I81" s="13">
        <f>-I50*INDEX(Assumptions!$D$89:$F$89,1,2)</f>
        <v>-1104207.5540369065</v>
      </c>
      <c r="J81" s="13">
        <f>-J50*INDEX(Assumptions!$D$89:$F$89,1,2)</f>
        <v>-1250000</v>
      </c>
      <c r="K81" s="13">
        <f>-K50*INDEX(Assumptions!$D$89:$F$89,1,2)</f>
        <v>-1250000</v>
      </c>
      <c r="L81" s="13">
        <f>-L50*INDEX(Assumptions!$D$89:$F$89,1,2)</f>
        <v>-1250000</v>
      </c>
      <c r="M81" s="13">
        <f>-M50*INDEX(Assumptions!$D$89:$F$89,1,2)</f>
        <v>-1250000</v>
      </c>
      <c r="N81" s="13">
        <f>-N50*INDEX(Assumptions!$D$89:$F$89,1,2)</f>
        <v>-1250000</v>
      </c>
    </row>
    <row r="82" spans="1:14" ht="15" customHeight="1" x14ac:dyDescent="0.3">
      <c r="A82" s="6" t="s">
        <v>1299</v>
      </c>
      <c r="B82" s="6" t="s">
        <v>218</v>
      </c>
      <c r="C82" s="6" t="s">
        <v>222</v>
      </c>
      <c r="D82" s="13">
        <f>D50*INDEX(Assumptions!$D$90:$F$90,1,2)</f>
        <v>161562.5</v>
      </c>
      <c r="E82" s="13">
        <f>E50*INDEX(Assumptions!$D$90:$F$90,1,2)</f>
        <v>222148.4375</v>
      </c>
      <c r="F82" s="13">
        <f>F50*INDEX(Assumptions!$D$90:$F$90,1,2)</f>
        <v>349546.93125000002</v>
      </c>
      <c r="G82" s="13">
        <f>G50*INDEX(Assumptions!$D$90:$F$90,1,2)</f>
        <v>582831.92544912512</v>
      </c>
      <c r="H82" s="13">
        <f>H50*INDEX(Assumptions!$D$90:$F$90,1,2)</f>
        <v>821216.08660593454</v>
      </c>
      <c r="I82" s="13">
        <f>I50*INDEX(Assumptions!$D$90:$F$90,1,2)</f>
        <v>971702.64755247766</v>
      </c>
      <c r="J82" s="13">
        <f>J50*INDEX(Assumptions!$D$90:$F$90,1,2)</f>
        <v>1100000</v>
      </c>
      <c r="K82" s="13">
        <f>K50*INDEX(Assumptions!$D$90:$F$90,1,2)</f>
        <v>1100000</v>
      </c>
      <c r="L82" s="13">
        <f>L50*INDEX(Assumptions!$D$90:$F$90,1,2)</f>
        <v>1100000</v>
      </c>
      <c r="M82" s="13">
        <f>M50*INDEX(Assumptions!$D$90:$F$90,1,2)</f>
        <v>1100000</v>
      </c>
      <c r="N82" s="13">
        <f>N50*INDEX(Assumptions!$D$90:$F$90,1,2)</f>
        <v>1100000</v>
      </c>
    </row>
    <row r="83" spans="1:14" ht="15" customHeight="1" x14ac:dyDescent="0.3">
      <c r="A83" s="6" t="s">
        <v>1300</v>
      </c>
      <c r="B83" s="6" t="s">
        <v>218</v>
      </c>
      <c r="C83" s="6" t="s">
        <v>211</v>
      </c>
      <c r="D83" s="63">
        <f>-D82</f>
        <v>-161562.5</v>
      </c>
      <c r="E83" s="63">
        <f t="shared" ref="E83:N83" si="12">-(E82-D82)</f>
        <v>-60585.9375</v>
      </c>
      <c r="F83" s="63">
        <f t="shared" si="12"/>
        <v>-127398.49375000002</v>
      </c>
      <c r="G83" s="63">
        <f t="shared" si="12"/>
        <v>-233284.9941991251</v>
      </c>
      <c r="H83" s="63">
        <f t="shared" si="12"/>
        <v>-238384.16115680942</v>
      </c>
      <c r="I83" s="63">
        <f t="shared" si="12"/>
        <v>-150486.56094654312</v>
      </c>
      <c r="J83" s="63">
        <f t="shared" si="12"/>
        <v>-128297.35244752234</v>
      </c>
      <c r="K83" s="63">
        <f t="shared" si="12"/>
        <v>0</v>
      </c>
      <c r="L83" s="63">
        <f t="shared" si="12"/>
        <v>0</v>
      </c>
      <c r="M83" s="63">
        <f t="shared" si="12"/>
        <v>0</v>
      </c>
      <c r="N83" s="63">
        <f t="shared" si="12"/>
        <v>0</v>
      </c>
    </row>
    <row r="84" spans="1:14" ht="15" customHeight="1" x14ac:dyDescent="0.3">
      <c r="A84" s="6" t="s">
        <v>84</v>
      </c>
      <c r="B84" s="6" t="s">
        <v>219</v>
      </c>
      <c r="C84" s="6" t="s">
        <v>211</v>
      </c>
      <c r="D84" s="13">
        <f>'Org &amp; Capacity'!D$198</f>
        <v>19</v>
      </c>
      <c r="E84" s="13">
        <f>'Org &amp; Capacity'!E$198</f>
        <v>27.407813000000001</v>
      </c>
      <c r="F84" s="13">
        <f>'Org &amp; Capacity'!F$198</f>
        <v>31.871079999999999</v>
      </c>
      <c r="G84" s="13">
        <f>'Org &amp; Capacity'!G$198</f>
        <v>43.719389</v>
      </c>
      <c r="H84" s="13">
        <f>'Org &amp; Capacity'!H$198</f>
        <v>57.586241000000001</v>
      </c>
      <c r="I84" s="13">
        <f>'Org &amp; Capacity'!I$198</f>
        <v>63.133465000000001</v>
      </c>
      <c r="J84" s="13">
        <f>'Org &amp; Capacity'!J$198</f>
        <v>68.599999999999994</v>
      </c>
      <c r="K84" s="13">
        <f>'Org &amp; Capacity'!K$198</f>
        <v>68.599999999999994</v>
      </c>
      <c r="L84" s="13">
        <f>'Org &amp; Capacity'!L$198</f>
        <v>68.599999999999994</v>
      </c>
      <c r="M84" s="13">
        <f>'Org &amp; Capacity'!M$198</f>
        <v>68.599999999999994</v>
      </c>
      <c r="N84" s="13">
        <f>'Org &amp; Capacity'!N$198</f>
        <v>68.599999999999994</v>
      </c>
    </row>
    <row r="85" spans="1:14" ht="15" customHeight="1" x14ac:dyDescent="0.3">
      <c r="A85" s="6" t="s">
        <v>85</v>
      </c>
      <c r="B85" s="6" t="s">
        <v>344</v>
      </c>
      <c r="C85" s="6" t="s">
        <v>211</v>
      </c>
      <c r="D85" s="13">
        <f>IF(D50=0,0,('Org &amp; Capacity'!D$184+'Org &amp; Capacity'!D$186+'Org &amp; Capacity'!D$189+'Org &amp; Capacity'!D$192)/D50)</f>
        <v>407.65248264782974</v>
      </c>
      <c r="E85" s="13">
        <f>IF(E50=0,0,('Org &amp; Capacity'!E$184+'Org &amp; Capacity'!E$186+'Org &amp; Capacity'!E$189+'Org &amp; Capacity'!E$192)/E50)</f>
        <v>437.90121867445725</v>
      </c>
      <c r="F85" s="13">
        <f>IF(F50=0,0,('Org &amp; Capacity'!F$184+'Org &amp; Capacity'!F$186+'Org &amp; Capacity'!F$189+'Org &amp; Capacity'!F$192)/F50)</f>
        <v>321.30165499009485</v>
      </c>
      <c r="G85" s="13">
        <f>IF(G50=0,0,('Org &amp; Capacity'!G$184+'Org &amp; Capacity'!G$186+'Org &amp; Capacity'!G$189+'Org &amp; Capacity'!G$192)/G50)</f>
        <v>257.9710706063164</v>
      </c>
      <c r="H85" s="13">
        <f>IF(H50=0,0,('Org &amp; Capacity'!H$184+'Org &amp; Capacity'!H$186+'Org &amp; Capacity'!H$189+'Org &amp; Capacity'!H$192)/H50)</f>
        <v>237.33381649427724</v>
      </c>
      <c r="I85" s="13">
        <f>IF(I50=0,0,('Org &amp; Capacity'!I$184+'Org &amp; Capacity'!I$186+'Org &amp; Capacity'!I$189+'Org &amp; Capacity'!I$192)/I50)</f>
        <v>224.14802282930293</v>
      </c>
      <c r="J85" s="13">
        <f>IF(J50=0,0,('Org &amp; Capacity'!J$184+'Org &amp; Capacity'!J$186+'Org &amp; Capacity'!J$189+'Org &amp; Capacity'!J$192)/J50)</f>
        <v>218.40034113888458</v>
      </c>
      <c r="K85" s="13">
        <f>IF(K50=0,0,('Org &amp; Capacity'!K$184+'Org &amp; Capacity'!K$186+'Org &amp; Capacity'!K$189+'Org &amp; Capacity'!K$192)/K50)</f>
        <v>224.9523513730511</v>
      </c>
      <c r="L85" s="13">
        <f>IF(L50=0,0,('Org &amp; Capacity'!L$184+'Org &amp; Capacity'!L$186+'Org &amp; Capacity'!L$189+'Org &amp; Capacity'!L$192)/L50)</f>
        <v>231.70092191424268</v>
      </c>
      <c r="M85" s="13">
        <f>IF(M50=0,0,('Org &amp; Capacity'!M$184+'Org &amp; Capacity'!M$186+'Org &amp; Capacity'!M$189+'Org &amp; Capacity'!M$192)/M50)</f>
        <v>238.65194957166995</v>
      </c>
      <c r="N85" s="13">
        <f>IF(N50=0,0,('Org &amp; Capacity'!N$184+'Org &amp; Capacity'!N$186+'Org &amp; Capacity'!N$189+'Org &amp; Capacity'!N$192)/N50)</f>
        <v>245.81150805882004</v>
      </c>
    </row>
    <row r="86" spans="1:14" ht="15" customHeight="1" x14ac:dyDescent="0.3">
      <c r="A86" s="6" t="s">
        <v>1301</v>
      </c>
      <c r="B86" s="6" t="s">
        <v>344</v>
      </c>
      <c r="C86" s="6" t="s">
        <v>211</v>
      </c>
      <c r="D86" s="63">
        <f t="shared" ref="D86:N86" si="13">IF(D50=0,0,D79/D50)</f>
        <v>-348.94141958736691</v>
      </c>
      <c r="E86" s="63">
        <f t="shared" si="13"/>
        <v>-264.03406402692832</v>
      </c>
      <c r="F86" s="63">
        <f t="shared" si="13"/>
        <v>-114.7720719386657</v>
      </c>
      <c r="G86" s="63">
        <f t="shared" si="13"/>
        <v>-24.355065483538784</v>
      </c>
      <c r="H86" s="63">
        <f t="shared" si="13"/>
        <v>19.837207386668116</v>
      </c>
      <c r="I86" s="63">
        <f t="shared" si="13"/>
        <v>45.03819027455603</v>
      </c>
      <c r="J86" s="63">
        <f t="shared" si="13"/>
        <v>50.301371189999102</v>
      </c>
      <c r="K86" s="63">
        <f t="shared" si="13"/>
        <v>58.207155601712373</v>
      </c>
      <c r="L86" s="63">
        <f t="shared" si="13"/>
        <v>68.765511863193979</v>
      </c>
      <c r="M86" s="63">
        <f t="shared" si="13"/>
        <v>51.327297572212515</v>
      </c>
      <c r="N86" s="63">
        <f t="shared" si="13"/>
        <v>32.826632594798461</v>
      </c>
    </row>
    <row r="87" spans="1:14" ht="15" customHeight="1" x14ac:dyDescent="0.3">
      <c r="A87" s="6" t="s">
        <v>1302</v>
      </c>
      <c r="B87" s="6" t="s">
        <v>267</v>
      </c>
      <c r="C87" s="6" t="s">
        <v>211</v>
      </c>
      <c r="D87" s="71">
        <f t="shared" ref="D87:N87" si="14">IF(D54=0,0,(D55+D56)/D54)</f>
        <v>0.19587351305118947</v>
      </c>
      <c r="E87" s="71">
        <f t="shared" si="14"/>
        <v>0.1958735130511895</v>
      </c>
      <c r="F87" s="71">
        <f t="shared" si="14"/>
        <v>0.1958735130511895</v>
      </c>
      <c r="G87" s="71">
        <f t="shared" si="14"/>
        <v>0.1958735130511895</v>
      </c>
      <c r="H87" s="71">
        <f t="shared" si="14"/>
        <v>0.1958735130511895</v>
      </c>
      <c r="I87" s="71">
        <f t="shared" si="14"/>
        <v>0.1958735130511895</v>
      </c>
      <c r="J87" s="71">
        <f t="shared" si="14"/>
        <v>0.1958735130511895</v>
      </c>
      <c r="K87" s="71">
        <f t="shared" si="14"/>
        <v>0.1958735130511895</v>
      </c>
      <c r="L87" s="71">
        <f t="shared" si="14"/>
        <v>0.1958735130511895</v>
      </c>
      <c r="M87" s="71">
        <f t="shared" si="14"/>
        <v>0.1958735130511895</v>
      </c>
      <c r="N87" s="71">
        <f t="shared" si="14"/>
        <v>0.1958735130511895</v>
      </c>
    </row>
    <row r="88" spans="1:14" ht="15" customHeight="1" x14ac:dyDescent="0.3">
      <c r="A88" s="1" t="s">
        <v>1303</v>
      </c>
      <c r="B88" s="6" t="s">
        <v>267</v>
      </c>
      <c r="C88" s="6" t="s">
        <v>211</v>
      </c>
      <c r="D88" s="62">
        <f>IF((D54+D50*INDEX(Assumptions!$D$30:$F$30,1,2)+D67+D69+D71)=0,0,D79/(D54+D50*INDEX(Assumptions!$D$30:$F$30,1,2)+D67+D69+D71))</f>
        <v>-0.53397173205973969</v>
      </c>
      <c r="E88" s="62">
        <f>IF((E54+E50*INDEX(Assumptions!$D$30:$F$30,1,2)+E67+E69+E71)=0,0,E79/(E54+E50*INDEX(Assumptions!$D$30:$F$30,1,2)+E67+E69+E71))</f>
        <v>-0.39835181026104105</v>
      </c>
      <c r="F88" s="62">
        <f>IF((F54+F50*INDEX(Assumptions!$D$30:$F$30,1,2)+F67+F69+F71)=0,0,F79/(F54+F50*INDEX(Assumptions!$D$30:$F$30,1,2)+F67+F69+F71))</f>
        <v>-0.17075375791742725</v>
      </c>
      <c r="G88" s="62">
        <f>IF((G54+G50*INDEX(Assumptions!$D$30:$F$30,1,2)+G67+G69+G71)=0,0,G79/(G54+G50*INDEX(Assumptions!$D$30:$F$30,1,2)+G67+G69+G71))</f>
        <v>-3.573833459916758E-2</v>
      </c>
      <c r="H88" s="62">
        <f>IF((H54+H50*INDEX(Assumptions!$D$30:$F$30,1,2)+H67+H69+H71)=0,0,H79/(H54+H50*INDEX(Assumptions!$D$30:$F$30,1,2)+H67+H69+H71))</f>
        <v>2.9108883142892443E-2</v>
      </c>
      <c r="I88" s="62">
        <f>IF((I54+I50*INDEX(Assumptions!$D$30:$F$30,1,2)+I67+I69+I71)=0,0,I79/(I54+I50*INDEX(Assumptions!$D$30:$F$30,1,2)+I67+I69+I71))</f>
        <v>6.6088506921114842E-2</v>
      </c>
      <c r="J88" s="62">
        <f>IF((J54+J50*INDEX(Assumptions!$D$30:$F$30,1,2)+J67+J69+J71)=0,0,J79/(J54+J50*INDEX(Assumptions!$D$30:$F$30,1,2)+J67+J69+J71))</f>
        <v>7.381163625284215E-2</v>
      </c>
      <c r="K88" s="62">
        <f>IF((K54+K50*INDEX(Assumptions!$D$30:$F$30,1,2)+K67+K69+K71)=0,0,K79/(K54+K50*INDEX(Assumptions!$D$30:$F$30,1,2)+K67+K69+K71))</f>
        <v>8.5412490652747433E-2</v>
      </c>
      <c r="L88" s="62">
        <f>IF((L54+L50*INDEX(Assumptions!$D$30:$F$30,1,2)+L67+L69+L71)=0,0,L79/(L54+L50*INDEX(Assumptions!$D$30:$F$30,1,2)+L67+L69+L71))</f>
        <v>0.10090569756467639</v>
      </c>
      <c r="M88" s="62">
        <f>IF((M54+M50*INDEX(Assumptions!$D$30:$F$30,1,2)+M67+M69+M71)=0,0,M79/(M54+M50*INDEX(Assumptions!$D$30:$F$30,1,2)+M67+M69+M71))</f>
        <v>7.531706847376711E-2</v>
      </c>
      <c r="N88" s="62">
        <f>IF((N54+N50*INDEX(Assumptions!$D$30:$F$30,1,2)+N67+N69+N71)=0,0,N79/(N54+N50*INDEX(Assumptions!$D$30:$F$30,1,2)+N67+N69+N71))</f>
        <v>4.8169411830560463E-2</v>
      </c>
    </row>
    <row r="89" spans="1:14" ht="15" customHeight="1" x14ac:dyDescent="0.3">
      <c r="A89" s="6" t="s">
        <v>300</v>
      </c>
      <c r="B89" s="6" t="s">
        <v>819</v>
      </c>
      <c r="C89" s="6" t="s">
        <v>211</v>
      </c>
      <c r="D89" s="71">
        <f t="shared" ref="D89:N89" si="15">D88-D87</f>
        <v>-0.72984524511092919</v>
      </c>
      <c r="E89" s="71">
        <f t="shared" si="15"/>
        <v>-0.59422532331223055</v>
      </c>
      <c r="F89" s="71">
        <f t="shared" si="15"/>
        <v>-0.36662727096861675</v>
      </c>
      <c r="G89" s="71">
        <f t="shared" si="15"/>
        <v>-0.23161184765035708</v>
      </c>
      <c r="H89" s="71">
        <f t="shared" si="15"/>
        <v>-0.16676462990829705</v>
      </c>
      <c r="I89" s="71">
        <f t="shared" si="15"/>
        <v>-0.12978500613007465</v>
      </c>
      <c r="J89" s="71">
        <f t="shared" si="15"/>
        <v>-0.12206187679834735</v>
      </c>
      <c r="K89" s="71">
        <f t="shared" si="15"/>
        <v>-0.11046102239844206</v>
      </c>
      <c r="L89" s="71">
        <f t="shared" si="15"/>
        <v>-9.4967815486513105E-2</v>
      </c>
      <c r="M89" s="71">
        <f t="shared" si="15"/>
        <v>-0.12055644457742239</v>
      </c>
      <c r="N89" s="71">
        <f t="shared" si="15"/>
        <v>-0.14770410122062905</v>
      </c>
    </row>
    <row r="90" spans="1:14" ht="15" customHeight="1" x14ac:dyDescent="0.3">
      <c r="A90" s="2"/>
      <c r="B90" s="2"/>
      <c r="C90" s="2"/>
      <c r="D90" s="2"/>
      <c r="E90" s="2"/>
      <c r="F90" s="2"/>
      <c r="G90" s="2"/>
      <c r="H90" s="2"/>
      <c r="I90" s="2"/>
      <c r="J90" s="2"/>
      <c r="K90" s="2"/>
      <c r="L90" s="2"/>
      <c r="M90" s="2"/>
      <c r="N90" s="2"/>
    </row>
    <row r="91" spans="1:14" ht="15" customHeight="1" x14ac:dyDescent="0.3">
      <c r="A91" s="21" t="s">
        <v>874</v>
      </c>
      <c r="B91" s="10"/>
      <c r="C91" s="10"/>
      <c r="D91" s="10"/>
      <c r="E91" s="10"/>
      <c r="F91" s="10"/>
      <c r="G91" s="10"/>
      <c r="H91" s="10"/>
      <c r="I91" s="10"/>
      <c r="J91" s="10"/>
      <c r="K91" s="10"/>
      <c r="L91" s="10"/>
      <c r="M91" s="10"/>
      <c r="N91" s="10"/>
    </row>
    <row r="92" spans="1:14" ht="15" customHeight="1" x14ac:dyDescent="0.3">
      <c r="A92" s="21" t="s">
        <v>202</v>
      </c>
      <c r="B92" s="10"/>
      <c r="C92" s="10"/>
      <c r="D92" s="21" t="s">
        <v>203</v>
      </c>
      <c r="E92" s="21" t="s">
        <v>204</v>
      </c>
      <c r="F92" s="21" t="s">
        <v>205</v>
      </c>
      <c r="G92" s="21" t="s">
        <v>9</v>
      </c>
      <c r="H92" s="21" t="s">
        <v>206</v>
      </c>
      <c r="I92" s="21" t="s">
        <v>10</v>
      </c>
      <c r="J92" s="21" t="s">
        <v>207</v>
      </c>
      <c r="K92" s="21" t="s">
        <v>11</v>
      </c>
      <c r="L92" s="21" t="s">
        <v>208</v>
      </c>
      <c r="M92" s="21" t="s">
        <v>209</v>
      </c>
      <c r="N92" s="21" t="s">
        <v>12</v>
      </c>
    </row>
    <row r="93" spans="1:14" ht="15" customHeight="1" x14ac:dyDescent="0.3">
      <c r="A93" s="6" t="s">
        <v>13</v>
      </c>
      <c r="B93" s="6" t="s">
        <v>210</v>
      </c>
      <c r="C93" s="6" t="s">
        <v>211</v>
      </c>
      <c r="D93" s="13">
        <f>'Revenue &amp; Durability'!D$175</f>
        <v>7500</v>
      </c>
      <c r="E93" s="13">
        <f>'Revenue &amp; Durability'!E$175</f>
        <v>10312.5</v>
      </c>
      <c r="F93" s="13">
        <f>'Revenue &amp; Durability'!F$175</f>
        <v>16707.825000000001</v>
      </c>
      <c r="G93" s="13">
        <f>'Revenue &amp; Durability'!G$175</f>
        <v>28447.513830750002</v>
      </c>
      <c r="H93" s="13">
        <f>'Revenue &amp; Durability'!H$175</f>
        <v>40911.532976306327</v>
      </c>
      <c r="I93" s="13">
        <f>'Revenue &amp; Durability'!I$175</f>
        <v>50000</v>
      </c>
      <c r="J93" s="13">
        <f>'Revenue &amp; Durability'!J$175</f>
        <v>50000</v>
      </c>
      <c r="K93" s="13">
        <f>'Revenue &amp; Durability'!K$175</f>
        <v>50000</v>
      </c>
      <c r="L93" s="13">
        <f>'Revenue &amp; Durability'!L$175</f>
        <v>50000</v>
      </c>
      <c r="M93" s="13">
        <f>'Revenue &amp; Durability'!M$175</f>
        <v>50000</v>
      </c>
      <c r="N93" s="13">
        <f>'Revenue &amp; Durability'!N$175</f>
        <v>50000</v>
      </c>
    </row>
    <row r="94" spans="1:14" ht="15" customHeight="1" x14ac:dyDescent="0.3">
      <c r="A94" s="6" t="s">
        <v>14</v>
      </c>
      <c r="B94" s="6" t="s">
        <v>212</v>
      </c>
      <c r="C94" s="6" t="s">
        <v>211</v>
      </c>
      <c r="D94" s="15">
        <f>'Revenue &amp; Durability'!D$184</f>
        <v>30</v>
      </c>
      <c r="E94" s="15">
        <f>'Revenue &amp; Durability'!E$184</f>
        <v>41.25</v>
      </c>
      <c r="F94" s="15">
        <f>'Revenue &amp; Durability'!F$184</f>
        <v>66.831299999999999</v>
      </c>
      <c r="G94" s="15">
        <f>'Revenue &amp; Durability'!G$184</f>
        <v>113.790055323</v>
      </c>
      <c r="H94" s="15">
        <f>'Revenue &amp; Durability'!H$184</f>
        <v>163.6461319052253</v>
      </c>
      <c r="I94" s="15">
        <f>'Revenue &amp; Durability'!I$184</f>
        <v>200</v>
      </c>
      <c r="J94" s="15">
        <f>'Revenue &amp; Durability'!J$184</f>
        <v>200</v>
      </c>
      <c r="K94" s="15">
        <f>'Revenue &amp; Durability'!K$184</f>
        <v>200</v>
      </c>
      <c r="L94" s="15">
        <f>'Revenue &amp; Durability'!L$184</f>
        <v>200</v>
      </c>
      <c r="M94" s="15">
        <f>'Revenue &amp; Durability'!M$184</f>
        <v>200</v>
      </c>
      <c r="N94" s="15">
        <f>'Revenue &amp; Durability'!N$184</f>
        <v>200</v>
      </c>
    </row>
    <row r="95" spans="1:14" ht="15" customHeight="1" x14ac:dyDescent="0.3">
      <c r="A95" s="6" t="s">
        <v>15</v>
      </c>
      <c r="B95" s="6" t="s">
        <v>213</v>
      </c>
      <c r="C95" s="6" t="s">
        <v>214</v>
      </c>
      <c r="D95" s="15">
        <f>'Revenue &amp; Durability'!D$187</f>
        <v>5.7600000000000007</v>
      </c>
      <c r="E95" s="15">
        <f>'Revenue &amp; Durability'!E$187</f>
        <v>7.0902857142857147</v>
      </c>
      <c r="F95" s="15">
        <f>'Revenue &amp; Durability'!F$187</f>
        <v>10.949640192</v>
      </c>
      <c r="G95" s="15">
        <f>'Revenue &amp; Durability'!G$187</f>
        <v>15.859805044130136</v>
      </c>
      <c r="H95" s="15">
        <f>'Revenue &amp; Durability'!H$187</f>
        <v>22.941629158523018</v>
      </c>
      <c r="I95" s="15">
        <f>'Revenue &amp; Durability'!I$187</f>
        <v>28.159999999999997</v>
      </c>
      <c r="J95" s="15">
        <f>'Revenue &amp; Durability'!J$187</f>
        <v>28.254814814814811</v>
      </c>
      <c r="K95" s="15">
        <f>'Revenue &amp; Durability'!K$187</f>
        <v>28.330666666666662</v>
      </c>
      <c r="L95" s="15">
        <f>'Revenue &amp; Durability'!L$187</f>
        <v>28.330666666666662</v>
      </c>
      <c r="M95" s="15">
        <f>'Revenue &amp; Durability'!M$187</f>
        <v>28.330666666666662</v>
      </c>
      <c r="N95" s="15">
        <f>'Revenue &amp; Durability'!N$187</f>
        <v>28.330666666666662</v>
      </c>
    </row>
    <row r="96" spans="1:14" ht="15" customHeight="1" x14ac:dyDescent="0.3">
      <c r="A96" s="6" t="s">
        <v>215</v>
      </c>
      <c r="B96" s="6" t="s">
        <v>216</v>
      </c>
      <c r="C96" s="6" t="s">
        <v>217</v>
      </c>
      <c r="D96" s="54">
        <f>'Revenue &amp; Durability'!D$190</f>
        <v>0.7280000000000002</v>
      </c>
      <c r="E96" s="54">
        <f>'Revenue &amp; Durability'!E$190</f>
        <v>1.1270857142857142</v>
      </c>
      <c r="F96" s="54">
        <f>'Revenue &amp; Durability'!F$190</f>
        <v>2.2848920576</v>
      </c>
      <c r="G96" s="54">
        <f>'Revenue &amp; Durability'!G$190</f>
        <v>3.7579415132390412</v>
      </c>
      <c r="H96" s="54">
        <f>'Revenue &amp; Durability'!H$190</f>
        <v>5.8824887475569048</v>
      </c>
      <c r="I96" s="54">
        <f>'Revenue &amp; Durability'!I$190</f>
        <v>7.4479999999999986</v>
      </c>
      <c r="J96" s="54">
        <f>'Revenue &amp; Durability'!J$190</f>
        <v>7.4764444444444429</v>
      </c>
      <c r="K96" s="54">
        <f>'Revenue &amp; Durability'!K$190</f>
        <v>7.4991999999999983</v>
      </c>
      <c r="L96" s="54">
        <f>'Revenue &amp; Durability'!L$190</f>
        <v>7.4991999999999983</v>
      </c>
      <c r="M96" s="54">
        <f>'Revenue &amp; Durability'!M$190</f>
        <v>7.4991999999999983</v>
      </c>
      <c r="N96" s="54">
        <f>'Revenue &amp; Durability'!N$190</f>
        <v>7.4991999999999983</v>
      </c>
    </row>
    <row r="97" spans="1:14" ht="15" customHeight="1" x14ac:dyDescent="0.3">
      <c r="A97" s="6" t="s">
        <v>16</v>
      </c>
      <c r="B97" s="6" t="s">
        <v>218</v>
      </c>
      <c r="C97" s="6" t="s">
        <v>211</v>
      </c>
      <c r="D97" s="13">
        <f>'Revenue &amp; Durability'!D$191</f>
        <v>4901122.0815195879</v>
      </c>
      <c r="E97" s="13">
        <f>'Revenue &amp; Durability'!E$191</f>
        <v>6739042.8620894337</v>
      </c>
      <c r="F97" s="13">
        <f>'Revenue &amp; Durability'!F$191</f>
        <v>10918278.672222001</v>
      </c>
      <c r="G97" s="13">
        <f>'Revenue &amp; Durability'!G$191</f>
        <v>18589965.093363028</v>
      </c>
      <c r="H97" s="13">
        <f>'Revenue &amp; Durability'!H$191</f>
        <v>26734989.021198899</v>
      </c>
      <c r="I97" s="13">
        <f>'Revenue &amp; Durability'!I$191</f>
        <v>32674147.210130587</v>
      </c>
      <c r="J97" s="13">
        <f>'Revenue &amp; Durability'!J$191</f>
        <v>32674147.210130587</v>
      </c>
      <c r="K97" s="13">
        <f>'Revenue &amp; Durability'!K$191</f>
        <v>32674147.210130587</v>
      </c>
      <c r="L97" s="13">
        <f>'Revenue &amp; Durability'!L$191</f>
        <v>32674147.210130587</v>
      </c>
      <c r="M97" s="13">
        <f>'Revenue &amp; Durability'!M$191</f>
        <v>32674147.210130587</v>
      </c>
      <c r="N97" s="13">
        <f>'Revenue &amp; Durability'!N$191</f>
        <v>32674147.210130587</v>
      </c>
    </row>
    <row r="98" spans="1:14" ht="15" customHeight="1" x14ac:dyDescent="0.3">
      <c r="A98" s="1" t="s">
        <v>1288</v>
      </c>
      <c r="B98" s="6" t="s">
        <v>218</v>
      </c>
      <c r="C98" s="6" t="s">
        <v>211</v>
      </c>
      <c r="D98" s="39">
        <f>'Revenue &amp; Durability'!D$162</f>
        <v>960000</v>
      </c>
      <c r="E98" s="39">
        <f>'Revenue &amp; Durability'!E$162</f>
        <v>1320000</v>
      </c>
      <c r="F98" s="39">
        <f>'Revenue &amp; Durability'!F$162</f>
        <v>1977120</v>
      </c>
      <c r="G98" s="39">
        <f>'Revenue &amp; Durability'!G$162</f>
        <v>3191198.64</v>
      </c>
      <c r="H98" s="39">
        <f>'Revenue &amp; Durability'!H$162</f>
        <v>4365055.1290799994</v>
      </c>
      <c r="I98" s="39">
        <f>'Revenue &amp; Durability'!I$162</f>
        <v>4822724.0181252602</v>
      </c>
      <c r="J98" s="39">
        <f>'Revenue &amp; Durability'!J$162</f>
        <v>5250415.5949380556</v>
      </c>
      <c r="K98" s="39">
        <f>'Revenue &amp; Durability'!K$162</f>
        <v>5650093.3734696135</v>
      </c>
      <c r="L98" s="39">
        <f>'Revenue &amp; Durability'!L$162</f>
        <v>5663592.257507354</v>
      </c>
      <c r="M98" s="39">
        <f>'Revenue &amp; Durability'!M$162</f>
        <v>5292626.964640622</v>
      </c>
      <c r="N98" s="39">
        <f>'Revenue &amp; Durability'!N$162</f>
        <v>4945959.898456661</v>
      </c>
    </row>
    <row r="99" spans="1:14" ht="15" customHeight="1" x14ac:dyDescent="0.3">
      <c r="A99" s="6" t="s">
        <v>1289</v>
      </c>
      <c r="B99" s="6" t="s">
        <v>218</v>
      </c>
      <c r="C99" s="6" t="s">
        <v>222</v>
      </c>
      <c r="D99" s="13">
        <f>'Revenue &amp; Durability'!D$172</f>
        <v>0</v>
      </c>
      <c r="E99" s="13">
        <f>'Revenue &amp; Durability'!E$172</f>
        <v>0</v>
      </c>
      <c r="F99" s="13">
        <f>'Revenue &amp; Durability'!F$172</f>
        <v>161481.60000000006</v>
      </c>
      <c r="G99" s="13">
        <f>'Revenue &amp; Durability'!G$172</f>
        <v>450083.13033600018</v>
      </c>
      <c r="H99" s="13">
        <f>'Revenue &amp; Durability'!H$172</f>
        <v>871621.09188721085</v>
      </c>
      <c r="I99" s="13">
        <f>'Revenue &amp; Durability'!I$172</f>
        <v>1577275.9818747398</v>
      </c>
      <c r="J99" s="13">
        <f>'Revenue &amp; Durability'!J$172</f>
        <v>1149584.4050619444</v>
      </c>
      <c r="K99" s="13">
        <f>'Revenue &amp; Durability'!K$172</f>
        <v>749906.62653038651</v>
      </c>
      <c r="L99" s="13">
        <f>'Revenue &amp; Durability'!L$172</f>
        <v>736407.74249264598</v>
      </c>
      <c r="M99" s="13">
        <f>'Revenue &amp; Durability'!M$172</f>
        <v>1107373.035359378</v>
      </c>
      <c r="N99" s="13">
        <f>'Revenue &amp; Durability'!N$172</f>
        <v>1454040.101543339</v>
      </c>
    </row>
    <row r="100" spans="1:14" ht="15" customHeight="1" x14ac:dyDescent="0.3">
      <c r="A100" s="6" t="s">
        <v>849</v>
      </c>
      <c r="B100" s="6" t="s">
        <v>210</v>
      </c>
      <c r="C100" s="6" t="s">
        <v>245</v>
      </c>
      <c r="D100" s="13">
        <f>'Revenue &amp; Durability'!D$170</f>
        <v>0</v>
      </c>
      <c r="E100" s="13">
        <f>'Revenue &amp; Durability'!E$170</f>
        <v>0</v>
      </c>
      <c r="F100" s="13">
        <f>'Revenue &amp; Durability'!F$170</f>
        <v>0</v>
      </c>
      <c r="G100" s="13">
        <f>'Revenue &amp; Durability'!G$170</f>
        <v>0</v>
      </c>
      <c r="H100" s="13">
        <f>'Revenue &amp; Durability'!H$170</f>
        <v>0</v>
      </c>
      <c r="I100" s="13">
        <f>'Revenue &amp; Durability'!I$170</f>
        <v>449.68465330276194</v>
      </c>
      <c r="J100" s="13">
        <f>'Revenue &amp; Durability'!J$170</f>
        <v>10967.499889043491</v>
      </c>
      <c r="K100" s="13">
        <f>'Revenue &amp; Durability'!K$170</f>
        <v>22565.599927647156</v>
      </c>
      <c r="L100" s="13">
        <f>'Revenue &amp; Durability'!L$170</f>
        <v>32542.440821215787</v>
      </c>
      <c r="M100" s="13">
        <f>'Revenue &amp; Durability'!M$170</f>
        <v>41020.374917962865</v>
      </c>
      <c r="N100" s="13">
        <f>'Revenue &amp; Durability'!N$170</f>
        <v>50369.077625786835</v>
      </c>
    </row>
    <row r="101" spans="1:14" ht="15" customHeight="1" x14ac:dyDescent="0.3">
      <c r="A101" s="6" t="s">
        <v>242</v>
      </c>
      <c r="B101" s="6" t="s">
        <v>218</v>
      </c>
      <c r="C101" s="6" t="s">
        <v>211</v>
      </c>
      <c r="D101" s="13">
        <f>'Org &amp; Capacity'!D$218</f>
        <v>1370878.7118643895</v>
      </c>
      <c r="E101" s="13">
        <f>'Org &amp; Capacity'!E$218</f>
        <v>1858538.6368806958</v>
      </c>
      <c r="F101" s="13">
        <f>'Org &amp; Capacity'!F$218</f>
        <v>2815411.6454996322</v>
      </c>
      <c r="G101" s="13">
        <f>'Org &amp; Capacity'!G$218</f>
        <v>4685009.8543340508</v>
      </c>
      <c r="H101" s="13">
        <f>'Org &amp; Capacity'!H$218</f>
        <v>6591382.3447504994</v>
      </c>
      <c r="I101" s="13">
        <f>'Org &amp; Capacity'!I$218</f>
        <v>7435971.1246943614</v>
      </c>
      <c r="J101" s="13">
        <f>'Org &amp; Capacity'!J$218</f>
        <v>8274780.8243122585</v>
      </c>
      <c r="K101" s="13">
        <f>'Org &amp; Capacity'!K$218</f>
        <v>9108804.0923413821</v>
      </c>
      <c r="L101" s="13">
        <f>'Org &amp; Capacity'!L$218</f>
        <v>9355367.5322894976</v>
      </c>
      <c r="M101" s="13">
        <f>'Org &amp; Capacity'!M$218</f>
        <v>8969898.3238565736</v>
      </c>
      <c r="N101" s="13">
        <f>'Org &amp; Capacity'!N$218</f>
        <v>8600311.60321871</v>
      </c>
    </row>
    <row r="102" spans="1:14" ht="15" customHeight="1" x14ac:dyDescent="0.3">
      <c r="A102" s="6" t="s">
        <v>243</v>
      </c>
      <c r="B102" s="6" t="s">
        <v>218</v>
      </c>
      <c r="C102" s="6" t="s">
        <v>211</v>
      </c>
      <c r="D102" s="13">
        <f>-'Org &amp; Capacity'!D$222</f>
        <v>-862012.62999999989</v>
      </c>
      <c r="E102" s="13">
        <f>-'Org &amp; Capacity'!E$222</f>
        <v>-1744125.8287499999</v>
      </c>
      <c r="F102" s="13">
        <f>-'Org &amp; Capacity'!F$222</f>
        <v>-2346981.0083806589</v>
      </c>
      <c r="G102" s="13">
        <f>-'Org &amp; Capacity'!G$222</f>
        <v>-3790855.7665790427</v>
      </c>
      <c r="H102" s="13">
        <f>-'Org &amp; Capacity'!H$222</f>
        <v>-5246463.9160518497</v>
      </c>
      <c r="I102" s="13">
        <f>-'Org &amp; Capacity'!I$222</f>
        <v>-6641638.1642093323</v>
      </c>
      <c r="J102" s="13">
        <f>-'Org &amp; Capacity'!J$222</f>
        <v>-6814320.7564787762</v>
      </c>
      <c r="K102" s="13">
        <f>-'Org &amp; Capacity'!K$222</f>
        <v>-6991493.0961472234</v>
      </c>
      <c r="L102" s="13">
        <f>-'Org &amp; Capacity'!L$222</f>
        <v>-7173271.9166470515</v>
      </c>
      <c r="M102" s="13">
        <f>-'Org &amp; Capacity'!M$222</f>
        <v>-7359776.9864798738</v>
      </c>
      <c r="N102" s="13">
        <f>-'Org &amp; Capacity'!N$222</f>
        <v>-7551131.1881283503</v>
      </c>
    </row>
    <row r="103" spans="1:14" ht="15" customHeight="1" x14ac:dyDescent="0.3">
      <c r="A103" s="6" t="s">
        <v>1206</v>
      </c>
      <c r="B103" s="6" t="s">
        <v>218</v>
      </c>
      <c r="C103" s="6" t="s">
        <v>245</v>
      </c>
      <c r="D103" s="13">
        <f>-'Org &amp; Capacity'!D$231</f>
        <v>-685439.35593219474</v>
      </c>
      <c r="E103" s="13">
        <f>-'Org &amp; Capacity'!E$231</f>
        <v>-243829.96250815317</v>
      </c>
      <c r="F103" s="13">
        <f>-'Org &amp; Capacity'!F$231</f>
        <v>-478436.5043094682</v>
      </c>
      <c r="G103" s="13">
        <f>-'Org &amp; Capacity'!G$231</f>
        <v>-934799.10441720928</v>
      </c>
      <c r="H103" s="13">
        <f>-'Org &amp; Capacity'!H$231</f>
        <v>-953186.24520822428</v>
      </c>
      <c r="I103" s="13">
        <f>-'Org &amp; Capacity'!I$231</f>
        <v>-422294.389971931</v>
      </c>
      <c r="J103" s="13">
        <f>-'Org &amp; Capacity'!J$231</f>
        <v>-419404.84980894858</v>
      </c>
      <c r="K103" s="13">
        <f>-'Org &amp; Capacity'!K$231</f>
        <v>-417011.63401456177</v>
      </c>
      <c r="L103" s="13">
        <f>-'Org &amp; Capacity'!L$231</f>
        <v>-123281.71997405775</v>
      </c>
      <c r="M103" s="13">
        <f>-'Org &amp; Capacity'!M$231</f>
        <v>0</v>
      </c>
      <c r="N103" s="13">
        <f>-'Org &amp; Capacity'!N$231</f>
        <v>0</v>
      </c>
    </row>
    <row r="104" spans="1:14" ht="15" customHeight="1" x14ac:dyDescent="0.3">
      <c r="A104" s="6" t="s">
        <v>246</v>
      </c>
      <c r="B104" s="6" t="s">
        <v>218</v>
      </c>
      <c r="C104" s="6" t="s">
        <v>222</v>
      </c>
      <c r="D104" s="13">
        <f>'Org &amp; Capacity'!D$233</f>
        <v>0</v>
      </c>
      <c r="E104" s="13">
        <f>'Org &amp; Capacity'!E$233</f>
        <v>0</v>
      </c>
      <c r="F104" s="13">
        <f>'Org &amp; Capacity'!F$233</f>
        <v>0</v>
      </c>
      <c r="G104" s="13">
        <f>'Org &amp; Capacity'!G$233</f>
        <v>0</v>
      </c>
      <c r="H104" s="13">
        <f>'Org &amp; Capacity'!H$233</f>
        <v>0</v>
      </c>
      <c r="I104" s="13">
        <f>'Org &amp; Capacity'!I$233</f>
        <v>0</v>
      </c>
      <c r="J104" s="13">
        <f>'Org &amp; Capacity'!J$233</f>
        <v>0</v>
      </c>
      <c r="K104" s="13">
        <f>'Org &amp; Capacity'!K$233</f>
        <v>0</v>
      </c>
      <c r="L104" s="13">
        <f>'Org &amp; Capacity'!L$233</f>
        <v>0</v>
      </c>
      <c r="M104" s="13">
        <f>'Org &amp; Capacity'!M$233</f>
        <v>0</v>
      </c>
      <c r="N104" s="13">
        <f>'Org &amp; Capacity'!N$233</f>
        <v>0</v>
      </c>
    </row>
    <row r="105" spans="1:14" ht="15" customHeight="1" x14ac:dyDescent="0.3">
      <c r="A105" s="6" t="s">
        <v>187</v>
      </c>
      <c r="B105" s="6" t="s">
        <v>218</v>
      </c>
      <c r="C105" s="6" t="s">
        <v>217</v>
      </c>
      <c r="D105" s="13">
        <f>-'Org &amp; Capacity'!D$227</f>
        <v>-685510.07499999995</v>
      </c>
      <c r="E105" s="13">
        <f>-'Org &amp; Capacity'!E$227</f>
        <v>-685510.07499999995</v>
      </c>
      <c r="F105" s="13">
        <f>-'Org &amp; Capacity'!F$227</f>
        <v>-703333.33694999991</v>
      </c>
      <c r="G105" s="13">
        <f>-'Org &amp; Capacity'!G$227</f>
        <v>-721620.00371069997</v>
      </c>
      <c r="H105" s="13">
        <f>-'Org &amp; Capacity'!H$227</f>
        <v>-875389.764889215</v>
      </c>
      <c r="I105" s="13">
        <f>-'Org &amp; Capacity'!I$227</f>
        <v>-898149.89877633459</v>
      </c>
      <c r="J105" s="13">
        <f>-'Org &amp; Capacity'!J$227</f>
        <v>-921501.79614451935</v>
      </c>
      <c r="K105" s="13">
        <f>-'Org &amp; Capacity'!K$227</f>
        <v>-945460.84284427669</v>
      </c>
      <c r="L105" s="13">
        <f>-'Org &amp; Capacity'!L$227</f>
        <v>-970042.82475822791</v>
      </c>
      <c r="M105" s="13">
        <f>-'Org &amp; Capacity'!M$227</f>
        <v>-995263.93820194178</v>
      </c>
      <c r="N105" s="13">
        <f>-'Org &amp; Capacity'!N$227</f>
        <v>-1021140.8005951922</v>
      </c>
    </row>
    <row r="106" spans="1:14" ht="15" customHeight="1" x14ac:dyDescent="0.3">
      <c r="A106" s="6" t="s">
        <v>247</v>
      </c>
      <c r="B106" s="6" t="s">
        <v>218</v>
      </c>
      <c r="C106" s="6" t="s">
        <v>222</v>
      </c>
      <c r="D106" s="13">
        <f>-'Org &amp; Capacity'!D$230</f>
        <v>0</v>
      </c>
      <c r="E106" s="13">
        <f>-'Org &amp; Capacity'!E$230</f>
        <v>-343395.9975</v>
      </c>
      <c r="F106" s="13">
        <f>-'Org &amp; Capacity'!F$230</f>
        <v>-352324.293435</v>
      </c>
      <c r="G106" s="13">
        <f>-'Org &amp; Capacity'!G$230</f>
        <v>-921505.79485092591</v>
      </c>
      <c r="H106" s="13">
        <f>-'Org &amp; Capacity'!H$230</f>
        <v>-1149163.235202136</v>
      </c>
      <c r="I106" s="13">
        <f>-'Org &amp; Capacity'!I$230</f>
        <v>-1448461.9216725642</v>
      </c>
      <c r="J106" s="13">
        <f>-'Org &amp; Capacity'!J$230</f>
        <v>-1486121.931636051</v>
      </c>
      <c r="K106" s="13">
        <f>-'Org &amp; Capacity'!K$230</f>
        <v>-1524761.1018585884</v>
      </c>
      <c r="L106" s="13">
        <f>-'Org &amp; Capacity'!L$230</f>
        <v>-1564404.8905069116</v>
      </c>
      <c r="M106" s="13">
        <f>-'Org &amp; Capacity'!M$230</f>
        <v>-1605079.4176600911</v>
      </c>
      <c r="N106" s="13">
        <f>-'Org &amp; Capacity'!N$230</f>
        <v>-1646811.4825192534</v>
      </c>
    </row>
    <row r="107" spans="1:14" ht="15" customHeight="1" x14ac:dyDescent="0.3">
      <c r="A107" s="6" t="s">
        <v>248</v>
      </c>
      <c r="B107" s="6" t="s">
        <v>218</v>
      </c>
      <c r="C107" s="6" t="s">
        <v>222</v>
      </c>
      <c r="D107" s="13">
        <f>-'Org &amp; Capacity'!D$234</f>
        <v>-430000</v>
      </c>
      <c r="E107" s="13">
        <f>-'Org &amp; Capacity'!E$234</f>
        <v>-430000</v>
      </c>
      <c r="F107" s="13">
        <f>-'Org &amp; Capacity'!F$234</f>
        <v>-430000</v>
      </c>
      <c r="G107" s="13">
        <f>-'Org &amp; Capacity'!G$234</f>
        <v>-430000</v>
      </c>
      <c r="H107" s="13">
        <f>-'Org &amp; Capacity'!H$234</f>
        <v>-430000</v>
      </c>
      <c r="I107" s="13">
        <f>-'Org &amp; Capacity'!I$234</f>
        <v>-430000</v>
      </c>
      <c r="J107" s="13">
        <f>-'Org &amp; Capacity'!J$234</f>
        <v>-430000</v>
      </c>
      <c r="K107" s="13">
        <f>-'Org &amp; Capacity'!K$234</f>
        <v>-430000</v>
      </c>
      <c r="L107" s="13">
        <f>-'Org &amp; Capacity'!L$234</f>
        <v>0</v>
      </c>
      <c r="M107" s="13">
        <f>-'Org &amp; Capacity'!M$234</f>
        <v>0</v>
      </c>
      <c r="N107" s="13">
        <f>-'Org &amp; Capacity'!N$234</f>
        <v>0</v>
      </c>
    </row>
    <row r="108" spans="1:14" ht="15" customHeight="1" x14ac:dyDescent="0.3">
      <c r="A108" s="6" t="s">
        <v>618</v>
      </c>
      <c r="B108" s="6" t="s">
        <v>218</v>
      </c>
      <c r="C108" s="6" t="s">
        <v>222</v>
      </c>
      <c r="D108" s="63">
        <f>0</f>
        <v>0</v>
      </c>
      <c r="E108" s="13">
        <f>D108+'Acquisition Schedule'!G$20*(INDEX(Assumptions!$D$59:$F$59,1,3)*(1-Assumptions!$D$8))*INDEX(Assumptions!$D$60:$F$60,1,3)+'Acquisition Schedule'!F$20*(INDEX(Assumptions!$D$59:$F$59,1,3)*(1-Assumptions!$D$8))*(INDEX(Assumptions!$D$61:$F$61,1,3)-INDEX(Assumptions!$D$60:$F$60,1,3))</f>
        <v>51999.999999999993</v>
      </c>
      <c r="F108" s="13">
        <f>E108+'Acquisition Schedule'!H$20*(INDEX(Assumptions!$D$59:$F$59,1,3)*(1-Assumptions!$D$8))*INDEX(Assumptions!$D$60:$F$60,1,3)+'Acquisition Schedule'!G$20*(INDEX(Assumptions!$D$59:$F$59,1,3)*(1-Assumptions!$D$8))*(INDEX(Assumptions!$D$61:$F$61,1,3)-INDEX(Assumptions!$D$60:$F$60,1,3))+'Acquisition Schedule'!F$20*(INDEX(Assumptions!$D$59:$F$59,1,3)*(1-Assumptions!$D$8))*(INDEX(Assumptions!$D$62:$F$62,1,3)-INDEX(Assumptions!$D$61:$F$61,1,3))</f>
        <v>117999.99999999999</v>
      </c>
      <c r="G108" s="13">
        <f>F108+'Acquisition Schedule'!I$20*(INDEX(Assumptions!$D$59:$F$59,1,3)*(1-Assumptions!$D$8))*INDEX(Assumptions!$D$60:$F$60,1,3)+'Acquisition Schedule'!H$20*(INDEX(Assumptions!$D$59:$F$59,1,3)*(1-Assumptions!$D$8))*(INDEX(Assumptions!$D$61:$F$61,1,3)-INDEX(Assumptions!$D$60:$F$60,1,3))+'Acquisition Schedule'!G$20*(INDEX(Assumptions!$D$59:$F$59,1,3)*(1-Assumptions!$D$8))*(INDEX(Assumptions!$D$62:$F$62,1,3)-INDEX(Assumptions!$D$61:$F$61,1,3))</f>
        <v>198000</v>
      </c>
      <c r="H108" s="13">
        <f>G108+'Acquisition Schedule'!J$20*(INDEX(Assumptions!$D$59:$F$59,1,3)*(1-Assumptions!$D$8))*INDEX(Assumptions!$D$60:$F$60,1,3)+'Acquisition Schedule'!I$20*(INDEX(Assumptions!$D$59:$F$59,1,3)*(1-Assumptions!$D$8))*(INDEX(Assumptions!$D$61:$F$61,1,3)-INDEX(Assumptions!$D$60:$F$60,1,3))+'Acquisition Schedule'!H$20*(INDEX(Assumptions!$D$59:$F$59,1,3)*(1-Assumptions!$D$8))*(INDEX(Assumptions!$D$62:$F$62,1,3)-INDEX(Assumptions!$D$61:$F$61,1,3))</f>
        <v>308000</v>
      </c>
      <c r="I108" s="13">
        <f>H108+'Acquisition Schedule'!K$20*(INDEX(Assumptions!$D$59:$F$59,1,3)*(1-Assumptions!$D$8))*INDEX(Assumptions!$D$60:$F$60,1,3)+'Acquisition Schedule'!J$20*(INDEX(Assumptions!$D$59:$F$59,1,3)*(1-Assumptions!$D$8))*(INDEX(Assumptions!$D$61:$F$61,1,3)-INDEX(Assumptions!$D$60:$F$60,1,3))+'Acquisition Schedule'!I$20*(INDEX(Assumptions!$D$59:$F$59,1,3)*(1-Assumptions!$D$8))*(INDEX(Assumptions!$D$62:$F$62,1,3)-INDEX(Assumptions!$D$61:$F$61,1,3))</f>
        <v>398000</v>
      </c>
      <c r="J108" s="13">
        <f>I108+'Acquisition Schedule'!L$20*(INDEX(Assumptions!$D$59:$F$59,1,3)*(1-Assumptions!$D$8))*INDEX(Assumptions!$D$60:$F$60,1,3)+'Acquisition Schedule'!K$20*(INDEX(Assumptions!$D$59:$F$59,1,3)*(1-Assumptions!$D$8))*(INDEX(Assumptions!$D$61:$F$61,1,3)-INDEX(Assumptions!$D$60:$F$60,1,3))+'Acquisition Schedule'!J$20*(INDEX(Assumptions!$D$59:$F$59,1,3)*(1-Assumptions!$D$8))*(INDEX(Assumptions!$D$62:$F$62,1,3)-INDEX(Assumptions!$D$61:$F$61,1,3))</f>
        <v>458000</v>
      </c>
      <c r="K108" s="13">
        <f>J108+'Acquisition Schedule'!M$20*(INDEX(Assumptions!$D$59:$F$59,1,3)*(1-Assumptions!$D$8))*INDEX(Assumptions!$D$60:$F$60,1,3)+'Acquisition Schedule'!L$20*(INDEX(Assumptions!$D$59:$F$59,1,3)*(1-Assumptions!$D$8))*(INDEX(Assumptions!$D$61:$F$61,1,3)-INDEX(Assumptions!$D$60:$F$60,1,3))+'Acquisition Schedule'!K$20*(INDEX(Assumptions!$D$59:$F$59,1,3)*(1-Assumptions!$D$8))*(INDEX(Assumptions!$D$62:$F$62,1,3)-INDEX(Assumptions!$D$61:$F$61,1,3))</f>
        <v>518000</v>
      </c>
      <c r="L108" s="13">
        <f>K108+'Acquisition Schedule'!N$20*(INDEX(Assumptions!$D$59:$F$59,1,3)*(1-Assumptions!$D$8))*INDEX(Assumptions!$D$60:$F$60,1,3)+'Acquisition Schedule'!M$20*(INDEX(Assumptions!$D$59:$F$59,1,3)*(1-Assumptions!$D$8))*(INDEX(Assumptions!$D$61:$F$61,1,3)-INDEX(Assumptions!$D$60:$F$60,1,3))+'Acquisition Schedule'!L$20*(INDEX(Assumptions!$D$59:$F$59,1,3)*(1-Assumptions!$D$8))*(INDEX(Assumptions!$D$62:$F$62,1,3)-INDEX(Assumptions!$D$61:$F$61,1,3))</f>
        <v>566000</v>
      </c>
      <c r="M108" s="13">
        <f>L108+'Acquisition Schedule'!O$20*(INDEX(Assumptions!$D$59:$F$59,1,3)*(1-Assumptions!$D$8))*INDEX(Assumptions!$D$60:$F$60,1,3)+'Acquisition Schedule'!N$20*(INDEX(Assumptions!$D$59:$F$59,1,3)*(1-Assumptions!$D$8))*(INDEX(Assumptions!$D$61:$F$61,1,3)-INDEX(Assumptions!$D$60:$F$60,1,3))+'Acquisition Schedule'!M$20*(INDEX(Assumptions!$D$59:$F$59,1,3)*(1-Assumptions!$D$8))*(INDEX(Assumptions!$D$62:$F$62,1,3)-INDEX(Assumptions!$D$61:$F$61,1,3))</f>
        <v>584000</v>
      </c>
      <c r="N108" s="13">
        <f>M108+'Acquisition Schedule'!P$20*(INDEX(Assumptions!$D$59:$F$59,1,3)*(1-Assumptions!$D$8))*INDEX(Assumptions!$D$60:$F$60,1,3)+'Acquisition Schedule'!O$20*(INDEX(Assumptions!$D$59:$F$59,1,3)*(1-Assumptions!$D$8))*(INDEX(Assumptions!$D$61:$F$61,1,3)-INDEX(Assumptions!$D$60:$F$60,1,3))+'Acquisition Schedule'!N$20*(INDEX(Assumptions!$D$59:$F$59,1,3)*(1-Assumptions!$D$8))*(INDEX(Assumptions!$D$62:$F$62,1,3)-INDEX(Assumptions!$D$61:$F$61,1,3))</f>
        <v>584000</v>
      </c>
    </row>
    <row r="109" spans="1:14" ht="15" customHeight="1" x14ac:dyDescent="0.3">
      <c r="A109" s="6" t="s">
        <v>1204</v>
      </c>
      <c r="B109" s="6" t="s">
        <v>210</v>
      </c>
      <c r="C109" s="6" t="s">
        <v>222</v>
      </c>
      <c r="D109" s="63">
        <f>0</f>
        <v>0</v>
      </c>
      <c r="E109" s="13">
        <f>E93*MIN(1,1/INDEX(Assumptions!$D$77:$F$77,1,3))*(INDEX(Assumptions!$D$76:$F$76,1,3)*(1-Assumptions!$D$8))</f>
        <v>1787.5</v>
      </c>
      <c r="F109" s="13">
        <f>F93*MIN(1,2/INDEX(Assumptions!$D$77:$F$77,1,3))*(INDEX(Assumptions!$D$76:$F$76,1,3)*(1-Assumptions!$D$8))</f>
        <v>5792.0459999999994</v>
      </c>
      <c r="G109" s="13">
        <f>G93*MIN(1,3/INDEX(Assumptions!$D$77:$F$77,1,3))*(INDEX(Assumptions!$D$76:$F$76,1,3)*(1-Assumptions!$D$8))</f>
        <v>14792.707191990001</v>
      </c>
      <c r="H109" s="13">
        <f>H93*MIN(1,4/INDEX(Assumptions!$D$77:$F$77,1,3))*(INDEX(Assumptions!$D$76:$F$76,1,3)*(1-Assumptions!$D$8))</f>
        <v>21273.997147679293</v>
      </c>
      <c r="I109" s="13">
        <f>I93*MIN(1,5/INDEX(Assumptions!$D$77:$F$77,1,3))*(INDEX(Assumptions!$D$76:$F$76,1,3)*(1-Assumptions!$D$8))</f>
        <v>26000</v>
      </c>
      <c r="J109" s="13">
        <f>J93*MIN(1,6/INDEX(Assumptions!$D$77:$F$77,1,3))*(INDEX(Assumptions!$D$76:$F$76,1,3)*(1-Assumptions!$D$8))</f>
        <v>26000</v>
      </c>
      <c r="K109" s="13">
        <f>K93*MIN(1,7/INDEX(Assumptions!$D$77:$F$77,1,3))*(INDEX(Assumptions!$D$76:$F$76,1,3)*(1-Assumptions!$D$8))</f>
        <v>26000</v>
      </c>
      <c r="L109" s="13">
        <f>L93*MIN(1,8/INDEX(Assumptions!$D$77:$F$77,1,3))*(INDEX(Assumptions!$D$76:$F$76,1,3)*(1-Assumptions!$D$8))</f>
        <v>26000</v>
      </c>
      <c r="M109" s="13">
        <f>M93*MIN(1,9/INDEX(Assumptions!$D$77:$F$77,1,3))*(INDEX(Assumptions!$D$76:$F$76,1,3)*(1-Assumptions!$D$8))</f>
        <v>26000</v>
      </c>
      <c r="N109" s="13">
        <f>N93*MIN(1,10/INDEX(Assumptions!$D$77:$F$77,1,3))*(INDEX(Assumptions!$D$76:$F$76,1,3)*(1-Assumptions!$D$8))</f>
        <v>26000</v>
      </c>
    </row>
    <row r="110" spans="1:14" ht="15" customHeight="1" x14ac:dyDescent="0.3">
      <c r="A110" s="6" t="s">
        <v>1290</v>
      </c>
      <c r="B110" s="6" t="s">
        <v>218</v>
      </c>
      <c r="C110" s="6" t="s">
        <v>222</v>
      </c>
      <c r="D110" s="63">
        <f>0</f>
        <v>0</v>
      </c>
      <c r="E110" s="13">
        <f>E109*(INDEX(Assumptions!$D$68:$F$68,1,3)*(1-Assumptions!$D$8))*(1-(INDEX(Assumptions!$D$72:$F$72,1,3)*(1-Assumptions!$D$8)))</f>
        <v>68818.75</v>
      </c>
      <c r="F110" s="13">
        <f>F109*(INDEX(Assumptions!$D$68:$F$68,1,3)*(1-Assumptions!$D$8))*(1-(INDEX(Assumptions!$D$72:$F$72,1,3)*(1-Assumptions!$D$8)))</f>
        <v>222993.77099999998</v>
      </c>
      <c r="G110" s="13">
        <f>G109*(INDEX(Assumptions!$D$68:$F$68,1,3)*(1-Assumptions!$D$8))*(1-(INDEX(Assumptions!$D$72:$F$72,1,3)*(1-Assumptions!$D$8)))</f>
        <v>569519.22689161496</v>
      </c>
      <c r="H110" s="13">
        <f>H109*(INDEX(Assumptions!$D$68:$F$68,1,3)*(1-Assumptions!$D$8))*(1-(INDEX(Assumptions!$D$72:$F$72,1,3)*(1-Assumptions!$D$8)))</f>
        <v>819048.89018565265</v>
      </c>
      <c r="I110" s="13">
        <f>I109*(INDEX(Assumptions!$D$68:$F$68,1,3)*(1-Assumptions!$D$8))*(1-(INDEX(Assumptions!$D$72:$F$72,1,3)*(1-Assumptions!$D$8)))</f>
        <v>1000999.9999999999</v>
      </c>
      <c r="J110" s="13">
        <f>J109*(INDEX(Assumptions!$D$68:$F$68,1,3)*(1-Assumptions!$D$8))*(1-(INDEX(Assumptions!$D$72:$F$72,1,3)*(1-Assumptions!$D$8)))</f>
        <v>1000999.9999999999</v>
      </c>
      <c r="K110" s="13">
        <f>K109*(INDEX(Assumptions!$D$68:$F$68,1,3)*(1-Assumptions!$D$8))*(1-(INDEX(Assumptions!$D$72:$F$72,1,3)*(1-Assumptions!$D$8)))</f>
        <v>1000999.9999999999</v>
      </c>
      <c r="L110" s="13">
        <f>L109*(INDEX(Assumptions!$D$68:$F$68,1,3)*(1-Assumptions!$D$8))*(1-(INDEX(Assumptions!$D$72:$F$72,1,3)*(1-Assumptions!$D$8)))</f>
        <v>1000999.9999999999</v>
      </c>
      <c r="M110" s="13">
        <f>M109*(INDEX(Assumptions!$D$68:$F$68,1,3)*(1-Assumptions!$D$8))*(1-(INDEX(Assumptions!$D$72:$F$72,1,3)*(1-Assumptions!$D$8)))</f>
        <v>1000999.9999999999</v>
      </c>
      <c r="N110" s="13">
        <f>N109*(INDEX(Assumptions!$D$68:$F$68,1,3)*(1-Assumptions!$D$8))*(1-(INDEX(Assumptions!$D$72:$F$72,1,3)*(1-Assumptions!$D$8)))</f>
        <v>1000999.9999999999</v>
      </c>
    </row>
    <row r="111" spans="1:14" ht="15" customHeight="1" x14ac:dyDescent="0.3">
      <c r="A111" s="6" t="s">
        <v>1291</v>
      </c>
      <c r="B111" s="6" t="s">
        <v>218</v>
      </c>
      <c r="C111" s="6" t="s">
        <v>222</v>
      </c>
      <c r="D111" s="13">
        <f>-D110*INDEX(Assumptions!$D$73:$F$73,1,3)</f>
        <v>0</v>
      </c>
      <c r="E111" s="13">
        <f>-E110*INDEX(Assumptions!$D$73:$F$73,1,3)</f>
        <v>-16516.5</v>
      </c>
      <c r="F111" s="13">
        <f>-F110*INDEX(Assumptions!$D$73:$F$73,1,3)</f>
        <v>-53518.505039999996</v>
      </c>
      <c r="G111" s="13">
        <f>-G110*INDEX(Assumptions!$D$73:$F$73,1,3)</f>
        <v>-136684.6144539876</v>
      </c>
      <c r="H111" s="13">
        <f>-H110*INDEX(Assumptions!$D$73:$F$73,1,3)</f>
        <v>-196571.73364455663</v>
      </c>
      <c r="I111" s="13">
        <f>-I110*INDEX(Assumptions!$D$73:$F$73,1,3)</f>
        <v>-240239.99999999997</v>
      </c>
      <c r="J111" s="13">
        <f>-J110*INDEX(Assumptions!$D$73:$F$73,1,3)</f>
        <v>-240239.99999999997</v>
      </c>
      <c r="K111" s="13">
        <f>-K110*INDEX(Assumptions!$D$73:$F$73,1,3)</f>
        <v>-240239.99999999997</v>
      </c>
      <c r="L111" s="13">
        <f>-L110*INDEX(Assumptions!$D$73:$F$73,1,3)</f>
        <v>-240239.99999999997</v>
      </c>
      <c r="M111" s="13">
        <f>-M110*INDEX(Assumptions!$D$73:$F$73,1,3)</f>
        <v>-240239.99999999997</v>
      </c>
      <c r="N111" s="13">
        <f>-N110*INDEX(Assumptions!$D$73:$F$73,1,3)</f>
        <v>-240239.99999999997</v>
      </c>
    </row>
    <row r="112" spans="1:14" ht="15" customHeight="1" x14ac:dyDescent="0.3">
      <c r="A112" s="6" t="s">
        <v>1292</v>
      </c>
      <c r="B112" s="6" t="s">
        <v>218</v>
      </c>
      <c r="C112" s="6" t="s">
        <v>222</v>
      </c>
      <c r="D112" s="63">
        <f>0</f>
        <v>0</v>
      </c>
      <c r="E112" s="13">
        <f>E109*(INDEX(Assumptions!$D$69:$F$69,1,3)*(1-Assumptions!$D$8))*(1-(INDEX(Assumptions!$D$72:$F$72,1,3)*(1-Assumptions!$D$8)))</f>
        <v>100100</v>
      </c>
      <c r="F112" s="13">
        <f>F109*(INDEX(Assumptions!$D$69:$F$69,1,3)*(1-Assumptions!$D$8))*(1-(INDEX(Assumptions!$D$72:$F$72,1,3)*(1-Assumptions!$D$8)))</f>
        <v>324354.57599999994</v>
      </c>
      <c r="G112" s="13">
        <f>G109*(INDEX(Assumptions!$D$69:$F$69,1,3)*(1-Assumptions!$D$8))*(1-(INDEX(Assumptions!$D$72:$F$72,1,3)*(1-Assumptions!$D$8)))</f>
        <v>828391.60275144002</v>
      </c>
      <c r="H112" s="13">
        <f>H109*(INDEX(Assumptions!$D$69:$F$69,1,3)*(1-Assumptions!$D$8))*(1-(INDEX(Assumptions!$D$72:$F$72,1,3)*(1-Assumptions!$D$8)))</f>
        <v>1191343.8402700403</v>
      </c>
      <c r="I112" s="13">
        <f>I109*(INDEX(Assumptions!$D$69:$F$69,1,3)*(1-Assumptions!$D$8))*(1-(INDEX(Assumptions!$D$72:$F$72,1,3)*(1-Assumptions!$D$8)))</f>
        <v>1456000</v>
      </c>
      <c r="J112" s="13">
        <f>J109*(INDEX(Assumptions!$D$69:$F$69,1,3)*(1-Assumptions!$D$8))*(1-(INDEX(Assumptions!$D$72:$F$72,1,3)*(1-Assumptions!$D$8)))</f>
        <v>1456000</v>
      </c>
      <c r="K112" s="13">
        <f>K109*(INDEX(Assumptions!$D$69:$F$69,1,3)*(1-Assumptions!$D$8))*(1-(INDEX(Assumptions!$D$72:$F$72,1,3)*(1-Assumptions!$D$8)))</f>
        <v>1456000</v>
      </c>
      <c r="L112" s="13">
        <f>L109*(INDEX(Assumptions!$D$69:$F$69,1,3)*(1-Assumptions!$D$8))*(1-(INDEX(Assumptions!$D$72:$F$72,1,3)*(1-Assumptions!$D$8)))</f>
        <v>1456000</v>
      </c>
      <c r="M112" s="13">
        <f>M109*(INDEX(Assumptions!$D$69:$F$69,1,3)*(1-Assumptions!$D$8))*(1-(INDEX(Assumptions!$D$72:$F$72,1,3)*(1-Assumptions!$D$8)))</f>
        <v>1456000</v>
      </c>
      <c r="N112" s="13">
        <f>N109*(INDEX(Assumptions!$D$69:$F$69,1,3)*(1-Assumptions!$D$8))*(1-(INDEX(Assumptions!$D$72:$F$72,1,3)*(1-Assumptions!$D$8)))</f>
        <v>1456000</v>
      </c>
    </row>
    <row r="113" spans="1:14" ht="15" customHeight="1" x14ac:dyDescent="0.3">
      <c r="A113" s="6" t="s">
        <v>1293</v>
      </c>
      <c r="B113" s="6" t="s">
        <v>218</v>
      </c>
      <c r="C113" s="6" t="s">
        <v>326</v>
      </c>
      <c r="D113" s="13">
        <f>-D109*INDEX(Assumptions!$D$74:$F$74,1,3)</f>
        <v>0</v>
      </c>
      <c r="E113" s="13">
        <f>-E109*INDEX(Assumptions!$D$74:$F$74,1,3)</f>
        <v>-42976.649584487532</v>
      </c>
      <c r="F113" s="13">
        <f>-F109*INDEX(Assumptions!$D$74:$F$74,1,3)</f>
        <v>-139257.47206670357</v>
      </c>
      <c r="G113" s="13">
        <f>-G109*INDEX(Assumptions!$D$74:$F$74,1,3)</f>
        <v>-355659.29700480157</v>
      </c>
      <c r="H113" s="13">
        <f>-H109*INDEX(Assumptions!$D$74:$F$74,1,3)</f>
        <v>-511488.17939983227</v>
      </c>
      <c r="I113" s="13">
        <f>-I109*INDEX(Assumptions!$D$74:$F$74,1,3)</f>
        <v>-625114.90304709133</v>
      </c>
      <c r="J113" s="13">
        <f>-J109*INDEX(Assumptions!$D$74:$F$74,1,3)</f>
        <v>-625114.90304709133</v>
      </c>
      <c r="K113" s="13">
        <f>-K109*INDEX(Assumptions!$D$74:$F$74,1,3)</f>
        <v>-625114.90304709133</v>
      </c>
      <c r="L113" s="13">
        <f>-L109*INDEX(Assumptions!$D$74:$F$74,1,3)</f>
        <v>-625114.90304709133</v>
      </c>
      <c r="M113" s="13">
        <f>-M109*INDEX(Assumptions!$D$74:$F$74,1,3)</f>
        <v>-625114.90304709133</v>
      </c>
      <c r="N113" s="13">
        <f>-N109*INDEX(Assumptions!$D$74:$F$74,1,3)</f>
        <v>-625114.90304709133</v>
      </c>
    </row>
    <row r="114" spans="1:14" ht="15" customHeight="1" x14ac:dyDescent="0.3">
      <c r="A114" s="6" t="s">
        <v>1294</v>
      </c>
      <c r="B114" s="6" t="s">
        <v>218</v>
      </c>
      <c r="C114" s="6" t="s">
        <v>222</v>
      </c>
      <c r="D114" s="63">
        <f>0</f>
        <v>0</v>
      </c>
      <c r="E114" s="13">
        <f>E109*(INDEX(Assumptions!$D$70:$F$70,1,3)*(1-Assumptions!$D$8))</f>
        <v>28600</v>
      </c>
      <c r="F114" s="13">
        <f>F109*(INDEX(Assumptions!$D$70:$F$70,1,3)*(1-Assumptions!$D$8))</f>
        <v>92672.73599999999</v>
      </c>
      <c r="G114" s="13">
        <f>G109*(INDEX(Assumptions!$D$70:$F$70,1,3)*(1-Assumptions!$D$8))</f>
        <v>236683.31507184001</v>
      </c>
      <c r="H114" s="13">
        <f>H109*(INDEX(Assumptions!$D$70:$F$70,1,3)*(1-Assumptions!$D$8))</f>
        <v>340383.95436286868</v>
      </c>
      <c r="I114" s="13">
        <f>I109*(INDEX(Assumptions!$D$70:$F$70,1,3)*(1-Assumptions!$D$8))</f>
        <v>416000</v>
      </c>
      <c r="J114" s="13">
        <f>J109*(INDEX(Assumptions!$D$70:$F$70,1,3)*(1-Assumptions!$D$8))</f>
        <v>416000</v>
      </c>
      <c r="K114" s="13">
        <f>K109*(INDEX(Assumptions!$D$70:$F$70,1,3)*(1-Assumptions!$D$8))</f>
        <v>416000</v>
      </c>
      <c r="L114" s="13">
        <f>L109*(INDEX(Assumptions!$D$70:$F$70,1,3)*(1-Assumptions!$D$8))</f>
        <v>416000</v>
      </c>
      <c r="M114" s="13">
        <f>M109*(INDEX(Assumptions!$D$70:$F$70,1,3)*(1-Assumptions!$D$8))</f>
        <v>416000</v>
      </c>
      <c r="N114" s="13">
        <f>N109*(INDEX(Assumptions!$D$70:$F$70,1,3)*(1-Assumptions!$D$8))</f>
        <v>416000</v>
      </c>
    </row>
    <row r="115" spans="1:14" ht="15" customHeight="1" x14ac:dyDescent="0.3">
      <c r="A115" s="6" t="s">
        <v>1295</v>
      </c>
      <c r="B115" s="6" t="s">
        <v>218</v>
      </c>
      <c r="C115" s="6" t="s">
        <v>222</v>
      </c>
      <c r="D115" s="13">
        <f>-D114*INDEX(Assumptions!$D$75:$F$75,1,3)</f>
        <v>0</v>
      </c>
      <c r="E115" s="13">
        <f>-E114*INDEX(Assumptions!$D$75:$F$75,1,3)</f>
        <v>-4576</v>
      </c>
      <c r="F115" s="13">
        <f>-F114*INDEX(Assumptions!$D$75:$F$75,1,3)</f>
        <v>-14827.637759999998</v>
      </c>
      <c r="G115" s="13">
        <f>-G114*INDEX(Assumptions!$D$75:$F$75,1,3)</f>
        <v>-37869.330411494404</v>
      </c>
      <c r="H115" s="13">
        <f>-H114*INDEX(Assumptions!$D$75:$F$75,1,3)</f>
        <v>-54461.43269805899</v>
      </c>
      <c r="I115" s="13">
        <f>-I114*INDEX(Assumptions!$D$75:$F$75,1,3)</f>
        <v>-66560</v>
      </c>
      <c r="J115" s="13">
        <f>-J114*INDEX(Assumptions!$D$75:$F$75,1,3)</f>
        <v>-66560</v>
      </c>
      <c r="K115" s="13">
        <f>-K114*INDEX(Assumptions!$D$75:$F$75,1,3)</f>
        <v>-66560</v>
      </c>
      <c r="L115" s="13">
        <f>-L114*INDEX(Assumptions!$D$75:$F$75,1,3)</f>
        <v>-66560</v>
      </c>
      <c r="M115" s="13">
        <f>-M114*INDEX(Assumptions!$D$75:$F$75,1,3)</f>
        <v>-66560</v>
      </c>
      <c r="N115" s="13">
        <f>-N114*INDEX(Assumptions!$D$75:$F$75,1,3)</f>
        <v>-66560</v>
      </c>
    </row>
    <row r="116" spans="1:14" ht="15" customHeight="1" x14ac:dyDescent="0.3">
      <c r="A116" s="6" t="s">
        <v>253</v>
      </c>
      <c r="B116" s="6" t="s">
        <v>218</v>
      </c>
      <c r="C116" s="6" t="s">
        <v>222</v>
      </c>
      <c r="D116" s="63">
        <f>0</f>
        <v>0</v>
      </c>
      <c r="E116" s="13">
        <f>-MAX(0,E109-D109)*(INDEX(Assumptions!$D$78:$F$78,1,3)*(1-Assumptions!$D$8))</f>
        <v>-16087.5</v>
      </c>
      <c r="F116" s="13">
        <f>-MAX(0,F109-E109)*(INDEX(Assumptions!$D$78:$F$78,1,3)*(1-Assumptions!$D$8))</f>
        <v>-36040.913999999997</v>
      </c>
      <c r="G116" s="13">
        <f>-MAX(0,G109-F109)*(INDEX(Assumptions!$D$78:$F$78,1,3)*(1-Assumptions!$D$8))</f>
        <v>-81005.950727910022</v>
      </c>
      <c r="H116" s="13">
        <f>-MAX(0,H109-G109)*(INDEX(Assumptions!$D$78:$F$78,1,3)*(1-Assumptions!$D$8))</f>
        <v>-58331.609601203629</v>
      </c>
      <c r="I116" s="13">
        <f>-MAX(0,I109-H109)*(INDEX(Assumptions!$D$78:$F$78,1,3)*(1-Assumptions!$D$8))</f>
        <v>-42534.025670886367</v>
      </c>
      <c r="J116" s="13">
        <f>-MAX(0,J109-I109)*(INDEX(Assumptions!$D$78:$F$78,1,3)*(1-Assumptions!$D$8))</f>
        <v>0</v>
      </c>
      <c r="K116" s="13">
        <f>-MAX(0,K109-J109)*(INDEX(Assumptions!$D$78:$F$78,1,3)*(1-Assumptions!$D$8))</f>
        <v>0</v>
      </c>
      <c r="L116" s="13">
        <f>-MAX(0,L109-K109)*(INDEX(Assumptions!$D$78:$F$78,1,3)*(1-Assumptions!$D$8))</f>
        <v>0</v>
      </c>
      <c r="M116" s="13">
        <f>-MAX(0,M109-L109)*(INDEX(Assumptions!$D$78:$F$78,1,3)*(1-Assumptions!$D$8))</f>
        <v>0</v>
      </c>
      <c r="N116" s="13">
        <f>-MAX(0,N109-M109)*(INDEX(Assumptions!$D$78:$F$78,1,3)*(1-Assumptions!$D$8))</f>
        <v>0</v>
      </c>
    </row>
    <row r="117" spans="1:14" ht="15" customHeight="1" x14ac:dyDescent="0.3">
      <c r="A117" s="1" t="s">
        <v>291</v>
      </c>
      <c r="B117" s="6" t="s">
        <v>218</v>
      </c>
      <c r="C117" s="6" t="s">
        <v>222</v>
      </c>
      <c r="D117" s="40">
        <f t="shared" ref="D117:N117" si="16">D110+D111+D112+D113+D114+D115+D116+D106</f>
        <v>0</v>
      </c>
      <c r="E117" s="40">
        <f t="shared" si="16"/>
        <v>-226033.89708448754</v>
      </c>
      <c r="F117" s="40">
        <f t="shared" si="16"/>
        <v>44052.260698296363</v>
      </c>
      <c r="G117" s="40">
        <f t="shared" si="16"/>
        <v>101869.15726577537</v>
      </c>
      <c r="H117" s="40">
        <f t="shared" si="16"/>
        <v>380760.49427277432</v>
      </c>
      <c r="I117" s="40">
        <f t="shared" si="16"/>
        <v>450089.14960945817</v>
      </c>
      <c r="J117" s="40">
        <f t="shared" si="16"/>
        <v>454963.16531685763</v>
      </c>
      <c r="K117" s="40">
        <f t="shared" si="16"/>
        <v>416323.99509432027</v>
      </c>
      <c r="L117" s="40">
        <f t="shared" si="16"/>
        <v>376680.20644599712</v>
      </c>
      <c r="M117" s="40">
        <f t="shared" si="16"/>
        <v>336005.6792928176</v>
      </c>
      <c r="N117" s="40">
        <f t="shared" si="16"/>
        <v>294273.61443365528</v>
      </c>
    </row>
    <row r="118" spans="1:14" ht="15" customHeight="1" x14ac:dyDescent="0.3">
      <c r="A118" s="1" t="s">
        <v>1296</v>
      </c>
      <c r="B118" s="6" t="s">
        <v>218</v>
      </c>
      <c r="C118" s="6" t="s">
        <v>222</v>
      </c>
      <c r="D118" s="40">
        <f t="shared" ref="D118:N118" si="17">D99+D101+D102+D103+D104+D105+D107+D108+D117</f>
        <v>-1292083.3490678051</v>
      </c>
      <c r="E118" s="40">
        <f t="shared" si="17"/>
        <v>-1418961.1264619448</v>
      </c>
      <c r="F118" s="40">
        <f t="shared" si="17"/>
        <v>-819805.34344219835</v>
      </c>
      <c r="G118" s="40">
        <f t="shared" si="17"/>
        <v>-442312.73277112516</v>
      </c>
      <c r="H118" s="40">
        <f t="shared" si="17"/>
        <v>646724.00476119516</v>
      </c>
      <c r="I118" s="40">
        <f t="shared" si="17"/>
        <v>1469253.8032209603</v>
      </c>
      <c r="J118" s="40">
        <f t="shared" si="17"/>
        <v>1752100.9922588172</v>
      </c>
      <c r="K118" s="40">
        <f t="shared" si="17"/>
        <v>2009069.140960027</v>
      </c>
      <c r="L118" s="40">
        <f t="shared" si="17"/>
        <v>2767859.0198488035</v>
      </c>
      <c r="M118" s="40">
        <f t="shared" si="17"/>
        <v>2642236.1138269547</v>
      </c>
      <c r="N118" s="40">
        <f t="shared" si="17"/>
        <v>2360353.330472162</v>
      </c>
    </row>
    <row r="119" spans="1:14" ht="15" customHeight="1" x14ac:dyDescent="0.3">
      <c r="A119" s="1" t="s">
        <v>254</v>
      </c>
      <c r="B119" s="6" t="s">
        <v>218</v>
      </c>
      <c r="C119" s="6" t="s">
        <v>211</v>
      </c>
      <c r="D119" s="61">
        <f t="shared" ref="D119:N119" si="18">D98+D118</f>
        <v>-332083.3490678051</v>
      </c>
      <c r="E119" s="61">
        <f t="shared" si="18"/>
        <v>-98961.126461944776</v>
      </c>
      <c r="F119" s="61">
        <f t="shared" si="18"/>
        <v>1157314.6565578016</v>
      </c>
      <c r="G119" s="61">
        <f t="shared" si="18"/>
        <v>2748885.907228875</v>
      </c>
      <c r="H119" s="61">
        <f t="shared" si="18"/>
        <v>5011779.1338411942</v>
      </c>
      <c r="I119" s="61">
        <f t="shared" si="18"/>
        <v>6291977.8213462206</v>
      </c>
      <c r="J119" s="61">
        <f t="shared" si="18"/>
        <v>7002516.5871968726</v>
      </c>
      <c r="K119" s="61">
        <f t="shared" si="18"/>
        <v>7659162.51442964</v>
      </c>
      <c r="L119" s="61">
        <f t="shared" si="18"/>
        <v>8431451.2773561571</v>
      </c>
      <c r="M119" s="61">
        <f t="shared" si="18"/>
        <v>7934863.0784675768</v>
      </c>
      <c r="N119" s="61">
        <f t="shared" si="18"/>
        <v>7306313.228928823</v>
      </c>
    </row>
    <row r="120" spans="1:14" ht="15" customHeight="1" x14ac:dyDescent="0.3">
      <c r="A120" s="6" t="s">
        <v>255</v>
      </c>
      <c r="B120" s="6" t="s">
        <v>218</v>
      </c>
      <c r="C120" s="6" t="s">
        <v>211</v>
      </c>
      <c r="D120" s="13">
        <f>-'Org &amp; Capacity'!D$224</f>
        <v>-1446175.214445</v>
      </c>
      <c r="E120" s="13">
        <f>-'Org &amp; Capacity'!E$224</f>
        <v>-1651887.6259450002</v>
      </c>
      <c r="F120" s="13">
        <f>-'Org &amp; Capacity'!F$224</f>
        <v>-1694836.7042195702</v>
      </c>
      <c r="G120" s="13">
        <f>-'Org &amp; Capacity'!G$224</f>
        <v>-1738902.4585292789</v>
      </c>
      <c r="H120" s="13">
        <f>-'Org &amp; Capacity'!H$224</f>
        <v>-1784113.9224510405</v>
      </c>
      <c r="I120" s="13">
        <f>-'Org &amp; Capacity'!I$224</f>
        <v>-1830500.8844347673</v>
      </c>
      <c r="J120" s="13">
        <f>-'Org &amp; Capacity'!J$224</f>
        <v>-1878093.9074300714</v>
      </c>
      <c r="K120" s="13">
        <f>-'Org &amp; Capacity'!K$224</f>
        <v>-1926924.349023253</v>
      </c>
      <c r="L120" s="13">
        <f>-'Org &amp; Capacity'!L$224</f>
        <v>-1977024.3820978578</v>
      </c>
      <c r="M120" s="13">
        <f>-'Org &amp; Capacity'!M$224</f>
        <v>-2028427.0160324017</v>
      </c>
      <c r="N120" s="13">
        <f>-'Org &amp; Capacity'!N$224</f>
        <v>-2081166.1184492442</v>
      </c>
    </row>
    <row r="121" spans="1:14" ht="15" customHeight="1" x14ac:dyDescent="0.3">
      <c r="A121" s="6" t="s">
        <v>192</v>
      </c>
      <c r="B121" s="6" t="s">
        <v>218</v>
      </c>
      <c r="C121" s="6" t="s">
        <v>222</v>
      </c>
      <c r="D121" s="13">
        <f>-'Org &amp; Capacity'!D$235</f>
        <v>-610000</v>
      </c>
      <c r="E121" s="13">
        <f>-'Org &amp; Capacity'!E$235</f>
        <v>-610000</v>
      </c>
      <c r="F121" s="13">
        <f>-'Org &amp; Capacity'!F$235</f>
        <v>-640500</v>
      </c>
      <c r="G121" s="13">
        <f>-'Org &amp; Capacity'!G$235</f>
        <v>-672525</v>
      </c>
      <c r="H121" s="13">
        <f>-'Org &amp; Capacity'!H$235</f>
        <v>-706151.25000000012</v>
      </c>
      <c r="I121" s="13">
        <f>-'Org &amp; Capacity'!I$235</f>
        <v>-741458.8125</v>
      </c>
      <c r="J121" s="13">
        <f>-'Org &amp; Capacity'!J$235</f>
        <v>-778531.75312500005</v>
      </c>
      <c r="K121" s="13">
        <f>-'Org &amp; Capacity'!K$235</f>
        <v>-817458.34078125004</v>
      </c>
      <c r="L121" s="13">
        <f>-'Org &amp; Capacity'!L$235</f>
        <v>-858331.25782031263</v>
      </c>
      <c r="M121" s="13">
        <f>-'Org &amp; Capacity'!M$235</f>
        <v>-901247.82071132818</v>
      </c>
      <c r="N121" s="13">
        <f>-'Org &amp; Capacity'!N$235</f>
        <v>-946310.21174689464</v>
      </c>
    </row>
    <row r="122" spans="1:14" ht="15" customHeight="1" x14ac:dyDescent="0.3">
      <c r="A122" s="1" t="s">
        <v>256</v>
      </c>
      <c r="B122" s="6" t="s">
        <v>218</v>
      </c>
      <c r="C122" s="6" t="s">
        <v>211</v>
      </c>
      <c r="D122" s="61">
        <f t="shared" ref="D122:N122" si="19">D119+D120+D121</f>
        <v>-2388258.5635128049</v>
      </c>
      <c r="E122" s="61">
        <f t="shared" si="19"/>
        <v>-2360848.752406945</v>
      </c>
      <c r="F122" s="61">
        <f t="shared" si="19"/>
        <v>-1178022.0476617685</v>
      </c>
      <c r="G122" s="61">
        <f t="shared" si="19"/>
        <v>337458.44869959611</v>
      </c>
      <c r="H122" s="61">
        <f t="shared" si="19"/>
        <v>2521513.9613901535</v>
      </c>
      <c r="I122" s="61">
        <f t="shared" si="19"/>
        <v>3720018.1244114535</v>
      </c>
      <c r="J122" s="61">
        <f t="shared" si="19"/>
        <v>4345890.9266418014</v>
      </c>
      <c r="K122" s="61">
        <f t="shared" si="19"/>
        <v>4914779.8246251373</v>
      </c>
      <c r="L122" s="61">
        <f t="shared" si="19"/>
        <v>5596095.6374379862</v>
      </c>
      <c r="M122" s="61">
        <f t="shared" si="19"/>
        <v>5005188.2417238466</v>
      </c>
      <c r="N122" s="61">
        <f t="shared" si="19"/>
        <v>4278836.8987326836</v>
      </c>
    </row>
    <row r="123" spans="1:14" ht="15" customHeight="1" x14ac:dyDescent="0.3">
      <c r="A123" s="6" t="s">
        <v>1297</v>
      </c>
      <c r="B123" s="6" t="s">
        <v>218</v>
      </c>
      <c r="C123" s="6" t="s">
        <v>211</v>
      </c>
      <c r="D123" s="13">
        <f>'Revenue &amp; Durability'!D$194+D118+D120+D121</f>
        <v>-3348258.5635128049</v>
      </c>
      <c r="E123" s="13">
        <f>'Revenue &amp; Durability'!E$194+E118+E120+E121</f>
        <v>-2000848.752406945</v>
      </c>
      <c r="F123" s="13">
        <f>'Revenue &amp; Durability'!F$194+F118+F120+F121</f>
        <v>-656540.44766176841</v>
      </c>
      <c r="G123" s="13">
        <f>'Revenue &amp; Durability'!G$194+G118+G120+G121</f>
        <v>1747541.579035596</v>
      </c>
      <c r="H123" s="13">
        <f>'Revenue &amp; Durability'!H$194+H118+H120+H121</f>
        <v>3753135.053277364</v>
      </c>
      <c r="I123" s="13">
        <f>'Revenue &amp; Durability'!I$194+I118+I120+I121</f>
        <v>5657294.1062861932</v>
      </c>
      <c r="J123" s="13">
        <f>'Revenue &amp; Durability'!J$194+J118+J120+J121</f>
        <v>5855475.3317037458</v>
      </c>
      <c r="K123" s="13">
        <f>'Revenue &amp; Durability'!K$194+K118+K120+K121</f>
        <v>6024686.4511555238</v>
      </c>
      <c r="L123" s="13">
        <f>'Revenue &amp; Durability'!L$194+L118+L120+L121</f>
        <v>6332503.3799306322</v>
      </c>
      <c r="M123" s="13">
        <f>'Revenue &amp; Durability'!M$194+M118+M120+M121</f>
        <v>6112561.2770832255</v>
      </c>
      <c r="N123" s="13">
        <f>'Revenue &amp; Durability'!N$194+N118+N120+N121</f>
        <v>5732877.0002760226</v>
      </c>
    </row>
    <row r="124" spans="1:14" ht="15" customHeight="1" x14ac:dyDescent="0.3">
      <c r="A124" s="6" t="s">
        <v>1298</v>
      </c>
      <c r="B124" s="6" t="s">
        <v>218</v>
      </c>
      <c r="C124" s="6" t="s">
        <v>222</v>
      </c>
      <c r="D124" s="13">
        <f>-D93*INDEX(Assumptions!$D$89:$F$89,1,3)</f>
        <v>-165000</v>
      </c>
      <c r="E124" s="13">
        <f>-E93*INDEX(Assumptions!$D$89:$F$89,1,3)</f>
        <v>-226875</v>
      </c>
      <c r="F124" s="13">
        <f>-F93*INDEX(Assumptions!$D$89:$F$89,1,3)</f>
        <v>-367572.15</v>
      </c>
      <c r="G124" s="13">
        <f>-G93*INDEX(Assumptions!$D$89:$F$89,1,3)</f>
        <v>-625845.30427650001</v>
      </c>
      <c r="H124" s="13">
        <f>-H93*INDEX(Assumptions!$D$89:$F$89,1,3)</f>
        <v>-900053.72547873924</v>
      </c>
      <c r="I124" s="13">
        <f>-I93*INDEX(Assumptions!$D$89:$F$89,1,3)</f>
        <v>-1100000</v>
      </c>
      <c r="J124" s="13">
        <f>-J93*INDEX(Assumptions!$D$89:$F$89,1,3)</f>
        <v>-1100000</v>
      </c>
      <c r="K124" s="13">
        <f>-K93*INDEX(Assumptions!$D$89:$F$89,1,3)</f>
        <v>-1100000</v>
      </c>
      <c r="L124" s="13">
        <f>-L93*INDEX(Assumptions!$D$89:$F$89,1,3)</f>
        <v>-1100000</v>
      </c>
      <c r="M124" s="13">
        <f>-M93*INDEX(Assumptions!$D$89:$F$89,1,3)</f>
        <v>-1100000</v>
      </c>
      <c r="N124" s="13">
        <f>-N93*INDEX(Assumptions!$D$89:$F$89,1,3)</f>
        <v>-1100000</v>
      </c>
    </row>
    <row r="125" spans="1:14" ht="15" customHeight="1" x14ac:dyDescent="0.3">
      <c r="A125" s="6" t="s">
        <v>1299</v>
      </c>
      <c r="B125" s="6" t="s">
        <v>218</v>
      </c>
      <c r="C125" s="6" t="s">
        <v>222</v>
      </c>
      <c r="D125" s="13">
        <f>D93*INDEX(Assumptions!$D$90:$F$90,1,3)</f>
        <v>135000</v>
      </c>
      <c r="E125" s="13">
        <f>E93*INDEX(Assumptions!$D$90:$F$90,1,3)</f>
        <v>185625</v>
      </c>
      <c r="F125" s="13">
        <f>F93*INDEX(Assumptions!$D$90:$F$90,1,3)</f>
        <v>300740.85000000003</v>
      </c>
      <c r="G125" s="13">
        <f>G93*INDEX(Assumptions!$D$90:$F$90,1,3)</f>
        <v>512055.24895350006</v>
      </c>
      <c r="H125" s="13">
        <f>H93*INDEX(Assumptions!$D$90:$F$90,1,3)</f>
        <v>736407.59357351391</v>
      </c>
      <c r="I125" s="13">
        <f>I93*INDEX(Assumptions!$D$90:$F$90,1,3)</f>
        <v>900000</v>
      </c>
      <c r="J125" s="13">
        <f>J93*INDEX(Assumptions!$D$90:$F$90,1,3)</f>
        <v>900000</v>
      </c>
      <c r="K125" s="13">
        <f>K93*INDEX(Assumptions!$D$90:$F$90,1,3)</f>
        <v>900000</v>
      </c>
      <c r="L125" s="13">
        <f>L93*INDEX(Assumptions!$D$90:$F$90,1,3)</f>
        <v>900000</v>
      </c>
      <c r="M125" s="13">
        <f>M93*INDEX(Assumptions!$D$90:$F$90,1,3)</f>
        <v>900000</v>
      </c>
      <c r="N125" s="13">
        <f>N93*INDEX(Assumptions!$D$90:$F$90,1,3)</f>
        <v>900000</v>
      </c>
    </row>
    <row r="126" spans="1:14" ht="15" customHeight="1" x14ac:dyDescent="0.3">
      <c r="A126" s="6" t="s">
        <v>1300</v>
      </c>
      <c r="B126" s="6" t="s">
        <v>218</v>
      </c>
      <c r="C126" s="6" t="s">
        <v>211</v>
      </c>
      <c r="D126" s="63">
        <f>-D125</f>
        <v>-135000</v>
      </c>
      <c r="E126" s="63">
        <f t="shared" ref="E126:N126" si="20">-(E125-D125)</f>
        <v>-50625</v>
      </c>
      <c r="F126" s="63">
        <f t="shared" si="20"/>
        <v>-115115.85000000003</v>
      </c>
      <c r="G126" s="63">
        <f t="shared" si="20"/>
        <v>-211314.39895350003</v>
      </c>
      <c r="H126" s="63">
        <f t="shared" si="20"/>
        <v>-224352.34462001384</v>
      </c>
      <c r="I126" s="63">
        <f t="shared" si="20"/>
        <v>-163592.40642648609</v>
      </c>
      <c r="J126" s="63">
        <f t="shared" si="20"/>
        <v>0</v>
      </c>
      <c r="K126" s="63">
        <f t="shared" si="20"/>
        <v>0</v>
      </c>
      <c r="L126" s="63">
        <f t="shared" si="20"/>
        <v>0</v>
      </c>
      <c r="M126" s="63">
        <f t="shared" si="20"/>
        <v>0</v>
      </c>
      <c r="N126" s="63">
        <f t="shared" si="20"/>
        <v>0</v>
      </c>
    </row>
    <row r="127" spans="1:14" ht="15" customHeight="1" x14ac:dyDescent="0.3">
      <c r="A127" s="6" t="s">
        <v>84</v>
      </c>
      <c r="B127" s="6" t="s">
        <v>219</v>
      </c>
      <c r="C127" s="6" t="s">
        <v>211</v>
      </c>
      <c r="D127" s="13">
        <f>'Org &amp; Capacity'!D$236</f>
        <v>19</v>
      </c>
      <c r="E127" s="13">
        <f>'Org &amp; Capacity'!E$236</f>
        <v>27.425000000000001</v>
      </c>
      <c r="F127" s="13">
        <f>'Org &amp; Capacity'!F$236</f>
        <v>31.936626</v>
      </c>
      <c r="G127" s="13">
        <f>'Org &amp; Capacity'!G$236</f>
        <v>46.875802</v>
      </c>
      <c r="H127" s="13">
        <f>'Org &amp; Capacity'!H$236</f>
        <v>60.872923</v>
      </c>
      <c r="I127" s="13">
        <f>'Org &amp; Capacity'!I$236</f>
        <v>71.599999999999994</v>
      </c>
      <c r="J127" s="13">
        <f>'Org &amp; Capacity'!J$236</f>
        <v>71.599999999999994</v>
      </c>
      <c r="K127" s="13">
        <f>'Org &amp; Capacity'!K$236</f>
        <v>71.599999999999994</v>
      </c>
      <c r="L127" s="13">
        <f>'Org &amp; Capacity'!L$236</f>
        <v>71.599999999999994</v>
      </c>
      <c r="M127" s="13">
        <f>'Org &amp; Capacity'!M$236</f>
        <v>71.599999999999994</v>
      </c>
      <c r="N127" s="13">
        <f>'Org &amp; Capacity'!N$236</f>
        <v>71.599999999999994</v>
      </c>
    </row>
    <row r="128" spans="1:14" ht="15" customHeight="1" x14ac:dyDescent="0.3">
      <c r="A128" s="6" t="s">
        <v>85</v>
      </c>
      <c r="B128" s="6" t="s">
        <v>344</v>
      </c>
      <c r="C128" s="6" t="s">
        <v>211</v>
      </c>
      <c r="D128" s="13">
        <f>IF(D93=0,0,('Org &amp; Capacity'!D$222+'Org &amp; Capacity'!D$224+'Org &amp; Capacity'!D$227+'Org &amp; Capacity'!D$230)/D93)</f>
        <v>399.15972259266664</v>
      </c>
      <c r="E128" s="13">
        <f>IF(E93=0,0,('Org &amp; Capacity'!E$222+'Org &amp; Capacity'!E$224+'Org &amp; Capacity'!E$227+'Org &amp; Capacity'!E$230)/E93)</f>
        <v>429.08310566739397</v>
      </c>
      <c r="F128" s="13">
        <f>IF(F93=0,0,('Org &amp; Capacity'!F$222+'Org &amp; Capacity'!F$224+'Org &amp; Capacity'!F$227+'Org &amp; Capacity'!F$230)/F93)</f>
        <v>305.09508825865902</v>
      </c>
      <c r="G128" s="13">
        <f>IF(G93=0,0,('Org &amp; Capacity'!G$222+'Org &amp; Capacity'!G$224+'Org &amp; Capacity'!G$227+'Org &amp; Capacity'!G$230)/G93)</f>
        <v>252.14449552060694</v>
      </c>
      <c r="H128" s="13">
        <f>IF(H93=0,0,('Org &amp; Capacity'!H$222+'Org &amp; Capacity'!H$224+'Org &amp; Capacity'!H$227+'Org &amp; Capacity'!H$230)/H93)</f>
        <v>221.33443016761231</v>
      </c>
      <c r="I128" s="13">
        <f>IF(I93=0,0,('Org &amp; Capacity'!I$222+'Org &amp; Capacity'!I$224+'Org &amp; Capacity'!I$227+'Org &amp; Capacity'!I$230)/I93)</f>
        <v>216.37501738185995</v>
      </c>
      <c r="J128" s="13">
        <f>IF(J93=0,0,('Org &amp; Capacity'!J$222+'Org &amp; Capacity'!J$224+'Org &amp; Capacity'!J$227+'Org &amp; Capacity'!J$230)/J93)</f>
        <v>222.00076783378833</v>
      </c>
      <c r="K128" s="13">
        <f>IF(K93=0,0,('Org &amp; Capacity'!K$222+'Org &amp; Capacity'!K$224+'Org &amp; Capacity'!K$227+'Org &amp; Capacity'!K$230)/K93)</f>
        <v>227.77278779746686</v>
      </c>
      <c r="L128" s="13">
        <f>IF(L93=0,0,('Org &amp; Capacity'!L$222+'Org &amp; Capacity'!L$224+'Org &amp; Capacity'!L$227+'Org &amp; Capacity'!L$230)/L93)</f>
        <v>233.69488028020098</v>
      </c>
      <c r="M128" s="13">
        <f>IF(M93=0,0,('Org &amp; Capacity'!M$222+'Org &amp; Capacity'!M$224+'Org &amp; Capacity'!M$227+'Org &amp; Capacity'!M$230)/M93)</f>
        <v>239.77094716748618</v>
      </c>
      <c r="N128" s="13">
        <f>IF(N93=0,0,('Org &amp; Capacity'!N$222+'Org &amp; Capacity'!N$224+'Org &amp; Capacity'!N$227+'Org &amp; Capacity'!N$230)/N93)</f>
        <v>246.00499179384082</v>
      </c>
    </row>
    <row r="129" spans="1:14" ht="15" customHeight="1" x14ac:dyDescent="0.3">
      <c r="A129" s="6" t="s">
        <v>1301</v>
      </c>
      <c r="B129" s="6" t="s">
        <v>344</v>
      </c>
      <c r="C129" s="6" t="s">
        <v>211</v>
      </c>
      <c r="D129" s="63">
        <f t="shared" ref="D129:N129" si="21">IF(D93=0,0,D122/D93)</f>
        <v>-318.43447513504066</v>
      </c>
      <c r="E129" s="63">
        <f t="shared" si="21"/>
        <v>-228.93078811218859</v>
      </c>
      <c r="F129" s="63">
        <f t="shared" si="21"/>
        <v>-70.507205316177803</v>
      </c>
      <c r="G129" s="63">
        <f t="shared" si="21"/>
        <v>11.862493527811361</v>
      </c>
      <c r="H129" s="63">
        <f t="shared" si="21"/>
        <v>61.633328744989178</v>
      </c>
      <c r="I129" s="63">
        <f t="shared" si="21"/>
        <v>74.400362488229064</v>
      </c>
      <c r="J129" s="63">
        <f t="shared" si="21"/>
        <v>86.917818532836023</v>
      </c>
      <c r="K129" s="63">
        <f t="shared" si="21"/>
        <v>98.295596492502739</v>
      </c>
      <c r="L129" s="63">
        <f t="shared" si="21"/>
        <v>111.92191274875972</v>
      </c>
      <c r="M129" s="63">
        <f t="shared" si="21"/>
        <v>100.10376483447693</v>
      </c>
      <c r="N129" s="63">
        <f t="shared" si="21"/>
        <v>85.576737974653668</v>
      </c>
    </row>
    <row r="130" spans="1:14" ht="15" customHeight="1" x14ac:dyDescent="0.3">
      <c r="A130" s="6" t="s">
        <v>1302</v>
      </c>
      <c r="B130" s="6" t="s">
        <v>267</v>
      </c>
      <c r="C130" s="6" t="s">
        <v>211</v>
      </c>
      <c r="D130" s="71">
        <f t="shared" ref="D130:N130" si="22">IF(D97=0,0,(D98+D99)/D97)</f>
        <v>0.1958735130511895</v>
      </c>
      <c r="E130" s="71">
        <f t="shared" si="22"/>
        <v>0.19587351305118947</v>
      </c>
      <c r="F130" s="71">
        <f t="shared" si="22"/>
        <v>0.1958735130511895</v>
      </c>
      <c r="G130" s="71">
        <f t="shared" si="22"/>
        <v>0.1958735130511895</v>
      </c>
      <c r="H130" s="71">
        <f t="shared" si="22"/>
        <v>0.19587351305118947</v>
      </c>
      <c r="I130" s="71">
        <f t="shared" si="22"/>
        <v>0.1958735130511895</v>
      </c>
      <c r="J130" s="71">
        <f t="shared" si="22"/>
        <v>0.1958735130511895</v>
      </c>
      <c r="K130" s="71">
        <f t="shared" si="22"/>
        <v>0.1958735130511895</v>
      </c>
      <c r="L130" s="71">
        <f t="shared" si="22"/>
        <v>0.1958735130511895</v>
      </c>
      <c r="M130" s="71">
        <f t="shared" si="22"/>
        <v>0.1958735130511895</v>
      </c>
      <c r="N130" s="71">
        <f t="shared" si="22"/>
        <v>0.1958735130511895</v>
      </c>
    </row>
    <row r="131" spans="1:14" ht="15" customHeight="1" x14ac:dyDescent="0.3">
      <c r="A131" s="1" t="s">
        <v>1303</v>
      </c>
      <c r="B131" s="6" t="s">
        <v>267</v>
      </c>
      <c r="C131" s="6" t="s">
        <v>211</v>
      </c>
      <c r="D131" s="62">
        <f>IF((D97+D93*INDEX(Assumptions!$D$30:$F$30,1,3)+D110+D112+D114)=0,0,D122/(D97+D93*INDEX(Assumptions!$D$30:$F$30,1,3)+D110+D112+D114))</f>
        <v>-0.48728811969775049</v>
      </c>
      <c r="E131" s="62">
        <f>IF((E97+E93*INDEX(Assumptions!$D$30:$F$30,1,3)+E110+E112+E114)=0,0,E122/(E97+E93*INDEX(Assumptions!$D$30:$F$30,1,3)+E110+E112+E114))</f>
        <v>-0.34034855947827575</v>
      </c>
      <c r="F131" s="62">
        <f>IF((F97+F93*INDEX(Assumptions!$D$30:$F$30,1,3)+F110+F112+F114)=0,0,F122/(F97+F93*INDEX(Assumptions!$D$30:$F$30,1,3)+F110+F112+F114))</f>
        <v>-0.10192001181917282</v>
      </c>
      <c r="G131" s="62">
        <f>IF((G97+G93*INDEX(Assumptions!$D$30:$F$30,1,3)+G110+G112+G114)=0,0,G122/(G97+G93*INDEX(Assumptions!$D$30:$F$30,1,3)+G110+G112+G114))</f>
        <v>1.668557740750384E-2</v>
      </c>
      <c r="H131" s="62">
        <f>IF((H97+H93*INDEX(Assumptions!$D$30:$F$30,1,3)+H110+H112+H114)=0,0,H122/(H97+H93*INDEX(Assumptions!$D$30:$F$30,1,3)+H110+H112+H114))</f>
        <v>8.6692369968052296E-2</v>
      </c>
      <c r="I131" s="62">
        <f>IF((I97+I93*INDEX(Assumptions!$D$30:$F$30,1,3)+I110+I112+I114)=0,0,I122/(I97+I93*INDEX(Assumptions!$D$30:$F$30,1,3)+I110+I112+I114))</f>
        <v>0.10465025793550277</v>
      </c>
      <c r="J131" s="62">
        <f>IF((J97+J93*INDEX(Assumptions!$D$30:$F$30,1,3)+J110+J112+J114)=0,0,J122/(J97+J93*INDEX(Assumptions!$D$30:$F$30,1,3)+J110+J112+J114))</f>
        <v>0.12225709424589958</v>
      </c>
      <c r="K131" s="62">
        <f>IF((K97+K93*INDEX(Assumptions!$D$30:$F$30,1,3)+K110+K112+K114)=0,0,K122/(K97+K93*INDEX(Assumptions!$D$30:$F$30,1,3)+K110+K112+K114))</f>
        <v>0.13826087915219462</v>
      </c>
      <c r="L131" s="62">
        <f>IF((L97+L93*INDEX(Assumptions!$D$30:$F$30,1,3)+L110+L112+L114)=0,0,L122/(L97+L93*INDEX(Assumptions!$D$30:$F$30,1,3)+L110+L112+L114))</f>
        <v>0.1574274189812665</v>
      </c>
      <c r="M131" s="62">
        <f>IF((M97+M93*INDEX(Assumptions!$D$30:$F$30,1,3)+M110+M112+M114)=0,0,M122/(M97+M93*INDEX(Assumptions!$D$30:$F$30,1,3)+M110+M112+M114))</f>
        <v>0.14080421734370338</v>
      </c>
      <c r="N131" s="62">
        <f>IF((N97+N93*INDEX(Assumptions!$D$30:$F$30,1,3)+N110+N112+N114)=0,0,N122/(N97+N93*INDEX(Assumptions!$D$30:$F$30,1,3)+N110+N112+N114))</f>
        <v>0.12037075362023024</v>
      </c>
    </row>
    <row r="132" spans="1:14" ht="15" customHeight="1" x14ac:dyDescent="0.3">
      <c r="A132" s="6" t="s">
        <v>300</v>
      </c>
      <c r="B132" s="6" t="s">
        <v>819</v>
      </c>
      <c r="C132" s="6" t="s">
        <v>211</v>
      </c>
      <c r="D132" s="71">
        <f t="shared" ref="D132:N132" si="23">D131-D130</f>
        <v>-0.68316163274894004</v>
      </c>
      <c r="E132" s="71">
        <f t="shared" si="23"/>
        <v>-0.53622207252946519</v>
      </c>
      <c r="F132" s="71">
        <f t="shared" si="23"/>
        <v>-0.29779352487036231</v>
      </c>
      <c r="G132" s="71">
        <f t="shared" si="23"/>
        <v>-0.17918793564368565</v>
      </c>
      <c r="H132" s="71">
        <f t="shared" si="23"/>
        <v>-0.10918114308313717</v>
      </c>
      <c r="I132" s="71">
        <f t="shared" si="23"/>
        <v>-9.1223255115686727E-2</v>
      </c>
      <c r="J132" s="71">
        <f t="shared" si="23"/>
        <v>-7.3616418805289921E-2</v>
      </c>
      <c r="K132" s="71">
        <f t="shared" si="23"/>
        <v>-5.7612633898994875E-2</v>
      </c>
      <c r="L132" s="71">
        <f t="shared" si="23"/>
        <v>-3.8446094069922998E-2</v>
      </c>
      <c r="M132" s="71">
        <f t="shared" si="23"/>
        <v>-5.5069295707486116E-2</v>
      </c>
      <c r="N132" s="71">
        <f t="shared" si="23"/>
        <v>-7.5502759430959257E-2</v>
      </c>
    </row>
    <row r="133" spans="1:14" ht="15" customHeight="1" x14ac:dyDescent="0.3">
      <c r="A133" s="2"/>
      <c r="B133" s="2"/>
      <c r="C133" s="2"/>
      <c r="D133" s="2"/>
      <c r="E133" s="2"/>
      <c r="F133" s="2"/>
      <c r="G133" s="2"/>
      <c r="H133" s="2"/>
      <c r="I133" s="2"/>
      <c r="J133" s="2"/>
      <c r="K133" s="2"/>
      <c r="L133" s="2"/>
      <c r="M133" s="2"/>
      <c r="N133" s="2"/>
    </row>
    <row r="134" spans="1:14" ht="15" customHeight="1" x14ac:dyDescent="0.3">
      <c r="A134" s="21" t="s">
        <v>1304</v>
      </c>
      <c r="B134" s="10"/>
      <c r="C134" s="10"/>
      <c r="D134" s="10"/>
      <c r="E134" s="10"/>
      <c r="F134" s="10"/>
      <c r="G134" s="10"/>
      <c r="H134" s="10"/>
      <c r="I134" s="10"/>
      <c r="J134" s="10"/>
      <c r="K134" s="10"/>
      <c r="L134" s="10"/>
      <c r="M134" s="10"/>
      <c r="N134" s="10"/>
    </row>
    <row r="135" spans="1:14" ht="15" customHeight="1" x14ac:dyDescent="0.3">
      <c r="A135" s="6" t="s">
        <v>1305</v>
      </c>
      <c r="B135" s="2"/>
      <c r="C135" s="2"/>
      <c r="D135" s="2"/>
      <c r="E135" s="2"/>
      <c r="F135" s="2"/>
      <c r="G135" s="2"/>
      <c r="H135" s="2"/>
      <c r="I135" s="2"/>
      <c r="J135" s="2"/>
      <c r="K135" s="2"/>
      <c r="L135" s="2"/>
      <c r="M135" s="2"/>
      <c r="N135" s="2"/>
    </row>
    <row r="136" spans="1:14" ht="15" customHeight="1" x14ac:dyDescent="0.3">
      <c r="A136" s="1" t="s">
        <v>542</v>
      </c>
      <c r="B136" s="2"/>
      <c r="C136" s="2"/>
      <c r="D136" s="2"/>
      <c r="E136" s="21" t="s">
        <v>101</v>
      </c>
      <c r="F136" s="21" t="s">
        <v>102</v>
      </c>
      <c r="G136" s="21" t="s">
        <v>103</v>
      </c>
      <c r="H136" s="2"/>
      <c r="I136" s="2"/>
      <c r="J136" s="2"/>
      <c r="K136" s="2"/>
      <c r="L136" s="2"/>
      <c r="M136" s="2"/>
      <c r="N136" s="2"/>
    </row>
    <row r="137" spans="1:14" ht="15" customHeight="1" x14ac:dyDescent="0.3">
      <c r="A137" s="6" t="s">
        <v>1306</v>
      </c>
      <c r="B137" s="6" t="s">
        <v>289</v>
      </c>
      <c r="C137" s="6" t="s">
        <v>211</v>
      </c>
      <c r="D137" s="2"/>
      <c r="E137" s="13">
        <f>INDEX(E36:N36,1,INDEX(Assumptions!$D$12:$F$12,1,1))</f>
        <v>947024.463033607</v>
      </c>
      <c r="F137" s="13">
        <f>INDEX(E79:N79,1,INDEX(Assumptions!$D$12:$F$12,1,2))</f>
        <v>2910357.7800856186</v>
      </c>
      <c r="G137" s="13">
        <f>INDEX(E122:N122,1,INDEX(Assumptions!$D$12:$F$12,1,3))</f>
        <v>4914779.8246251373</v>
      </c>
      <c r="H137" s="2"/>
      <c r="I137" s="2"/>
      <c r="J137" s="2"/>
      <c r="K137" s="2"/>
      <c r="L137" s="2"/>
      <c r="M137" s="2"/>
      <c r="N137" s="2"/>
    </row>
    <row r="138" spans="1:14" ht="15" customHeight="1" x14ac:dyDescent="0.3">
      <c r="A138" s="6" t="s">
        <v>1307</v>
      </c>
      <c r="B138" s="6" t="s">
        <v>289</v>
      </c>
      <c r="C138" s="6" t="s">
        <v>211</v>
      </c>
      <c r="D138" s="2"/>
      <c r="E138" s="46">
        <f>E137-INDEX(Assumptions!$D$23:$F$23,1,1)</f>
        <v>-9052975.5369663928</v>
      </c>
      <c r="F138" s="46">
        <f>F137-INDEX(Assumptions!$D$23:$F$23,1,2)</f>
        <v>-7089642.2199143814</v>
      </c>
      <c r="G138" s="46">
        <f>G137-INDEX(Assumptions!$D$23:$F$23,1,3)</f>
        <v>-5085220.1753748627</v>
      </c>
      <c r="H138" s="2"/>
      <c r="I138" s="2"/>
      <c r="J138" s="2"/>
      <c r="K138" s="2"/>
      <c r="L138" s="2"/>
      <c r="M138" s="2"/>
      <c r="N138" s="2"/>
    </row>
    <row r="139" spans="1:14" ht="15" customHeight="1" x14ac:dyDescent="0.3">
      <c r="A139" s="6" t="s">
        <v>1308</v>
      </c>
      <c r="B139" s="6" t="s">
        <v>289</v>
      </c>
      <c r="C139" s="6" t="s">
        <v>211</v>
      </c>
      <c r="D139" s="2"/>
      <c r="E139" s="13">
        <f>INDEX(E7:N7,1,INDEX(Assumptions!$D$12:$F$12,1,1))</f>
        <v>47240.786469673942</v>
      </c>
      <c r="F139" s="13">
        <f>INDEX(E50:N50,1,INDEX(Assumptions!$D$12:$F$12,1,2))</f>
        <v>50000</v>
      </c>
      <c r="G139" s="13">
        <f>INDEX(E93:N93,1,INDEX(Assumptions!$D$12:$F$12,1,3))</f>
        <v>50000</v>
      </c>
      <c r="H139" s="2"/>
      <c r="I139" s="2"/>
      <c r="J139" s="2"/>
      <c r="K139" s="2"/>
      <c r="L139" s="2"/>
      <c r="M139" s="2"/>
      <c r="N139" s="2"/>
    </row>
    <row r="140" spans="1:14" ht="15" customHeight="1" x14ac:dyDescent="0.3">
      <c r="A140" s="6" t="s">
        <v>1309</v>
      </c>
      <c r="B140" s="6" t="s">
        <v>289</v>
      </c>
      <c r="C140" s="6" t="s">
        <v>211</v>
      </c>
      <c r="D140" s="2"/>
      <c r="E140" s="13">
        <f>IF(E139=0,0,INDEX(Assumptions!$D$23:$F$23,1,1)/E139)</f>
        <v>211.68148854633199</v>
      </c>
      <c r="F140" s="13">
        <f>IF(F139=0,0,INDEX(Assumptions!$D$23:$F$23,1,2)/F139)</f>
        <v>200</v>
      </c>
      <c r="G140" s="13">
        <f>IF(G139=0,0,INDEX(Assumptions!$D$23:$F$23,1,3)/G139)</f>
        <v>200</v>
      </c>
      <c r="H140" s="2"/>
      <c r="I140" s="2"/>
      <c r="J140" s="2"/>
      <c r="K140" s="2"/>
      <c r="L140" s="2"/>
      <c r="M140" s="2"/>
      <c r="N140" s="6" t="s">
        <v>1310</v>
      </c>
    </row>
    <row r="141" spans="1:14" ht="15" customHeight="1" x14ac:dyDescent="0.3">
      <c r="A141" s="6" t="s">
        <v>1311</v>
      </c>
      <c r="B141" s="6" t="s">
        <v>289</v>
      </c>
      <c r="C141" s="6" t="s">
        <v>211</v>
      </c>
      <c r="D141" s="2"/>
      <c r="E141" s="13">
        <f>IF(E139=0,0,INDEX(E12:N12,1,INDEX(Assumptions!$D$12:$F$12,1,1))/E139)</f>
        <v>99.134757741692326</v>
      </c>
      <c r="F141" s="13">
        <f>IF(F139=0,0,INDEX(E55:N55,1,INDEX(Assumptions!$D$12:$F$12,1,2))/F139)</f>
        <v>103.43024047265482</v>
      </c>
      <c r="G141" s="13">
        <f>IF(G139=0,0,INDEX(E98:N98,1,INDEX(Assumptions!$D$12:$F$12,1,3))/G139)</f>
        <v>113.00186746939227</v>
      </c>
      <c r="H141" s="2"/>
      <c r="I141" s="2"/>
      <c r="J141" s="2"/>
      <c r="K141" s="2"/>
      <c r="L141" s="2"/>
      <c r="M141" s="2"/>
      <c r="N141" s="2"/>
    </row>
    <row r="142" spans="1:14" ht="15" customHeight="1" x14ac:dyDescent="0.3">
      <c r="A142" s="6" t="s">
        <v>1312</v>
      </c>
      <c r="B142" s="6" t="s">
        <v>289</v>
      </c>
      <c r="C142" s="6" t="s">
        <v>211</v>
      </c>
      <c r="D142" s="2"/>
      <c r="E142" s="13">
        <f>IF(INDEX(E43:N43,1,INDEX(Assumptions!$D$12:$F$12,1,1))&lt;=0,0,-E138/INDEX(E43:N43,1,INDEX(Assumptions!$D$12:$F$12,1,1)))</f>
        <v>451593.06960989721</v>
      </c>
      <c r="F142" s="13">
        <f>IF(INDEX(E86:N86,1,INDEX(Assumptions!$D$12:$F$12,1,2))&lt;=0,0,-F138/INDEX(E86:N86,1,INDEX(Assumptions!$D$12:$F$12,1,2)))</f>
        <v>121800.18327000699</v>
      </c>
      <c r="G142" s="13">
        <f>IF(INDEX(E129:N129,1,INDEX(Assumptions!$D$12:$F$12,1,3))&lt;=0,0,-G138/INDEX(E129:N129,1,INDEX(Assumptions!$D$12:$F$12,1,3)))</f>
        <v>51733.957133702585</v>
      </c>
      <c r="H142" s="2"/>
      <c r="I142" s="2"/>
      <c r="J142" s="2"/>
      <c r="K142" s="2"/>
      <c r="L142" s="2"/>
      <c r="M142" s="2"/>
      <c r="N142" s="6" t="s">
        <v>1313</v>
      </c>
    </row>
    <row r="143" spans="1:14" ht="15" customHeight="1" x14ac:dyDescent="0.3">
      <c r="A143" s="6" t="s">
        <v>1314</v>
      </c>
      <c r="B143" s="6" t="s">
        <v>289</v>
      </c>
      <c r="C143" s="6" t="s">
        <v>211</v>
      </c>
      <c r="D143" s="2"/>
      <c r="E143" s="63">
        <f>-E138</f>
        <v>9052975.5369663928</v>
      </c>
      <c r="F143" s="63">
        <f>-F138</f>
        <v>7089642.2199143814</v>
      </c>
      <c r="G143" s="63">
        <f>-G138</f>
        <v>5085220.1753748627</v>
      </c>
      <c r="H143" s="2"/>
      <c r="I143" s="2"/>
      <c r="J143" s="2"/>
      <c r="K143" s="2"/>
      <c r="L143" s="2"/>
      <c r="M143" s="2"/>
      <c r="N143" s="6" t="s">
        <v>1315</v>
      </c>
    </row>
    <row r="144" spans="1:14" ht="15" customHeight="1" x14ac:dyDescent="0.3">
      <c r="A144" s="6" t="s">
        <v>1316</v>
      </c>
      <c r="B144" s="6" t="s">
        <v>289</v>
      </c>
      <c r="C144" s="6" t="s">
        <v>211</v>
      </c>
      <c r="D144" s="2"/>
      <c r="E144" s="13">
        <f>INDEX(E7:N7,1,INDEX(Assumptions!$D$13:$F$13,1,1))</f>
        <v>47240.786469673942</v>
      </c>
      <c r="F144" s="13">
        <f>INDEX(E50:N50,1,INDEX(Assumptions!$D$13:$F$13,1,2))</f>
        <v>50000</v>
      </c>
      <c r="G144" s="13">
        <f>INDEX(E93:N93,1,INDEX(Assumptions!$D$13:$F$13,1,3))</f>
        <v>50000</v>
      </c>
      <c r="H144" s="2"/>
      <c r="I144" s="2"/>
      <c r="J144" s="2"/>
      <c r="K144" s="2"/>
      <c r="L144" s="2"/>
      <c r="M144" s="2"/>
      <c r="N144" s="2"/>
    </row>
    <row r="145" spans="1:14" ht="15" customHeight="1" x14ac:dyDescent="0.3">
      <c r="A145" s="6" t="s">
        <v>1317</v>
      </c>
      <c r="B145" s="6" t="s">
        <v>289</v>
      </c>
      <c r="C145" s="6" t="s">
        <v>211</v>
      </c>
      <c r="D145" s="2"/>
      <c r="E145" s="13">
        <f>INDEX('Revenue &amp; Durability'!E$40:N$40,1,INDEX(Assumptions!$D$13:$F$13,1,1))</f>
        <v>47240.786469673942</v>
      </c>
      <c r="F145" s="13">
        <f>INDEX('Revenue &amp; Durability'!E$103:N$103,1,INDEX(Assumptions!$D$13:$F$13,1,2))</f>
        <v>58649.93400302509</v>
      </c>
      <c r="G145" s="13">
        <f>INDEX('Revenue &amp; Durability'!E$166:N$166,1,INDEX(Assumptions!$D$13:$F$13,1,3))</f>
        <v>72565.599927647156</v>
      </c>
      <c r="H145" s="2"/>
      <c r="I145" s="2"/>
      <c r="J145" s="2"/>
      <c r="K145" s="2"/>
      <c r="L145" s="2"/>
      <c r="M145" s="2"/>
      <c r="N145" s="6" t="s">
        <v>1318</v>
      </c>
    </row>
    <row r="146" spans="1:14" ht="15" customHeight="1" x14ac:dyDescent="0.3">
      <c r="A146" s="6" t="s">
        <v>1319</v>
      </c>
      <c r="B146" s="6" t="s">
        <v>289</v>
      </c>
      <c r="C146" s="6" t="s">
        <v>211</v>
      </c>
      <c r="D146" s="2"/>
      <c r="E146" s="13">
        <f>INDEX(Assumptions!$D$16:$F$16,1,1)</f>
        <v>50000</v>
      </c>
      <c r="F146" s="13">
        <f>INDEX(Assumptions!$D$16:$F$16,1,2)</f>
        <v>50000</v>
      </c>
      <c r="G146" s="13">
        <f>INDEX(Assumptions!$D$16:$F$16,1,3)</f>
        <v>50000</v>
      </c>
      <c r="H146" s="2"/>
      <c r="I146" s="2"/>
      <c r="J146" s="2"/>
      <c r="K146" s="2"/>
      <c r="L146" s="2"/>
      <c r="M146" s="2"/>
      <c r="N146" s="2"/>
    </row>
    <row r="147" spans="1:14" ht="15" customHeight="1" x14ac:dyDescent="0.3">
      <c r="A147" s="6" t="s">
        <v>1320</v>
      </c>
      <c r="B147" s="6" t="s">
        <v>289</v>
      </c>
      <c r="C147" s="6" t="s">
        <v>211</v>
      </c>
      <c r="D147" s="2"/>
      <c r="E147" s="66">
        <f>E146-E144</f>
        <v>2759.2135303260584</v>
      </c>
      <c r="F147" s="66">
        <f>F146-F144</f>
        <v>0</v>
      </c>
      <c r="G147" s="66">
        <f>G146-G144</f>
        <v>0</v>
      </c>
      <c r="H147" s="2"/>
      <c r="I147" s="2"/>
      <c r="J147" s="2"/>
      <c r="K147" s="2"/>
      <c r="L147" s="2"/>
      <c r="M147" s="2"/>
      <c r="N147" s="2"/>
    </row>
    <row r="148" spans="1:14" ht="15" customHeight="1" x14ac:dyDescent="0.3">
      <c r="A148" s="6" t="s">
        <v>1321</v>
      </c>
      <c r="B148" s="6" t="s">
        <v>289</v>
      </c>
      <c r="C148" s="6" t="s">
        <v>211</v>
      </c>
      <c r="D148" s="2"/>
      <c r="E148" s="13">
        <f>'Acquisition Schedule'!$F$48*(1-INDEX(Assumptions!$D$56:$F$56,1,1))*'Revenue &amp; Durability'!$D$8^3</f>
        <v>2484.8862457275386</v>
      </c>
      <c r="F148" s="13">
        <f>'Acquisition Schedule'!$F$48*(1-INDEX(Assumptions!$D$56:$F$56,1,2))*'Revenue &amp; Durability'!$D$71^3</f>
        <v>2776.1505825781251</v>
      </c>
      <c r="G148" s="13">
        <f>'Acquisition Schedule'!$F$48*(1-INDEX(Assumptions!$D$56:$F$56,1,3))*'Revenue &amp; Durability'!$D$134^3</f>
        <v>3060.33651984375</v>
      </c>
      <c r="H148" s="2"/>
      <c r="I148" s="2"/>
      <c r="J148" s="2"/>
      <c r="K148" s="2"/>
      <c r="L148" s="2"/>
      <c r="M148" s="2"/>
      <c r="N148" s="6" t="s">
        <v>1322</v>
      </c>
    </row>
    <row r="149" spans="1:14" ht="15" customHeight="1" x14ac:dyDescent="0.3">
      <c r="A149" s="6" t="s">
        <v>1323</v>
      </c>
      <c r="B149" s="6" t="s">
        <v>289</v>
      </c>
      <c r="C149" s="6" t="s">
        <v>211</v>
      </c>
      <c r="D149" s="2"/>
      <c r="E149" s="63">
        <f>IF(E148&lt;=0,0,MAX(0,INT(E147/E148)))</f>
        <v>1</v>
      </c>
      <c r="F149" s="63">
        <f>IF(F148&lt;=0,0,MAX(0,INT(F147/F148)))</f>
        <v>0</v>
      </c>
      <c r="G149" s="63">
        <f>IF(G148&lt;=0,0,MAX(0,INT(G147/G148)))</f>
        <v>0</v>
      </c>
      <c r="H149" s="2"/>
      <c r="I149" s="2"/>
      <c r="J149" s="2"/>
      <c r="K149" s="2"/>
      <c r="L149" s="2"/>
      <c r="M149" s="2"/>
      <c r="N149" s="2"/>
    </row>
    <row r="150" spans="1:14" ht="15" customHeight="1" x14ac:dyDescent="0.3">
      <c r="A150" s="1" t="s">
        <v>1324</v>
      </c>
      <c r="B150" s="6" t="s">
        <v>289</v>
      </c>
      <c r="C150" s="6" t="s">
        <v>211</v>
      </c>
      <c r="D150" s="2"/>
      <c r="E150" s="90" t="str">
        <f>IF('Acquisition Schedule'!$F$46&lt;&gt;"YES","CADENCE SHORTFALL",IF(E147&lt;0,"CEILING BREACHED",IF(E149=0,"CADENCE MET — no filler headroom","CADENCE MET — headroom for "&amp;E149&amp;" filler(s)")))</f>
        <v>CADENCE MET — headroom for 1 filler(s)</v>
      </c>
      <c r="F150" s="90" t="str">
        <f>IF('Acquisition Schedule'!$F$46&lt;&gt;"YES","CADENCE SHORTFALL",IF(F147&lt;0,"CEILING BREACHED",IF(F149=0,"CADENCE MET — no filler headroom","CADENCE MET — headroom for "&amp;F149&amp;" filler(s)")))</f>
        <v>CADENCE MET — no filler headroom</v>
      </c>
      <c r="G150" s="90" t="str">
        <f>IF('Acquisition Schedule'!$F$46&lt;&gt;"YES","CADENCE SHORTFALL",IF(G147&lt;0,"CEILING BREACHED",IF(G149=0,"CADENCE MET — no filler headroom","CADENCE MET — headroom for "&amp;G149&amp;" filler(s)")))</f>
        <v>CADENCE MET — no filler headroom</v>
      </c>
      <c r="H150" s="2"/>
      <c r="I150" s="2"/>
      <c r="J150" s="2"/>
      <c r="K150" s="2"/>
      <c r="L150" s="2"/>
      <c r="M150" s="2"/>
      <c r="N150" s="2"/>
    </row>
    <row r="151" spans="1:14" ht="15" customHeight="1" x14ac:dyDescent="0.3">
      <c r="A151" s="1" t="s">
        <v>1325</v>
      </c>
      <c r="B151" s="6" t="s">
        <v>289</v>
      </c>
      <c r="C151" s="6" t="s">
        <v>211</v>
      </c>
      <c r="D151" s="2"/>
      <c r="E151" s="38">
        <f>IF(E146=0,0,INDEX(Assumptions!$D$33:$F$33,1,1)*E145/E146)</f>
        <v>0.18506437610232268</v>
      </c>
      <c r="F151" s="38">
        <f>IF(F146=0,0,INDEX(Assumptions!$D$33:$F$33,1,2)*F145/F146)</f>
        <v>0.2297593722678587</v>
      </c>
      <c r="G151" s="38">
        <f>IF(G146=0,0,INDEX(Assumptions!$D$33:$F$33,1,3)*G145/G146)</f>
        <v>0.2842735796899078</v>
      </c>
      <c r="H151" s="2"/>
      <c r="I151" s="2"/>
      <c r="J151" s="2"/>
      <c r="K151" s="2"/>
      <c r="L151" s="2"/>
      <c r="M151" s="2"/>
      <c r="N151" s="6" t="s">
        <v>1326</v>
      </c>
    </row>
    <row r="152" spans="1:14" ht="15" customHeight="1" x14ac:dyDescent="0.3">
      <c r="A152" s="1" t="s">
        <v>1327</v>
      </c>
      <c r="B152" s="6" t="s">
        <v>289</v>
      </c>
      <c r="C152" s="6" t="s">
        <v>211</v>
      </c>
      <c r="D152" s="2"/>
      <c r="E152" s="39">
        <f>E151*(INDEX(Assumptions!$D$27:$F$27,1,1)+INDEX(Assumptions!$D$28:$F$28,1,1)+INDEX(Assumptions!$D$29:$F$29,1,1)+INDEX(Assumptions!$D$30:$F$30,1,1))</f>
        <v>120.93641336236529</v>
      </c>
      <c r="F152" s="39">
        <f>F151*(INDEX(Assumptions!$D$27:$F$27,1,2)+INDEX(Assumptions!$D$28:$F$28,1,2)+INDEX(Assumptions!$D$29:$F$29,1,2)+INDEX(Assumptions!$D$30:$F$30,1,2))</f>
        <v>150.14383104774421</v>
      </c>
      <c r="G152" s="39">
        <f>G151*(INDEX(Assumptions!$D$27:$F$27,1,3)+INDEX(Assumptions!$D$28:$F$28,1,3)+INDEX(Assumptions!$D$29:$F$29,1,3)+INDEX(Assumptions!$D$30:$F$30,1,3))</f>
        <v>185.76793581477673</v>
      </c>
      <c r="H152" s="2"/>
      <c r="I152" s="2"/>
      <c r="J152" s="2"/>
      <c r="K152" s="2"/>
      <c r="L152" s="2"/>
      <c r="M152" s="2"/>
      <c r="N152" s="2"/>
    </row>
    <row r="153" spans="1:14" ht="15" customHeight="1" x14ac:dyDescent="0.3">
      <c r="A153" s="6" t="s">
        <v>119</v>
      </c>
      <c r="B153" s="6" t="s">
        <v>289</v>
      </c>
      <c r="C153" s="6" t="s">
        <v>211</v>
      </c>
      <c r="D153" s="2"/>
      <c r="E153" s="13">
        <f>INDEX(Assumptions!$D$33:$F$33,1,1)*(INDEX(Assumptions!$D$27:$F$27,1,1)+INDEX(Assumptions!$D$28:$F$28,1,1)+INDEX(Assumptions!$D$29:$F$29,1,1)+INDEX(Assumptions!$D$30:$F$30,1,1))</f>
        <v>127.99999999999999</v>
      </c>
      <c r="F153" s="13">
        <f>INDEX(Assumptions!$D$33:$F$33,1,2)*(INDEX(Assumptions!$D$27:$F$27,1,2)+INDEX(Assumptions!$D$28:$F$28,1,2)+INDEX(Assumptions!$D$29:$F$29,1,2)+INDEX(Assumptions!$D$30:$F$30,1,2))</f>
        <v>127.99999999999999</v>
      </c>
      <c r="G153" s="13">
        <f>INDEX(Assumptions!$D$33:$F$33,1,3)*(INDEX(Assumptions!$D$27:$F$27,1,3)+INDEX(Assumptions!$D$28:$F$28,1,3)+INDEX(Assumptions!$D$29:$F$29,1,3)+INDEX(Assumptions!$D$30:$F$30,1,3))</f>
        <v>127.99999999999999</v>
      </c>
      <c r="H153" s="2"/>
      <c r="I153" s="2"/>
      <c r="J153" s="2"/>
      <c r="K153" s="2"/>
      <c r="L153" s="2"/>
      <c r="M153" s="2"/>
      <c r="N153" s="2"/>
    </row>
    <row r="154" spans="1:14" ht="15" customHeight="1" x14ac:dyDescent="0.3">
      <c r="A154" s="6" t="s">
        <v>1328</v>
      </c>
      <c r="B154" s="6" t="s">
        <v>289</v>
      </c>
      <c r="C154" s="6" t="s">
        <v>211</v>
      </c>
      <c r="D154" s="2"/>
      <c r="E154" s="13">
        <f>INDEX(E42:N42,1,INDEX(Assumptions!$D$12:$F$12,1,1))*E139</f>
        <v>11245157.247420102</v>
      </c>
      <c r="F154" s="13">
        <f>INDEX(E85:N85,1,INDEX(Assumptions!$D$12:$F$12,1,2))*F139</f>
        <v>11247617.568652555</v>
      </c>
      <c r="G154" s="13">
        <f>INDEX(E128:N128,1,INDEX(Assumptions!$D$12:$F$12,1,3))*G139</f>
        <v>11388639.389873343</v>
      </c>
      <c r="H154" s="2"/>
      <c r="I154" s="2"/>
      <c r="J154" s="2"/>
      <c r="K154" s="2"/>
      <c r="L154" s="2"/>
      <c r="M154" s="2"/>
      <c r="N154" s="2"/>
    </row>
  </sheetData>
  <pageMargins left="0.7" right="0.7" top="0.75" bottom="0.75" header="0.511811023622047" footer="0.511811023622047"/>
  <pageSetup paperSize="9"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O191"/>
  <sheetViews>
    <sheetView showGridLines="0" zoomScaleNormal="100" workbookViewId="0">
      <pane xSplit="3" ySplit="6" topLeftCell="D7" activePane="bottomRight" state="frozen"/>
      <selection pane="topRight" activeCell="D1" sqref="D1"/>
      <selection pane="bottomLeft" activeCell="A7" sqref="A7"/>
      <selection pane="bottomRight"/>
    </sheetView>
  </sheetViews>
  <sheetFormatPr defaultColWidth="8.7109375" defaultRowHeight="12.75" x14ac:dyDescent="0.2"/>
  <cols>
    <col min="1" max="1" width="56" customWidth="1"/>
    <col min="2" max="2" width="16" customWidth="1"/>
    <col min="3" max="3" width="9" customWidth="1"/>
    <col min="4" max="14" width="13" customWidth="1"/>
  </cols>
  <sheetData>
    <row r="1" spans="1:15" ht="15" customHeight="1" x14ac:dyDescent="0.3">
      <c r="A1" s="1" t="s">
        <v>1329</v>
      </c>
      <c r="B1" s="2"/>
      <c r="C1" s="2"/>
      <c r="D1" s="2"/>
      <c r="E1" s="2"/>
      <c r="F1" s="2"/>
      <c r="G1" s="2"/>
      <c r="H1" s="2"/>
      <c r="I1" s="2"/>
      <c r="J1" s="2"/>
      <c r="K1" s="2"/>
      <c r="L1" s="2"/>
      <c r="M1" s="2"/>
      <c r="N1" s="2"/>
      <c r="O1" s="2"/>
    </row>
    <row r="2" spans="1:15" ht="15" customHeight="1" x14ac:dyDescent="0.3">
      <c r="A2" s="6" t="s">
        <v>1330</v>
      </c>
      <c r="B2" s="2"/>
      <c r="C2" s="2"/>
      <c r="D2" s="2"/>
      <c r="E2" s="2"/>
      <c r="F2" s="2"/>
      <c r="G2" s="2"/>
      <c r="H2" s="2"/>
      <c r="I2" s="2"/>
      <c r="J2" s="2"/>
      <c r="K2" s="2"/>
      <c r="L2" s="2"/>
      <c r="M2" s="2"/>
      <c r="N2" s="2"/>
      <c r="O2" s="2"/>
    </row>
    <row r="3" spans="1:15" ht="15" customHeight="1" x14ac:dyDescent="0.3">
      <c r="A3" s="6" t="s">
        <v>1331</v>
      </c>
      <c r="B3" s="2"/>
      <c r="C3" s="2"/>
      <c r="D3" s="2"/>
      <c r="E3" s="2"/>
      <c r="F3" s="2"/>
      <c r="G3" s="2"/>
      <c r="H3" s="2"/>
      <c r="I3" s="2"/>
      <c r="J3" s="2"/>
      <c r="K3" s="2"/>
      <c r="L3" s="2"/>
      <c r="M3" s="2"/>
      <c r="N3" s="2"/>
      <c r="O3" s="2"/>
    </row>
    <row r="4" spans="1:15" ht="15" customHeight="1" x14ac:dyDescent="0.3">
      <c r="A4" s="6" t="s">
        <v>1332</v>
      </c>
      <c r="B4" s="2"/>
      <c r="C4" s="2"/>
      <c r="D4" s="2"/>
      <c r="E4" s="2"/>
      <c r="F4" s="2"/>
      <c r="G4" s="2"/>
      <c r="H4" s="2"/>
      <c r="I4" s="2"/>
      <c r="J4" s="2"/>
      <c r="K4" s="2"/>
      <c r="L4" s="2"/>
      <c r="M4" s="2"/>
      <c r="N4" s="2"/>
      <c r="O4" s="2"/>
    </row>
    <row r="5" spans="1:15" ht="15" customHeight="1" x14ac:dyDescent="0.3">
      <c r="A5" s="21" t="s">
        <v>812</v>
      </c>
      <c r="B5" s="10"/>
      <c r="C5" s="10"/>
      <c r="D5" s="10"/>
      <c r="E5" s="10"/>
      <c r="F5" s="10"/>
      <c r="G5" s="10"/>
      <c r="H5" s="10"/>
      <c r="I5" s="10"/>
      <c r="J5" s="10"/>
      <c r="K5" s="10"/>
      <c r="L5" s="10"/>
      <c r="M5" s="10"/>
      <c r="N5" s="10"/>
      <c r="O5" s="2"/>
    </row>
    <row r="6" spans="1:15" ht="15" customHeight="1" x14ac:dyDescent="0.3">
      <c r="A6" s="21" t="s">
        <v>202</v>
      </c>
      <c r="B6" s="10"/>
      <c r="C6" s="10"/>
      <c r="D6" s="21" t="s">
        <v>203</v>
      </c>
      <c r="E6" s="21" t="s">
        <v>204</v>
      </c>
      <c r="F6" s="21" t="s">
        <v>205</v>
      </c>
      <c r="G6" s="21" t="s">
        <v>9</v>
      </c>
      <c r="H6" s="21" t="s">
        <v>206</v>
      </c>
      <c r="I6" s="21" t="s">
        <v>10</v>
      </c>
      <c r="J6" s="21" t="s">
        <v>207</v>
      </c>
      <c r="K6" s="21" t="s">
        <v>11</v>
      </c>
      <c r="L6" s="21" t="s">
        <v>208</v>
      </c>
      <c r="M6" s="21" t="s">
        <v>209</v>
      </c>
      <c r="N6" s="21" t="s">
        <v>12</v>
      </c>
      <c r="O6" s="2"/>
    </row>
    <row r="7" spans="1:15" ht="15" customHeight="1" x14ac:dyDescent="0.3">
      <c r="A7" s="6" t="s">
        <v>1333</v>
      </c>
      <c r="B7" s="6" t="s">
        <v>218</v>
      </c>
      <c r="C7" s="6" t="s">
        <v>211</v>
      </c>
      <c r="D7" s="13">
        <f>'Operating Case'!D$33</f>
        <v>-527783.31552260695</v>
      </c>
      <c r="E7" s="13">
        <f>'Operating Case'!E$33</f>
        <v>360744.9253845989</v>
      </c>
      <c r="F7" s="13">
        <f>'Operating Case'!F$33</f>
        <v>273157.70520623913</v>
      </c>
      <c r="G7" s="13">
        <f>'Operating Case'!G$33</f>
        <v>1425825.7921781647</v>
      </c>
      <c r="H7" s="13">
        <f>'Operating Case'!H$33</f>
        <v>3020335.6428233418</v>
      </c>
      <c r="I7" s="13">
        <f>'Operating Case'!I$33</f>
        <v>3968564.8938104236</v>
      </c>
      <c r="J7" s="13">
        <f>'Operating Case'!J$33</f>
        <v>3880042.0866972636</v>
      </c>
      <c r="K7" s="13">
        <f>'Operating Case'!K$33</f>
        <v>4208215.0142652746</v>
      </c>
      <c r="L7" s="13">
        <f>'Operating Case'!L$33</f>
        <v>4889303.0528679481</v>
      </c>
      <c r="M7" s="13">
        <f>'Operating Case'!M$33</f>
        <v>3854215.8197364332</v>
      </c>
      <c r="N7" s="13">
        <f>'Operating Case'!N$33</f>
        <v>3243750.1703420794</v>
      </c>
      <c r="O7" s="2"/>
    </row>
    <row r="8" spans="1:15" ht="15" customHeight="1" x14ac:dyDescent="0.3">
      <c r="A8" s="6" t="s">
        <v>1334</v>
      </c>
      <c r="B8" s="6" t="s">
        <v>218</v>
      </c>
      <c r="C8" s="6" t="s">
        <v>211</v>
      </c>
      <c r="D8" s="13">
        <f>'Operating Case'!D$33+'Operating Case'!D$38+'Operating Case'!D$40</f>
        <v>-911689.56552260695</v>
      </c>
      <c r="E8" s="13">
        <f>'Operating Case'!E$33+'Operating Case'!E$38+'Operating Case'!E$40</f>
        <v>17717.581634598901</v>
      </c>
      <c r="F8" s="13">
        <f>'Operating Case'!F$33+'Operating Case'!F$38+'Operating Case'!F$40</f>
        <v>-279365.14635626087</v>
      </c>
      <c r="G8" s="13">
        <f>'Operating Case'!G$33+'Operating Case'!G$38+'Operating Case'!G$40</f>
        <v>495414.17669964908</v>
      </c>
      <c r="H8" s="13">
        <f>'Operating Case'!H$33+'Operating Case'!H$38+'Operating Case'!H$40</f>
        <v>1830838.8569233781</v>
      </c>
      <c r="I8" s="13">
        <f>'Operating Case'!I$33+'Operating Case'!I$38+'Operating Case'!I$40</f>
        <v>2774519.9993490218</v>
      </c>
      <c r="J8" s="13">
        <f>'Operating Case'!J$33+'Operating Case'!J$38+'Operating Case'!J$40</f>
        <v>2563285.983088695</v>
      </c>
      <c r="K8" s="13">
        <f>'Operating Case'!K$33+'Operating Case'!K$38+'Operating Case'!K$40</f>
        <v>2771662.0927267848</v>
      </c>
      <c r="L8" s="13">
        <f>'Operating Case'!L$33+'Operating Case'!L$38+'Operating Case'!L$40</f>
        <v>3479763.3315753723</v>
      </c>
      <c r="M8" s="13">
        <f>'Operating Case'!M$33+'Operating Case'!M$38+'Operating Case'!M$40</f>
        <v>2549115.3377229935</v>
      </c>
      <c r="N8" s="13">
        <f>'Operating Case'!N$33+'Operating Case'!N$38+'Operating Case'!N$40</f>
        <v>1969645.8247764586</v>
      </c>
      <c r="O8" s="2"/>
    </row>
    <row r="9" spans="1:15" ht="15" customHeight="1" x14ac:dyDescent="0.3">
      <c r="A9" s="6" t="s">
        <v>755</v>
      </c>
      <c r="B9" s="6" t="s">
        <v>218</v>
      </c>
      <c r="C9" s="6" t="s">
        <v>245</v>
      </c>
      <c r="D9" s="13">
        <f>'Acquisition Schedule'!F$26</f>
        <v>6000000</v>
      </c>
      <c r="E9" s="13">
        <f>'Acquisition Schedule'!G$26</f>
        <v>3000000</v>
      </c>
      <c r="F9" s="13">
        <f>'Acquisition Schedule'!H$26</f>
        <v>3000000</v>
      </c>
      <c r="G9" s="13">
        <f>'Acquisition Schedule'!I$26</f>
        <v>10500000</v>
      </c>
      <c r="H9" s="13">
        <f>'Acquisition Schedule'!J$26</f>
        <v>3000000</v>
      </c>
      <c r="I9" s="13">
        <f>'Acquisition Schedule'!K$26</f>
        <v>3000000</v>
      </c>
      <c r="J9" s="13">
        <f>'Acquisition Schedule'!L$26</f>
        <v>3000000</v>
      </c>
      <c r="K9" s="13">
        <f>'Acquisition Schedule'!M$26</f>
        <v>3000000</v>
      </c>
      <c r="L9" s="13">
        <f>'Acquisition Schedule'!N$26</f>
        <v>0</v>
      </c>
      <c r="M9" s="13">
        <f>'Acquisition Schedule'!O$26</f>
        <v>0</v>
      </c>
      <c r="N9" s="13">
        <f>'Acquisition Schedule'!P$26</f>
        <v>0</v>
      </c>
      <c r="O9" s="2"/>
    </row>
    <row r="10" spans="1:15" ht="15" customHeight="1" x14ac:dyDescent="0.3">
      <c r="A10" s="6" t="s">
        <v>1335</v>
      </c>
      <c r="B10" s="6" t="s">
        <v>218</v>
      </c>
      <c r="C10" s="6" t="s">
        <v>245</v>
      </c>
      <c r="D10" s="13">
        <f>'Acquisition Schedule'!F$27</f>
        <v>2100000</v>
      </c>
      <c r="E10" s="13">
        <f>'Acquisition Schedule'!G$27</f>
        <v>1050000</v>
      </c>
      <c r="F10" s="13">
        <f>'Acquisition Schedule'!H$27</f>
        <v>1050000</v>
      </c>
      <c r="G10" s="13">
        <f>'Acquisition Schedule'!I$27</f>
        <v>3675000</v>
      </c>
      <c r="H10" s="13">
        <f>'Acquisition Schedule'!J$27</f>
        <v>1050000</v>
      </c>
      <c r="I10" s="13">
        <f>'Acquisition Schedule'!K$27</f>
        <v>1050000</v>
      </c>
      <c r="J10" s="13">
        <f>'Acquisition Schedule'!L$27</f>
        <v>1050000</v>
      </c>
      <c r="K10" s="13">
        <f>'Acquisition Schedule'!M$27</f>
        <v>1050000</v>
      </c>
      <c r="L10" s="13">
        <f>'Acquisition Schedule'!N$27</f>
        <v>0</v>
      </c>
      <c r="M10" s="13">
        <f>'Acquisition Schedule'!O$27</f>
        <v>0</v>
      </c>
      <c r="N10" s="13">
        <f>'Acquisition Schedule'!P$27</f>
        <v>0</v>
      </c>
      <c r="O10" s="2"/>
    </row>
    <row r="11" spans="1:15" ht="15" customHeight="1" x14ac:dyDescent="0.3">
      <c r="A11" s="6" t="s">
        <v>1336</v>
      </c>
      <c r="B11" s="6" t="s">
        <v>218</v>
      </c>
      <c r="C11" s="6" t="s">
        <v>222</v>
      </c>
      <c r="D11" s="13">
        <f>MAX(0,'Acquisition Schedule'!F$20*INDEX(Assumptions!$D$93:$F$93,1,1))</f>
        <v>2250000</v>
      </c>
      <c r="E11" s="13">
        <f>MAX(0,E7*INDEX(Assumptions!$D$93:$F$93,1,1)-D28)</f>
        <v>811676.0821153475</v>
      </c>
      <c r="F11" s="13">
        <f>MAX(0,F7*INDEX(Assumptions!$D$93:$F$93,1,1)-E28)</f>
        <v>552871.10279557493</v>
      </c>
      <c r="G11" s="13">
        <f>MAX(0,G7*INDEX(Assumptions!$D$93:$F$93,1,1)-F28)</f>
        <v>3152547.671874254</v>
      </c>
      <c r="H11" s="13">
        <f>MAX(0,H7*INDEX(Assumptions!$D$93:$F$93,1,1)-G28)</f>
        <v>5075746.7693971563</v>
      </c>
      <c r="I11" s="13">
        <f>MAX(0,I7*INDEX(Assumptions!$D$93:$F$93,1,1)-H28)</f>
        <v>6332498.1014919961</v>
      </c>
      <c r="J11" s="13">
        <f>MAX(0,J7*INDEX(Assumptions!$D$93:$F$93,1,1)-I28)</f>
        <v>5361557.3028612919</v>
      </c>
      <c r="K11" s="13">
        <f>MAX(0,K7*INDEX(Assumptions!$D$93:$F$93,1,1)-J28)</f>
        <v>5433181.9072632222</v>
      </c>
      <c r="L11" s="13">
        <f>MAX(0,L7*INDEX(Assumptions!$D$93:$F$93,1,1)-K28)</f>
        <v>6403865.5114931427</v>
      </c>
      <c r="M11" s="13">
        <f>MAX(0,M7*INDEX(Assumptions!$D$93:$F$93,1,1)-L28)</f>
        <v>4668154.7543211402</v>
      </c>
      <c r="N11" s="13">
        <f>MAX(0,N7*INDEX(Assumptions!$D$93:$F$93,1,1)-M28)</f>
        <v>3887842.5605577491</v>
      </c>
      <c r="O11" s="2"/>
    </row>
    <row r="12" spans="1:15" ht="15" customHeight="1" x14ac:dyDescent="0.3">
      <c r="A12" s="6" t="s">
        <v>1337</v>
      </c>
      <c r="B12" s="6" t="s">
        <v>218</v>
      </c>
      <c r="C12" s="6" t="s">
        <v>222</v>
      </c>
      <c r="D12" s="13">
        <f>MAX(0,D8/INDEX(Assumptions!$D$94:$F$94,1,1))</f>
        <v>0</v>
      </c>
      <c r="E12" s="13">
        <f>MAX(0,E8/INDEX(Assumptions!$D$94:$F$94,1,1))</f>
        <v>12655.41545328493</v>
      </c>
      <c r="F12" s="13">
        <f>MAX(0,F8/INDEX(Assumptions!$D$94:$F$94,1,1))</f>
        <v>0</v>
      </c>
      <c r="G12" s="13">
        <f>MAX(0,G8/INDEX(Assumptions!$D$94:$F$94,1,1))</f>
        <v>353867.26907117793</v>
      </c>
      <c r="H12" s="13">
        <f>MAX(0,H8/INDEX(Assumptions!$D$94:$F$94,1,1))</f>
        <v>1307742.0406595559</v>
      </c>
      <c r="I12" s="13">
        <f>MAX(0,I8/INDEX(Assumptions!$D$94:$F$94,1,1))</f>
        <v>1981799.9995350158</v>
      </c>
      <c r="J12" s="13">
        <f>MAX(0,J8/INDEX(Assumptions!$D$94:$F$94,1,1))</f>
        <v>1830918.559349068</v>
      </c>
      <c r="K12" s="13">
        <f>MAX(0,K8/INDEX(Assumptions!$D$94:$F$94,1,1))</f>
        <v>1979758.6376619893</v>
      </c>
      <c r="L12" s="13">
        <f>MAX(0,L8/INDEX(Assumptions!$D$94:$F$94,1,1))</f>
        <v>2485545.2368395519</v>
      </c>
      <c r="M12" s="13">
        <f>MAX(0,M8/INDEX(Assumptions!$D$94:$F$94,1,1))</f>
        <v>1820796.6698021383</v>
      </c>
      <c r="N12" s="13">
        <f>MAX(0,N8/INDEX(Assumptions!$D$94:$F$94,1,1))</f>
        <v>1406889.8748403275</v>
      </c>
      <c r="O12" s="2"/>
    </row>
    <row r="13" spans="1:15" ht="15" customHeight="1" x14ac:dyDescent="0.3">
      <c r="A13" s="6" t="s">
        <v>1338</v>
      </c>
      <c r="B13" s="6" t="s">
        <v>218</v>
      </c>
      <c r="C13" s="6" t="s">
        <v>222</v>
      </c>
      <c r="D13" s="63">
        <f>0</f>
        <v>0</v>
      </c>
      <c r="E13" s="13">
        <f>D28*(INDEX(Assumptions!$D$96:$F$96,1,1)+INDEX(Assumptions!$D$97:$F$97,1,1))</f>
        <v>0</v>
      </c>
      <c r="F13" s="13">
        <f>E28*(INDEX(Assumptions!$D$96:$F$96,1,1)+INDEX(Assumptions!$D$97:$F$97,1,1))</f>
        <v>12655.41545328493</v>
      </c>
      <c r="G13" s="13">
        <f>F28*(INDEX(Assumptions!$D$96:$F$96,1,1)+INDEX(Assumptions!$D$97:$F$97,1,1))</f>
        <v>11389.873907956438</v>
      </c>
      <c r="H13" s="13">
        <f>G28*(INDEX(Assumptions!$D$96:$F$96,1,1)+INDEX(Assumptions!$D$97:$F$97,1,1))</f>
        <v>352601.72752584948</v>
      </c>
      <c r="I13" s="13">
        <f>H28*(INDEX(Assumptions!$D$96:$F$96,1,1)+INDEX(Assumptions!$D$97:$F$97,1,1))</f>
        <v>532338.44646419876</v>
      </c>
      <c r="J13" s="13">
        <f>I28*(INDEX(Assumptions!$D$96:$F$96,1,1)+INDEX(Assumptions!$D$97:$F$97,1,1))</f>
        <v>690550.16540254827</v>
      </c>
      <c r="K13" s="13">
        <f>J28*(INDEX(Assumptions!$D$96:$F$96,1,1)+INDEX(Assumptions!$D$97:$F$97,1,1))</f>
        <v>827236.88434089755</v>
      </c>
      <c r="L13" s="13">
        <f>K28*(INDEX(Assumptions!$D$96:$F$96,1,1)+INDEX(Assumptions!$D$97:$F$97,1,1))</f>
        <v>942398.60327924695</v>
      </c>
      <c r="M13" s="13">
        <f>L28*(INDEX(Assumptions!$D$96:$F$96,1,1)+INDEX(Assumptions!$D$97:$F$97,1,1))</f>
        <v>820785.32221759623</v>
      </c>
      <c r="N13" s="13">
        <f>M28*(INDEX(Assumptions!$D$96:$F$96,1,1)+INDEX(Assumptions!$D$97:$F$97,1,1))</f>
        <v>699172.04115594563</v>
      </c>
      <c r="O13" s="2"/>
    </row>
    <row r="14" spans="1:15" ht="15" customHeight="1" x14ac:dyDescent="0.3">
      <c r="A14" s="6" t="s">
        <v>1339</v>
      </c>
      <c r="B14" s="6" t="s">
        <v>218</v>
      </c>
      <c r="C14" s="6" t="s">
        <v>222</v>
      </c>
      <c r="D14" s="13">
        <f>MAX(0,(D12-D13)/(INDEX(Assumptions!$D$96:$F$96,1,1)+INDEX(Assumptions!$D$97:$F$97,1,1)))</f>
        <v>0</v>
      </c>
      <c r="E14" s="13">
        <f>MAX(0,(E12-E13)/(INDEX(Assumptions!$D$96:$F$96,1,1)+INDEX(Assumptions!$D$97:$F$97,1,1)))</f>
        <v>61733.733918463069</v>
      </c>
      <c r="F14" s="13">
        <f>MAX(0,(F12-F13)/(INDEX(Assumptions!$D$96:$F$96,1,1)+INDEX(Assumptions!$D$97:$F$97,1,1)))</f>
        <v>0</v>
      </c>
      <c r="G14" s="13">
        <f>MAX(0,(G12-G13)/(INDEX(Assumptions!$D$96:$F$96,1,1)+INDEX(Assumptions!$D$97:$F$97,1,1)))</f>
        <v>1670621.4398205928</v>
      </c>
      <c r="H14" s="13">
        <f>MAX(0,(H12-H13)/(INDEX(Assumptions!$D$96:$F$96,1,1)+INDEX(Assumptions!$D$97:$F$97,1,1)))</f>
        <v>4659221.0396766169</v>
      </c>
      <c r="I14" s="13">
        <f>MAX(0,(I12-I13)/(INDEX(Assumptions!$D$96:$F$96,1,1)+INDEX(Assumptions!$D$97:$F$97,1,1)))</f>
        <v>7070544.1613210589</v>
      </c>
      <c r="J14" s="13">
        <f>MAX(0,(J12-J13)/(INDEX(Assumptions!$D$96:$F$96,1,1)+INDEX(Assumptions!$D$97:$F$97,1,1)))</f>
        <v>5562772.653397656</v>
      </c>
      <c r="K14" s="13">
        <f>MAX(0,(K12-K13)/(INDEX(Assumptions!$D$96:$F$96,1,1)+INDEX(Assumptions!$D$97:$F$97,1,1)))</f>
        <v>5622057.3332736176</v>
      </c>
      <c r="L14" s="13">
        <f>MAX(0,(L12-L13)/(INDEX(Assumptions!$D$96:$F$96,1,1)+INDEX(Assumptions!$D$97:$F$97,1,1)))</f>
        <v>7527544.553952707</v>
      </c>
      <c r="M14" s="13">
        <f>MAX(0,(M12-M13)/(INDEX(Assumptions!$D$96:$F$96,1,1)+INDEX(Assumptions!$D$97:$F$97,1,1)))</f>
        <v>4878104.1345587419</v>
      </c>
      <c r="N14" s="13">
        <f>MAX(0,(N12-N13)/(INDEX(Assumptions!$D$96:$F$96,1,1)+INDEX(Assumptions!$D$97:$F$97,1,1)))</f>
        <v>3452282.1155335698</v>
      </c>
      <c r="O14" s="2"/>
    </row>
    <row r="15" spans="1:15" ht="15" customHeight="1" x14ac:dyDescent="0.3">
      <c r="A15" s="1" t="s">
        <v>1340</v>
      </c>
      <c r="B15" s="6" t="s">
        <v>218</v>
      </c>
      <c r="C15" s="6" t="s">
        <v>211</v>
      </c>
      <c r="D15" s="40">
        <f t="shared" ref="D15:N15" si="0">MIN(D10,MAX(0,D11),MAX(0,D14))</f>
        <v>0</v>
      </c>
      <c r="E15" s="40">
        <f t="shared" si="0"/>
        <v>61733.733918463069</v>
      </c>
      <c r="F15" s="40">
        <f t="shared" si="0"/>
        <v>0</v>
      </c>
      <c r="G15" s="40">
        <f t="shared" si="0"/>
        <v>1670621.4398205928</v>
      </c>
      <c r="H15" s="40">
        <f t="shared" si="0"/>
        <v>1050000</v>
      </c>
      <c r="I15" s="40">
        <f t="shared" si="0"/>
        <v>1050000</v>
      </c>
      <c r="J15" s="40">
        <f t="shared" si="0"/>
        <v>1050000</v>
      </c>
      <c r="K15" s="40">
        <f t="shared" si="0"/>
        <v>1050000</v>
      </c>
      <c r="L15" s="40">
        <f t="shared" si="0"/>
        <v>0</v>
      </c>
      <c r="M15" s="40">
        <f t="shared" si="0"/>
        <v>0</v>
      </c>
      <c r="N15" s="40">
        <f t="shared" si="0"/>
        <v>0</v>
      </c>
      <c r="O15" s="2"/>
    </row>
    <row r="16" spans="1:15" ht="15" customHeight="1" x14ac:dyDescent="0.3">
      <c r="A16" s="6" t="s">
        <v>1341</v>
      </c>
      <c r="B16" s="6" t="s">
        <v>218</v>
      </c>
      <c r="C16" s="6" t="s">
        <v>211</v>
      </c>
      <c r="D16" s="63">
        <f t="shared" ref="D16:N16" si="1">D10-D15</f>
        <v>2100000</v>
      </c>
      <c r="E16" s="63">
        <f t="shared" si="1"/>
        <v>988266.26608153689</v>
      </c>
      <c r="F16" s="63">
        <f t="shared" si="1"/>
        <v>1050000</v>
      </c>
      <c r="G16" s="63">
        <f t="shared" si="1"/>
        <v>2004378.5601794072</v>
      </c>
      <c r="H16" s="63">
        <f t="shared" si="1"/>
        <v>0</v>
      </c>
      <c r="I16" s="63">
        <f t="shared" si="1"/>
        <v>0</v>
      </c>
      <c r="J16" s="63">
        <f t="shared" si="1"/>
        <v>0</v>
      </c>
      <c r="K16" s="63">
        <f t="shared" si="1"/>
        <v>0</v>
      </c>
      <c r="L16" s="63">
        <f t="shared" si="1"/>
        <v>0</v>
      </c>
      <c r="M16" s="63">
        <f t="shared" si="1"/>
        <v>0</v>
      </c>
      <c r="N16" s="63">
        <f t="shared" si="1"/>
        <v>0</v>
      </c>
      <c r="O16" s="2"/>
    </row>
    <row r="17" spans="1:15" ht="15" customHeight="1" x14ac:dyDescent="0.3">
      <c r="A17" s="6" t="s">
        <v>1342</v>
      </c>
      <c r="B17" s="6" t="s">
        <v>218</v>
      </c>
      <c r="C17" s="6" t="s">
        <v>211</v>
      </c>
      <c r="D17" s="63">
        <f>D15</f>
        <v>0</v>
      </c>
      <c r="E17" s="13">
        <f>MAX(0,$D$15*(1-INDEX(Assumptions!$D$97:$F$97,1,1)*1))</f>
        <v>0</v>
      </c>
      <c r="F17" s="13">
        <f>MAX(0,$D$15*(1-INDEX(Assumptions!$D$97:$F$97,1,1)*2))</f>
        <v>0</v>
      </c>
      <c r="G17" s="13">
        <f>MAX(0,$D$15*(1-INDEX(Assumptions!$D$97:$F$97,1,1)*3))</f>
        <v>0</v>
      </c>
      <c r="H17" s="13">
        <f>MAX(0,$D$15*(1-INDEX(Assumptions!$D$97:$F$97,1,1)*4))</f>
        <v>0</v>
      </c>
      <c r="I17" s="13">
        <f>MAX(0,$D$15*(1-INDEX(Assumptions!$D$97:$F$97,1,1)*5))</f>
        <v>0</v>
      </c>
      <c r="J17" s="13">
        <f>MAX(0,$D$15*(1-INDEX(Assumptions!$D$97:$F$97,1,1)*6))</f>
        <v>0</v>
      </c>
      <c r="K17" s="13">
        <f>MAX(0,$D$15*(1-INDEX(Assumptions!$D$97:$F$97,1,1)*7))</f>
        <v>0</v>
      </c>
      <c r="L17" s="13">
        <f>MAX(0,$D$15*(1-INDEX(Assumptions!$D$97:$F$97,1,1)*8))</f>
        <v>0</v>
      </c>
      <c r="M17" s="13">
        <f>MAX(0,$D$15*(1-INDEX(Assumptions!$D$97:$F$97,1,1)*9))</f>
        <v>0</v>
      </c>
      <c r="N17" s="13">
        <f>MAX(0,$D$15*(1-INDEX(Assumptions!$D$97:$F$97,1,1)*10))</f>
        <v>0</v>
      </c>
      <c r="O17" s="2"/>
    </row>
    <row r="18" spans="1:15" ht="15" customHeight="1" x14ac:dyDescent="0.3">
      <c r="A18" s="6" t="s">
        <v>1343</v>
      </c>
      <c r="B18" s="6" t="s">
        <v>218</v>
      </c>
      <c r="C18" s="6" t="s">
        <v>211</v>
      </c>
      <c r="D18" s="63">
        <f>0</f>
        <v>0</v>
      </c>
      <c r="E18" s="63">
        <f>E15</f>
        <v>61733.733918463069</v>
      </c>
      <c r="F18" s="13">
        <f>MAX(0,$E$15*(1-INDEX(Assumptions!$D$97:$F$97,1,1)*1))</f>
        <v>55560.360526616765</v>
      </c>
      <c r="G18" s="13">
        <f>MAX(0,$E$15*(1-INDEX(Assumptions!$D$97:$F$97,1,1)*2))</f>
        <v>49386.987134770461</v>
      </c>
      <c r="H18" s="13">
        <f>MAX(0,$E$15*(1-INDEX(Assumptions!$D$97:$F$97,1,1)*3))</f>
        <v>43213.613742924143</v>
      </c>
      <c r="I18" s="13">
        <f>MAX(0,$E$15*(1-INDEX(Assumptions!$D$97:$F$97,1,1)*4))</f>
        <v>37040.240351077839</v>
      </c>
      <c r="J18" s="13">
        <f>MAX(0,$E$15*(1-INDEX(Assumptions!$D$97:$F$97,1,1)*5))</f>
        <v>30866.866959231535</v>
      </c>
      <c r="K18" s="13">
        <f>MAX(0,$E$15*(1-INDEX(Assumptions!$D$97:$F$97,1,1)*6))</f>
        <v>24693.493567385223</v>
      </c>
      <c r="L18" s="13">
        <f>MAX(0,$E$15*(1-INDEX(Assumptions!$D$97:$F$97,1,1)*7))</f>
        <v>18520.120175538916</v>
      </c>
      <c r="M18" s="13">
        <f>MAX(0,$E$15*(1-INDEX(Assumptions!$D$97:$F$97,1,1)*8))</f>
        <v>12346.746783692612</v>
      </c>
      <c r="N18" s="13">
        <f>MAX(0,$E$15*(1-INDEX(Assumptions!$D$97:$F$97,1,1)*9))</f>
        <v>6173.3733918463058</v>
      </c>
      <c r="O18" s="2"/>
    </row>
    <row r="19" spans="1:15" ht="15" customHeight="1" x14ac:dyDescent="0.3">
      <c r="A19" s="6" t="s">
        <v>1344</v>
      </c>
      <c r="B19" s="6" t="s">
        <v>218</v>
      </c>
      <c r="C19" s="6" t="s">
        <v>211</v>
      </c>
      <c r="D19" s="63">
        <f>0</f>
        <v>0</v>
      </c>
      <c r="E19" s="63">
        <f>0</f>
        <v>0</v>
      </c>
      <c r="F19" s="63">
        <f>F15</f>
        <v>0</v>
      </c>
      <c r="G19" s="13">
        <f>MAX(0,$F$15*(1-INDEX(Assumptions!$D$97:$F$97,1,1)*1))</f>
        <v>0</v>
      </c>
      <c r="H19" s="13">
        <f>MAX(0,$F$15*(1-INDEX(Assumptions!$D$97:$F$97,1,1)*2))</f>
        <v>0</v>
      </c>
      <c r="I19" s="13">
        <f>MAX(0,$F$15*(1-INDEX(Assumptions!$D$97:$F$97,1,1)*3))</f>
        <v>0</v>
      </c>
      <c r="J19" s="13">
        <f>MAX(0,$F$15*(1-INDEX(Assumptions!$D$97:$F$97,1,1)*4))</f>
        <v>0</v>
      </c>
      <c r="K19" s="13">
        <f>MAX(0,$F$15*(1-INDEX(Assumptions!$D$97:$F$97,1,1)*5))</f>
        <v>0</v>
      </c>
      <c r="L19" s="13">
        <f>MAX(0,$F$15*(1-INDEX(Assumptions!$D$97:$F$97,1,1)*6))</f>
        <v>0</v>
      </c>
      <c r="M19" s="13">
        <f>MAX(0,$F$15*(1-INDEX(Assumptions!$D$97:$F$97,1,1)*7))</f>
        <v>0</v>
      </c>
      <c r="N19" s="13">
        <f>MAX(0,$F$15*(1-INDEX(Assumptions!$D$97:$F$97,1,1)*8))</f>
        <v>0</v>
      </c>
      <c r="O19" s="2"/>
    </row>
    <row r="20" spans="1:15" ht="15" customHeight="1" x14ac:dyDescent="0.3">
      <c r="A20" s="6" t="s">
        <v>1345</v>
      </c>
      <c r="B20" s="6" t="s">
        <v>218</v>
      </c>
      <c r="C20" s="6" t="s">
        <v>211</v>
      </c>
      <c r="D20" s="63">
        <f>0</f>
        <v>0</v>
      </c>
      <c r="E20" s="63">
        <f>0</f>
        <v>0</v>
      </c>
      <c r="F20" s="63">
        <f>0</f>
        <v>0</v>
      </c>
      <c r="G20" s="63">
        <f>G15</f>
        <v>1670621.4398205928</v>
      </c>
      <c r="H20" s="13">
        <f>MAX(0,$G$15*(1-INDEX(Assumptions!$D$97:$F$97,1,1)*1))</f>
        <v>1503559.2958385334</v>
      </c>
      <c r="I20" s="13">
        <f>MAX(0,$G$15*(1-INDEX(Assumptions!$D$97:$F$97,1,1)*2))</f>
        <v>1336497.1518564743</v>
      </c>
      <c r="J20" s="13">
        <f>MAX(0,$G$15*(1-INDEX(Assumptions!$D$97:$F$97,1,1)*3))</f>
        <v>1169435.0078744148</v>
      </c>
      <c r="K20" s="13">
        <f>MAX(0,$G$15*(1-INDEX(Assumptions!$D$97:$F$97,1,1)*4))</f>
        <v>1002372.8638923556</v>
      </c>
      <c r="L20" s="13">
        <f>MAX(0,$G$15*(1-INDEX(Assumptions!$D$97:$F$97,1,1)*5))</f>
        <v>835310.71991029638</v>
      </c>
      <c r="M20" s="13">
        <f>MAX(0,$G$15*(1-INDEX(Assumptions!$D$97:$F$97,1,1)*6))</f>
        <v>668248.57592823694</v>
      </c>
      <c r="N20" s="13">
        <f>MAX(0,$G$15*(1-INDEX(Assumptions!$D$97:$F$97,1,1)*7))</f>
        <v>501186.43194617773</v>
      </c>
      <c r="O20" s="2"/>
    </row>
    <row r="21" spans="1:15" ht="15" customHeight="1" x14ac:dyDescent="0.3">
      <c r="A21" s="6" t="s">
        <v>1346</v>
      </c>
      <c r="B21" s="6" t="s">
        <v>218</v>
      </c>
      <c r="C21" s="6" t="s">
        <v>211</v>
      </c>
      <c r="D21" s="63">
        <f>0</f>
        <v>0</v>
      </c>
      <c r="E21" s="63">
        <f>0</f>
        <v>0</v>
      </c>
      <c r="F21" s="63">
        <f>0</f>
        <v>0</v>
      </c>
      <c r="G21" s="63">
        <f>0</f>
        <v>0</v>
      </c>
      <c r="H21" s="63">
        <f>H15</f>
        <v>1050000</v>
      </c>
      <c r="I21" s="13">
        <f>MAX(0,$H$15*(1-INDEX(Assumptions!$D$97:$F$97,1,1)*1))</f>
        <v>945000</v>
      </c>
      <c r="J21" s="13">
        <f>MAX(0,$H$15*(1-INDEX(Assumptions!$D$97:$F$97,1,1)*2))</f>
        <v>840000</v>
      </c>
      <c r="K21" s="13">
        <f>MAX(0,$H$15*(1-INDEX(Assumptions!$D$97:$F$97,1,1)*3))</f>
        <v>735000</v>
      </c>
      <c r="L21" s="13">
        <f>MAX(0,$H$15*(1-INDEX(Assumptions!$D$97:$F$97,1,1)*4))</f>
        <v>630000</v>
      </c>
      <c r="M21" s="13">
        <f>MAX(0,$H$15*(1-INDEX(Assumptions!$D$97:$F$97,1,1)*5))</f>
        <v>525000</v>
      </c>
      <c r="N21" s="13">
        <f>MAX(0,$H$15*(1-INDEX(Assumptions!$D$97:$F$97,1,1)*6))</f>
        <v>419999.99999999988</v>
      </c>
      <c r="O21" s="2"/>
    </row>
    <row r="22" spans="1:15" ht="15" customHeight="1" x14ac:dyDescent="0.3">
      <c r="A22" s="6" t="s">
        <v>1347</v>
      </c>
      <c r="B22" s="6" t="s">
        <v>218</v>
      </c>
      <c r="C22" s="6" t="s">
        <v>211</v>
      </c>
      <c r="D22" s="63">
        <f>0</f>
        <v>0</v>
      </c>
      <c r="E22" s="63">
        <f>0</f>
        <v>0</v>
      </c>
      <c r="F22" s="63">
        <f>0</f>
        <v>0</v>
      </c>
      <c r="G22" s="63">
        <f>0</f>
        <v>0</v>
      </c>
      <c r="H22" s="63">
        <f>0</f>
        <v>0</v>
      </c>
      <c r="I22" s="63">
        <f>I15</f>
        <v>1050000</v>
      </c>
      <c r="J22" s="13">
        <f>MAX(0,$I$15*(1-INDEX(Assumptions!$D$97:$F$97,1,1)*1))</f>
        <v>945000</v>
      </c>
      <c r="K22" s="13">
        <f>MAX(0,$I$15*(1-INDEX(Assumptions!$D$97:$F$97,1,1)*2))</f>
        <v>840000</v>
      </c>
      <c r="L22" s="13">
        <f>MAX(0,$I$15*(1-INDEX(Assumptions!$D$97:$F$97,1,1)*3))</f>
        <v>735000</v>
      </c>
      <c r="M22" s="13">
        <f>MAX(0,$I$15*(1-INDEX(Assumptions!$D$97:$F$97,1,1)*4))</f>
        <v>630000</v>
      </c>
      <c r="N22" s="13">
        <f>MAX(0,$I$15*(1-INDEX(Assumptions!$D$97:$F$97,1,1)*5))</f>
        <v>525000</v>
      </c>
      <c r="O22" s="2"/>
    </row>
    <row r="23" spans="1:15" ht="15" customHeight="1" x14ac:dyDescent="0.3">
      <c r="A23" s="6" t="s">
        <v>1348</v>
      </c>
      <c r="B23" s="6" t="s">
        <v>218</v>
      </c>
      <c r="C23" s="6" t="s">
        <v>211</v>
      </c>
      <c r="D23" s="63">
        <f>0</f>
        <v>0</v>
      </c>
      <c r="E23" s="63">
        <f>0</f>
        <v>0</v>
      </c>
      <c r="F23" s="63">
        <f>0</f>
        <v>0</v>
      </c>
      <c r="G23" s="63">
        <f>0</f>
        <v>0</v>
      </c>
      <c r="H23" s="63">
        <f>0</f>
        <v>0</v>
      </c>
      <c r="I23" s="63">
        <f>0</f>
        <v>0</v>
      </c>
      <c r="J23" s="63">
        <f>J15</f>
        <v>1050000</v>
      </c>
      <c r="K23" s="13">
        <f>MAX(0,$J$15*(1-INDEX(Assumptions!$D$97:$F$97,1,1)*1))</f>
        <v>945000</v>
      </c>
      <c r="L23" s="13">
        <f>MAX(0,$J$15*(1-INDEX(Assumptions!$D$97:$F$97,1,1)*2))</f>
        <v>840000</v>
      </c>
      <c r="M23" s="13">
        <f>MAX(0,$J$15*(1-INDEX(Assumptions!$D$97:$F$97,1,1)*3))</f>
        <v>735000</v>
      </c>
      <c r="N23" s="13">
        <f>MAX(0,$J$15*(1-INDEX(Assumptions!$D$97:$F$97,1,1)*4))</f>
        <v>630000</v>
      </c>
      <c r="O23" s="2"/>
    </row>
    <row r="24" spans="1:15" ht="15" customHeight="1" x14ac:dyDescent="0.3">
      <c r="A24" s="6" t="s">
        <v>1349</v>
      </c>
      <c r="B24" s="6" t="s">
        <v>218</v>
      </c>
      <c r="C24" s="6" t="s">
        <v>211</v>
      </c>
      <c r="D24" s="63">
        <f>0</f>
        <v>0</v>
      </c>
      <c r="E24" s="63">
        <f>0</f>
        <v>0</v>
      </c>
      <c r="F24" s="63">
        <f>0</f>
        <v>0</v>
      </c>
      <c r="G24" s="63">
        <f>0</f>
        <v>0</v>
      </c>
      <c r="H24" s="63">
        <f>0</f>
        <v>0</v>
      </c>
      <c r="I24" s="63">
        <f>0</f>
        <v>0</v>
      </c>
      <c r="J24" s="63">
        <f>0</f>
        <v>0</v>
      </c>
      <c r="K24" s="63">
        <f>K15</f>
        <v>1050000</v>
      </c>
      <c r="L24" s="13">
        <f>MAX(0,$K$15*(1-INDEX(Assumptions!$D$97:$F$97,1,1)*1))</f>
        <v>945000</v>
      </c>
      <c r="M24" s="13">
        <f>MAX(0,$K$15*(1-INDEX(Assumptions!$D$97:$F$97,1,1)*2))</f>
        <v>840000</v>
      </c>
      <c r="N24" s="13">
        <f>MAX(0,$K$15*(1-INDEX(Assumptions!$D$97:$F$97,1,1)*3))</f>
        <v>735000</v>
      </c>
      <c r="O24" s="2"/>
    </row>
    <row r="25" spans="1:15" ht="15" customHeight="1" x14ac:dyDescent="0.3">
      <c r="A25" s="6" t="s">
        <v>1350</v>
      </c>
      <c r="B25" s="6" t="s">
        <v>218</v>
      </c>
      <c r="C25" s="6" t="s">
        <v>211</v>
      </c>
      <c r="D25" s="63">
        <f>0</f>
        <v>0</v>
      </c>
      <c r="E25" s="63">
        <f>0</f>
        <v>0</v>
      </c>
      <c r="F25" s="63">
        <f>0</f>
        <v>0</v>
      </c>
      <c r="G25" s="63">
        <f>0</f>
        <v>0</v>
      </c>
      <c r="H25" s="63">
        <f>0</f>
        <v>0</v>
      </c>
      <c r="I25" s="63">
        <f>0</f>
        <v>0</v>
      </c>
      <c r="J25" s="63">
        <f>0</f>
        <v>0</v>
      </c>
      <c r="K25" s="63">
        <f>0</f>
        <v>0</v>
      </c>
      <c r="L25" s="63">
        <f>L15</f>
        <v>0</v>
      </c>
      <c r="M25" s="13">
        <f>MAX(0,$L$15*(1-INDEX(Assumptions!$D$97:$F$97,1,1)*1))</f>
        <v>0</v>
      </c>
      <c r="N25" s="13">
        <f>MAX(0,$L$15*(1-INDEX(Assumptions!$D$97:$F$97,1,1)*2))</f>
        <v>0</v>
      </c>
      <c r="O25" s="2"/>
    </row>
    <row r="26" spans="1:15" ht="15" customHeight="1" x14ac:dyDescent="0.3">
      <c r="A26" s="6" t="s">
        <v>1351</v>
      </c>
      <c r="B26" s="6" t="s">
        <v>218</v>
      </c>
      <c r="C26" s="6" t="s">
        <v>211</v>
      </c>
      <c r="D26" s="63">
        <f>0</f>
        <v>0</v>
      </c>
      <c r="E26" s="63">
        <f>0</f>
        <v>0</v>
      </c>
      <c r="F26" s="63">
        <f>0</f>
        <v>0</v>
      </c>
      <c r="G26" s="63">
        <f>0</f>
        <v>0</v>
      </c>
      <c r="H26" s="63">
        <f>0</f>
        <v>0</v>
      </c>
      <c r="I26" s="63">
        <f>0</f>
        <v>0</v>
      </c>
      <c r="J26" s="63">
        <f>0</f>
        <v>0</v>
      </c>
      <c r="K26" s="63">
        <f>0</f>
        <v>0</v>
      </c>
      <c r="L26" s="63">
        <f>0</f>
        <v>0</v>
      </c>
      <c r="M26" s="63">
        <f>M15</f>
        <v>0</v>
      </c>
      <c r="N26" s="13">
        <f>MAX(0,$M$15*(1-INDEX(Assumptions!$D$97:$F$97,1,1)*1))</f>
        <v>0</v>
      </c>
      <c r="O26" s="2"/>
    </row>
    <row r="27" spans="1:15" ht="15" customHeight="1" x14ac:dyDescent="0.3">
      <c r="A27" s="6" t="s">
        <v>1352</v>
      </c>
      <c r="B27" s="6" t="s">
        <v>218</v>
      </c>
      <c r="C27" s="6" t="s">
        <v>211</v>
      </c>
      <c r="D27" s="63">
        <f>0</f>
        <v>0</v>
      </c>
      <c r="E27" s="63">
        <f>0</f>
        <v>0</v>
      </c>
      <c r="F27" s="63">
        <f>0</f>
        <v>0</v>
      </c>
      <c r="G27" s="63">
        <f>0</f>
        <v>0</v>
      </c>
      <c r="H27" s="63">
        <f>0</f>
        <v>0</v>
      </c>
      <c r="I27" s="63">
        <f>0</f>
        <v>0</v>
      </c>
      <c r="J27" s="63">
        <f>0</f>
        <v>0</v>
      </c>
      <c r="K27" s="63">
        <f>0</f>
        <v>0</v>
      </c>
      <c r="L27" s="63">
        <f>0</f>
        <v>0</v>
      </c>
      <c r="M27" s="63">
        <f>0</f>
        <v>0</v>
      </c>
      <c r="N27" s="63">
        <f>N15</f>
        <v>0</v>
      </c>
      <c r="O27" s="2"/>
    </row>
    <row r="28" spans="1:15" ht="15" customHeight="1" x14ac:dyDescent="0.3">
      <c r="A28" s="1" t="s">
        <v>1353</v>
      </c>
      <c r="B28" s="6" t="s">
        <v>218</v>
      </c>
      <c r="C28" s="6" t="s">
        <v>211</v>
      </c>
      <c r="D28" s="40">
        <f t="shared" ref="D28:N28" si="2">SUM(D17:D27)</f>
        <v>0</v>
      </c>
      <c r="E28" s="40">
        <f t="shared" si="2"/>
        <v>61733.733918463069</v>
      </c>
      <c r="F28" s="40">
        <f t="shared" si="2"/>
        <v>55560.360526616765</v>
      </c>
      <c r="G28" s="40">
        <f t="shared" si="2"/>
        <v>1720008.4269553632</v>
      </c>
      <c r="H28" s="40">
        <f t="shared" si="2"/>
        <v>2596772.9095814573</v>
      </c>
      <c r="I28" s="40">
        <f t="shared" si="2"/>
        <v>3368537.3922075522</v>
      </c>
      <c r="J28" s="40">
        <f t="shared" si="2"/>
        <v>4035301.8748336462</v>
      </c>
      <c r="K28" s="40">
        <f t="shared" si="2"/>
        <v>4597066.3574597407</v>
      </c>
      <c r="L28" s="40">
        <f t="shared" si="2"/>
        <v>4003830.8400858352</v>
      </c>
      <c r="M28" s="40">
        <f t="shared" si="2"/>
        <v>3410595.3227119297</v>
      </c>
      <c r="N28" s="40">
        <f t="shared" si="2"/>
        <v>2817359.8053380242</v>
      </c>
      <c r="O28" s="2"/>
    </row>
    <row r="29" spans="1:15" ht="15" customHeight="1" x14ac:dyDescent="0.3">
      <c r="A29" s="6" t="s">
        <v>1354</v>
      </c>
      <c r="B29" s="6" t="s">
        <v>218</v>
      </c>
      <c r="C29" s="6" t="s">
        <v>211</v>
      </c>
      <c r="D29" s="63">
        <f>0</f>
        <v>0</v>
      </c>
      <c r="E29" s="63">
        <f t="shared" ref="E29:N29" si="3">-MAX(0,D28+E15-E28)</f>
        <v>0</v>
      </c>
      <c r="F29" s="63">
        <f t="shared" si="3"/>
        <v>-6173.373391846304</v>
      </c>
      <c r="G29" s="63">
        <f t="shared" si="3"/>
        <v>-6173.3733918461949</v>
      </c>
      <c r="H29" s="63">
        <f t="shared" si="3"/>
        <v>-173235.51737390598</v>
      </c>
      <c r="I29" s="63">
        <f t="shared" si="3"/>
        <v>-278235.51737390505</v>
      </c>
      <c r="J29" s="63">
        <f t="shared" si="3"/>
        <v>-383235.51737390552</v>
      </c>
      <c r="K29" s="63">
        <f t="shared" si="3"/>
        <v>-488235.51737390552</v>
      </c>
      <c r="L29" s="63">
        <f t="shared" si="3"/>
        <v>-593235.51737390552</v>
      </c>
      <c r="M29" s="63">
        <f t="shared" si="3"/>
        <v>-593235.51737390552</v>
      </c>
      <c r="N29" s="63">
        <f t="shared" si="3"/>
        <v>-593235.51737390552</v>
      </c>
      <c r="O29" s="2"/>
    </row>
    <row r="30" spans="1:15" ht="15" customHeight="1" x14ac:dyDescent="0.3">
      <c r="A30" s="6" t="s">
        <v>1355</v>
      </c>
      <c r="B30" s="6" t="s">
        <v>218</v>
      </c>
      <c r="C30" s="6" t="s">
        <v>222</v>
      </c>
      <c r="D30" s="63">
        <f>0</f>
        <v>0</v>
      </c>
      <c r="E30" s="13">
        <f>-(D28+E28)/2*INDEX(Assumptions!$D$96:$F$96,1,1)</f>
        <v>-3241.0210307193111</v>
      </c>
      <c r="F30" s="13">
        <f>-(E28+F28)/2*INDEX(Assumptions!$D$96:$F$96,1,1)</f>
        <v>-6157.9399583666909</v>
      </c>
      <c r="G30" s="13">
        <f>-(F28+G28)/2*INDEX(Assumptions!$D$96:$F$96,1,1)</f>
        <v>-93217.361342803939</v>
      </c>
      <c r="H30" s="13">
        <f>-(G28+H28)/2*INDEX(Assumptions!$D$96:$F$96,1,1)</f>
        <v>-226631.02016818308</v>
      </c>
      <c r="I30" s="13">
        <f>-(H28+I28)/2*INDEX(Assumptions!$D$96:$F$96,1,1)</f>
        <v>-313178.79084392299</v>
      </c>
      <c r="J30" s="13">
        <f>-(I28+J28)/2*INDEX(Assumptions!$D$96:$F$96,1,1)</f>
        <v>-388701.56151966291</v>
      </c>
      <c r="K30" s="13">
        <f>-(J28+K28)/2*INDEX(Assumptions!$D$96:$F$96,1,1)</f>
        <v>-453199.33219540276</v>
      </c>
      <c r="L30" s="13">
        <f>-(K28+L28)/2*INDEX(Assumptions!$D$96:$F$96,1,1)</f>
        <v>-451547.10287114279</v>
      </c>
      <c r="M30" s="13">
        <f>-(L28+M28)/2*INDEX(Assumptions!$D$96:$F$96,1,1)</f>
        <v>-389257.37354688265</v>
      </c>
      <c r="N30" s="13">
        <f>-(M28+N28)/2*INDEX(Assumptions!$D$96:$F$96,1,1)</f>
        <v>-326967.64422262256</v>
      </c>
      <c r="O30" s="2"/>
    </row>
    <row r="31" spans="1:15" ht="15" customHeight="1" x14ac:dyDescent="0.3">
      <c r="A31" s="6" t="s">
        <v>1356</v>
      </c>
      <c r="B31" s="6" t="s">
        <v>218</v>
      </c>
      <c r="C31" s="6" t="s">
        <v>211</v>
      </c>
      <c r="D31" s="13">
        <f>IF(0&gt;=INDEX(Assumptions!$D$100:$F$100,1,1),0,'Acquisition Schedule'!F$28)</f>
        <v>900000</v>
      </c>
      <c r="E31" s="13">
        <f>IF(1&gt;=INDEX(Assumptions!$D$100:$F$100,1,1),0,'Acquisition Schedule'!F$28)</f>
        <v>900000</v>
      </c>
      <c r="F31" s="13">
        <f>IF(2&gt;=INDEX(Assumptions!$D$100:$F$100,1,1),0,'Acquisition Schedule'!F$28)</f>
        <v>900000</v>
      </c>
      <c r="G31" s="13">
        <f>IF(3&gt;=INDEX(Assumptions!$D$100:$F$100,1,1),0,'Acquisition Schedule'!F$28)</f>
        <v>900000</v>
      </c>
      <c r="H31" s="13">
        <f>IF(4&gt;=INDEX(Assumptions!$D$100:$F$100,1,1),0,'Acquisition Schedule'!F$28)</f>
        <v>900000</v>
      </c>
      <c r="I31" s="13">
        <f>IF(5&gt;=INDEX(Assumptions!$D$100:$F$100,1,1),0,'Acquisition Schedule'!F$28)</f>
        <v>0</v>
      </c>
      <c r="J31" s="13">
        <f>IF(6&gt;=INDEX(Assumptions!$D$100:$F$100,1,1),0,'Acquisition Schedule'!F$28)</f>
        <v>0</v>
      </c>
      <c r="K31" s="13">
        <f>IF(7&gt;=INDEX(Assumptions!$D$100:$F$100,1,1),0,'Acquisition Schedule'!F$28)</f>
        <v>0</v>
      </c>
      <c r="L31" s="13">
        <f>IF(8&gt;=INDEX(Assumptions!$D$100:$F$100,1,1),0,'Acquisition Schedule'!F$28)</f>
        <v>0</v>
      </c>
      <c r="M31" s="13">
        <f>IF(9&gt;=INDEX(Assumptions!$D$100:$F$100,1,1),0,'Acquisition Schedule'!F$28)</f>
        <v>0</v>
      </c>
      <c r="N31" s="13">
        <f>IF(10&gt;=INDEX(Assumptions!$D$100:$F$100,1,1),0,'Acquisition Schedule'!F$28)</f>
        <v>0</v>
      </c>
      <c r="O31" s="2"/>
    </row>
    <row r="32" spans="1:15" ht="15" customHeight="1" x14ac:dyDescent="0.3">
      <c r="A32" s="6" t="s">
        <v>1357</v>
      </c>
      <c r="B32" s="6" t="s">
        <v>218</v>
      </c>
      <c r="C32" s="6" t="s">
        <v>211</v>
      </c>
      <c r="D32" s="63">
        <f>0</f>
        <v>0</v>
      </c>
      <c r="E32" s="13">
        <f>IF(0&gt;=INDEX(Assumptions!$D$100:$F$100,1,1),0,'Acquisition Schedule'!G$28)</f>
        <v>450000</v>
      </c>
      <c r="F32" s="13">
        <f>IF(1&gt;=INDEX(Assumptions!$D$100:$F$100,1,1),0,'Acquisition Schedule'!G$28)</f>
        <v>450000</v>
      </c>
      <c r="G32" s="13">
        <f>IF(2&gt;=INDEX(Assumptions!$D$100:$F$100,1,1),0,'Acquisition Schedule'!G$28)</f>
        <v>450000</v>
      </c>
      <c r="H32" s="13">
        <f>IF(3&gt;=INDEX(Assumptions!$D$100:$F$100,1,1),0,'Acquisition Schedule'!G$28)</f>
        <v>450000</v>
      </c>
      <c r="I32" s="13">
        <f>IF(4&gt;=INDEX(Assumptions!$D$100:$F$100,1,1),0,'Acquisition Schedule'!G$28)</f>
        <v>450000</v>
      </c>
      <c r="J32" s="13">
        <f>IF(5&gt;=INDEX(Assumptions!$D$100:$F$100,1,1),0,'Acquisition Schedule'!G$28)</f>
        <v>0</v>
      </c>
      <c r="K32" s="13">
        <f>IF(6&gt;=INDEX(Assumptions!$D$100:$F$100,1,1),0,'Acquisition Schedule'!G$28)</f>
        <v>0</v>
      </c>
      <c r="L32" s="13">
        <f>IF(7&gt;=INDEX(Assumptions!$D$100:$F$100,1,1),0,'Acquisition Schedule'!G$28)</f>
        <v>0</v>
      </c>
      <c r="M32" s="13">
        <f>IF(8&gt;=INDEX(Assumptions!$D$100:$F$100,1,1),0,'Acquisition Schedule'!G$28)</f>
        <v>0</v>
      </c>
      <c r="N32" s="13">
        <f>IF(9&gt;=INDEX(Assumptions!$D$100:$F$100,1,1),0,'Acquisition Schedule'!G$28)</f>
        <v>0</v>
      </c>
      <c r="O32" s="2"/>
    </row>
    <row r="33" spans="1:15" ht="15" customHeight="1" x14ac:dyDescent="0.3">
      <c r="A33" s="6" t="s">
        <v>1358</v>
      </c>
      <c r="B33" s="6" t="s">
        <v>218</v>
      </c>
      <c r="C33" s="6" t="s">
        <v>211</v>
      </c>
      <c r="D33" s="63">
        <f>0</f>
        <v>0</v>
      </c>
      <c r="E33" s="63">
        <f>0</f>
        <v>0</v>
      </c>
      <c r="F33" s="13">
        <f>IF(0&gt;=INDEX(Assumptions!$D$100:$F$100,1,1),0,'Acquisition Schedule'!H$28)</f>
        <v>450000</v>
      </c>
      <c r="G33" s="13">
        <f>IF(1&gt;=INDEX(Assumptions!$D$100:$F$100,1,1),0,'Acquisition Schedule'!H$28)</f>
        <v>450000</v>
      </c>
      <c r="H33" s="13">
        <f>IF(2&gt;=INDEX(Assumptions!$D$100:$F$100,1,1),0,'Acquisition Schedule'!H$28)</f>
        <v>450000</v>
      </c>
      <c r="I33" s="13">
        <f>IF(3&gt;=INDEX(Assumptions!$D$100:$F$100,1,1),0,'Acquisition Schedule'!H$28)</f>
        <v>450000</v>
      </c>
      <c r="J33" s="13">
        <f>IF(4&gt;=INDEX(Assumptions!$D$100:$F$100,1,1),0,'Acquisition Schedule'!H$28)</f>
        <v>450000</v>
      </c>
      <c r="K33" s="13">
        <f>IF(5&gt;=INDEX(Assumptions!$D$100:$F$100,1,1),0,'Acquisition Schedule'!H$28)</f>
        <v>0</v>
      </c>
      <c r="L33" s="13">
        <f>IF(6&gt;=INDEX(Assumptions!$D$100:$F$100,1,1),0,'Acquisition Schedule'!H$28)</f>
        <v>0</v>
      </c>
      <c r="M33" s="13">
        <f>IF(7&gt;=INDEX(Assumptions!$D$100:$F$100,1,1),0,'Acquisition Schedule'!H$28)</f>
        <v>0</v>
      </c>
      <c r="N33" s="13">
        <f>IF(8&gt;=INDEX(Assumptions!$D$100:$F$100,1,1),0,'Acquisition Schedule'!H$28)</f>
        <v>0</v>
      </c>
      <c r="O33" s="2"/>
    </row>
    <row r="34" spans="1:15" ht="15" customHeight="1" x14ac:dyDescent="0.3">
      <c r="A34" s="6" t="s">
        <v>1359</v>
      </c>
      <c r="B34" s="6" t="s">
        <v>218</v>
      </c>
      <c r="C34" s="6" t="s">
        <v>211</v>
      </c>
      <c r="D34" s="63">
        <f>0</f>
        <v>0</v>
      </c>
      <c r="E34" s="63">
        <f>0</f>
        <v>0</v>
      </c>
      <c r="F34" s="63">
        <f>0</f>
        <v>0</v>
      </c>
      <c r="G34" s="13">
        <f>IF(0&gt;=INDEX(Assumptions!$D$100:$F$100,1,1),0,'Acquisition Schedule'!I$28)</f>
        <v>1575000</v>
      </c>
      <c r="H34" s="13">
        <f>IF(1&gt;=INDEX(Assumptions!$D$100:$F$100,1,1),0,'Acquisition Schedule'!I$28)</f>
        <v>1575000</v>
      </c>
      <c r="I34" s="13">
        <f>IF(2&gt;=INDEX(Assumptions!$D$100:$F$100,1,1),0,'Acquisition Schedule'!I$28)</f>
        <v>1575000</v>
      </c>
      <c r="J34" s="13">
        <f>IF(3&gt;=INDEX(Assumptions!$D$100:$F$100,1,1),0,'Acquisition Schedule'!I$28)</f>
        <v>1575000</v>
      </c>
      <c r="K34" s="13">
        <f>IF(4&gt;=INDEX(Assumptions!$D$100:$F$100,1,1),0,'Acquisition Schedule'!I$28)</f>
        <v>1575000</v>
      </c>
      <c r="L34" s="13">
        <f>IF(5&gt;=INDEX(Assumptions!$D$100:$F$100,1,1),0,'Acquisition Schedule'!I$28)</f>
        <v>0</v>
      </c>
      <c r="M34" s="13">
        <f>IF(6&gt;=INDEX(Assumptions!$D$100:$F$100,1,1),0,'Acquisition Schedule'!I$28)</f>
        <v>0</v>
      </c>
      <c r="N34" s="13">
        <f>IF(7&gt;=INDEX(Assumptions!$D$100:$F$100,1,1),0,'Acquisition Schedule'!I$28)</f>
        <v>0</v>
      </c>
      <c r="O34" s="2"/>
    </row>
    <row r="35" spans="1:15" ht="15" customHeight="1" x14ac:dyDescent="0.3">
      <c r="A35" s="6" t="s">
        <v>1360</v>
      </c>
      <c r="B35" s="6" t="s">
        <v>218</v>
      </c>
      <c r="C35" s="6" t="s">
        <v>211</v>
      </c>
      <c r="D35" s="63">
        <f>0</f>
        <v>0</v>
      </c>
      <c r="E35" s="63">
        <f>0</f>
        <v>0</v>
      </c>
      <c r="F35" s="63">
        <f>0</f>
        <v>0</v>
      </c>
      <c r="G35" s="63">
        <f>0</f>
        <v>0</v>
      </c>
      <c r="H35" s="13">
        <f>IF(0&gt;=INDEX(Assumptions!$D$100:$F$100,1,1),0,'Acquisition Schedule'!J$28)</f>
        <v>450000</v>
      </c>
      <c r="I35" s="13">
        <f>IF(1&gt;=INDEX(Assumptions!$D$100:$F$100,1,1),0,'Acquisition Schedule'!J$28)</f>
        <v>450000</v>
      </c>
      <c r="J35" s="13">
        <f>IF(2&gt;=INDEX(Assumptions!$D$100:$F$100,1,1),0,'Acquisition Schedule'!J$28)</f>
        <v>450000</v>
      </c>
      <c r="K35" s="13">
        <f>IF(3&gt;=INDEX(Assumptions!$D$100:$F$100,1,1),0,'Acquisition Schedule'!J$28)</f>
        <v>450000</v>
      </c>
      <c r="L35" s="13">
        <f>IF(4&gt;=INDEX(Assumptions!$D$100:$F$100,1,1),0,'Acquisition Schedule'!J$28)</f>
        <v>450000</v>
      </c>
      <c r="M35" s="13">
        <f>IF(5&gt;=INDEX(Assumptions!$D$100:$F$100,1,1),0,'Acquisition Schedule'!J$28)</f>
        <v>0</v>
      </c>
      <c r="N35" s="13">
        <f>IF(6&gt;=INDEX(Assumptions!$D$100:$F$100,1,1),0,'Acquisition Schedule'!J$28)</f>
        <v>0</v>
      </c>
      <c r="O35" s="2"/>
    </row>
    <row r="36" spans="1:15" ht="15" customHeight="1" x14ac:dyDescent="0.3">
      <c r="A36" s="6" t="s">
        <v>1361</v>
      </c>
      <c r="B36" s="6" t="s">
        <v>218</v>
      </c>
      <c r="C36" s="6" t="s">
        <v>211</v>
      </c>
      <c r="D36" s="63">
        <f>0</f>
        <v>0</v>
      </c>
      <c r="E36" s="63">
        <f>0</f>
        <v>0</v>
      </c>
      <c r="F36" s="63">
        <f>0</f>
        <v>0</v>
      </c>
      <c r="G36" s="63">
        <f>0</f>
        <v>0</v>
      </c>
      <c r="H36" s="63">
        <f>0</f>
        <v>0</v>
      </c>
      <c r="I36" s="13">
        <f>IF(0&gt;=INDEX(Assumptions!$D$100:$F$100,1,1),0,'Acquisition Schedule'!K$28)</f>
        <v>450000</v>
      </c>
      <c r="J36" s="13">
        <f>IF(1&gt;=INDEX(Assumptions!$D$100:$F$100,1,1),0,'Acquisition Schedule'!K$28)</f>
        <v>450000</v>
      </c>
      <c r="K36" s="13">
        <f>IF(2&gt;=INDEX(Assumptions!$D$100:$F$100,1,1),0,'Acquisition Schedule'!K$28)</f>
        <v>450000</v>
      </c>
      <c r="L36" s="13">
        <f>IF(3&gt;=INDEX(Assumptions!$D$100:$F$100,1,1),0,'Acquisition Schedule'!K$28)</f>
        <v>450000</v>
      </c>
      <c r="M36" s="13">
        <f>IF(4&gt;=INDEX(Assumptions!$D$100:$F$100,1,1),0,'Acquisition Schedule'!K$28)</f>
        <v>450000</v>
      </c>
      <c r="N36" s="13">
        <f>IF(5&gt;=INDEX(Assumptions!$D$100:$F$100,1,1),0,'Acquisition Schedule'!K$28)</f>
        <v>0</v>
      </c>
      <c r="O36" s="2"/>
    </row>
    <row r="37" spans="1:15" ht="15" customHeight="1" x14ac:dyDescent="0.3">
      <c r="A37" s="6" t="s">
        <v>1362</v>
      </c>
      <c r="B37" s="6" t="s">
        <v>218</v>
      </c>
      <c r="C37" s="6" t="s">
        <v>211</v>
      </c>
      <c r="D37" s="63">
        <f>0</f>
        <v>0</v>
      </c>
      <c r="E37" s="63">
        <f>0</f>
        <v>0</v>
      </c>
      <c r="F37" s="63">
        <f>0</f>
        <v>0</v>
      </c>
      <c r="G37" s="63">
        <f>0</f>
        <v>0</v>
      </c>
      <c r="H37" s="63">
        <f>0</f>
        <v>0</v>
      </c>
      <c r="I37" s="63">
        <f>0</f>
        <v>0</v>
      </c>
      <c r="J37" s="13">
        <f>IF(0&gt;=INDEX(Assumptions!$D$100:$F$100,1,1),0,'Acquisition Schedule'!L$28)</f>
        <v>450000</v>
      </c>
      <c r="K37" s="13">
        <f>IF(1&gt;=INDEX(Assumptions!$D$100:$F$100,1,1),0,'Acquisition Schedule'!L$28)</f>
        <v>450000</v>
      </c>
      <c r="L37" s="13">
        <f>IF(2&gt;=INDEX(Assumptions!$D$100:$F$100,1,1),0,'Acquisition Schedule'!L$28)</f>
        <v>450000</v>
      </c>
      <c r="M37" s="13">
        <f>IF(3&gt;=INDEX(Assumptions!$D$100:$F$100,1,1),0,'Acquisition Schedule'!L$28)</f>
        <v>450000</v>
      </c>
      <c r="N37" s="13">
        <f>IF(4&gt;=INDEX(Assumptions!$D$100:$F$100,1,1),0,'Acquisition Schedule'!L$28)</f>
        <v>450000</v>
      </c>
      <c r="O37" s="2"/>
    </row>
    <row r="38" spans="1:15" ht="15" customHeight="1" x14ac:dyDescent="0.3">
      <c r="A38" s="6" t="s">
        <v>1363</v>
      </c>
      <c r="B38" s="6" t="s">
        <v>218</v>
      </c>
      <c r="C38" s="6" t="s">
        <v>211</v>
      </c>
      <c r="D38" s="63">
        <f>0</f>
        <v>0</v>
      </c>
      <c r="E38" s="63">
        <f>0</f>
        <v>0</v>
      </c>
      <c r="F38" s="63">
        <f>0</f>
        <v>0</v>
      </c>
      <c r="G38" s="63">
        <f>0</f>
        <v>0</v>
      </c>
      <c r="H38" s="63">
        <f>0</f>
        <v>0</v>
      </c>
      <c r="I38" s="63">
        <f>0</f>
        <v>0</v>
      </c>
      <c r="J38" s="63">
        <f>0</f>
        <v>0</v>
      </c>
      <c r="K38" s="13">
        <f>IF(0&gt;=INDEX(Assumptions!$D$100:$F$100,1,1),0,'Acquisition Schedule'!M$28)</f>
        <v>450000</v>
      </c>
      <c r="L38" s="13">
        <f>IF(1&gt;=INDEX(Assumptions!$D$100:$F$100,1,1),0,'Acquisition Schedule'!M$28)</f>
        <v>450000</v>
      </c>
      <c r="M38" s="13">
        <f>IF(2&gt;=INDEX(Assumptions!$D$100:$F$100,1,1),0,'Acquisition Schedule'!M$28)</f>
        <v>450000</v>
      </c>
      <c r="N38" s="13">
        <f>IF(3&gt;=INDEX(Assumptions!$D$100:$F$100,1,1),0,'Acquisition Schedule'!M$28)</f>
        <v>450000</v>
      </c>
      <c r="O38" s="2"/>
    </row>
    <row r="39" spans="1:15" ht="15" customHeight="1" x14ac:dyDescent="0.3">
      <c r="A39" s="6" t="s">
        <v>1364</v>
      </c>
      <c r="B39" s="6" t="s">
        <v>218</v>
      </c>
      <c r="C39" s="6" t="s">
        <v>211</v>
      </c>
      <c r="D39" s="63">
        <f>0</f>
        <v>0</v>
      </c>
      <c r="E39" s="63">
        <f>0</f>
        <v>0</v>
      </c>
      <c r="F39" s="63">
        <f>0</f>
        <v>0</v>
      </c>
      <c r="G39" s="63">
        <f>0</f>
        <v>0</v>
      </c>
      <c r="H39" s="63">
        <f>0</f>
        <v>0</v>
      </c>
      <c r="I39" s="63">
        <f>0</f>
        <v>0</v>
      </c>
      <c r="J39" s="63">
        <f>0</f>
        <v>0</v>
      </c>
      <c r="K39" s="63">
        <f>0</f>
        <v>0</v>
      </c>
      <c r="L39" s="13">
        <f>IF(0&gt;=INDEX(Assumptions!$D$100:$F$100,1,1),0,'Acquisition Schedule'!N$28)</f>
        <v>0</v>
      </c>
      <c r="M39" s="13">
        <f>IF(1&gt;=INDEX(Assumptions!$D$100:$F$100,1,1),0,'Acquisition Schedule'!N$28)</f>
        <v>0</v>
      </c>
      <c r="N39" s="13">
        <f>IF(2&gt;=INDEX(Assumptions!$D$100:$F$100,1,1),0,'Acquisition Schedule'!N$28)</f>
        <v>0</v>
      </c>
      <c r="O39" s="2"/>
    </row>
    <row r="40" spans="1:15" ht="15" customHeight="1" x14ac:dyDescent="0.3">
      <c r="A40" s="6" t="s">
        <v>1365</v>
      </c>
      <c r="B40" s="6" t="s">
        <v>218</v>
      </c>
      <c r="C40" s="6" t="s">
        <v>211</v>
      </c>
      <c r="D40" s="63">
        <f>0</f>
        <v>0</v>
      </c>
      <c r="E40" s="63">
        <f>0</f>
        <v>0</v>
      </c>
      <c r="F40" s="63">
        <f>0</f>
        <v>0</v>
      </c>
      <c r="G40" s="63">
        <f>0</f>
        <v>0</v>
      </c>
      <c r="H40" s="63">
        <f>0</f>
        <v>0</v>
      </c>
      <c r="I40" s="63">
        <f>0</f>
        <v>0</v>
      </c>
      <c r="J40" s="63">
        <f>0</f>
        <v>0</v>
      </c>
      <c r="K40" s="63">
        <f>0</f>
        <v>0</v>
      </c>
      <c r="L40" s="63">
        <f>0</f>
        <v>0</v>
      </c>
      <c r="M40" s="13">
        <f>IF(0&gt;=INDEX(Assumptions!$D$100:$F$100,1,1),0,'Acquisition Schedule'!O$28)</f>
        <v>0</v>
      </c>
      <c r="N40" s="13">
        <f>IF(1&gt;=INDEX(Assumptions!$D$100:$F$100,1,1),0,'Acquisition Schedule'!O$28)</f>
        <v>0</v>
      </c>
      <c r="O40" s="2"/>
    </row>
    <row r="41" spans="1:15" ht="15" customHeight="1" x14ac:dyDescent="0.3">
      <c r="A41" s="6" t="s">
        <v>1366</v>
      </c>
      <c r="B41" s="6" t="s">
        <v>218</v>
      </c>
      <c r="C41" s="6" t="s">
        <v>211</v>
      </c>
      <c r="D41" s="63">
        <f>0</f>
        <v>0</v>
      </c>
      <c r="E41" s="63">
        <f>0</f>
        <v>0</v>
      </c>
      <c r="F41" s="63">
        <f>0</f>
        <v>0</v>
      </c>
      <c r="G41" s="63">
        <f>0</f>
        <v>0</v>
      </c>
      <c r="H41" s="63">
        <f>0</f>
        <v>0</v>
      </c>
      <c r="I41" s="63">
        <f>0</f>
        <v>0</v>
      </c>
      <c r="J41" s="63">
        <f>0</f>
        <v>0</v>
      </c>
      <c r="K41" s="63">
        <f>0</f>
        <v>0</v>
      </c>
      <c r="L41" s="63">
        <f>0</f>
        <v>0</v>
      </c>
      <c r="M41" s="63">
        <f>0</f>
        <v>0</v>
      </c>
      <c r="N41" s="13">
        <f>IF(0&gt;=INDEX(Assumptions!$D$100:$F$100,1,1),0,'Acquisition Schedule'!P$28)</f>
        <v>0</v>
      </c>
      <c r="O41" s="2"/>
    </row>
    <row r="42" spans="1:15" ht="15" customHeight="1" x14ac:dyDescent="0.3">
      <c r="A42" s="1" t="s">
        <v>1367</v>
      </c>
      <c r="B42" s="6" t="s">
        <v>218</v>
      </c>
      <c r="C42" s="6" t="s">
        <v>211</v>
      </c>
      <c r="D42" s="40">
        <f t="shared" ref="D42:N42" si="4">SUM(D31:D41)</f>
        <v>900000</v>
      </c>
      <c r="E42" s="40">
        <f t="shared" si="4"/>
        <v>1350000</v>
      </c>
      <c r="F42" s="40">
        <f t="shared" si="4"/>
        <v>1800000</v>
      </c>
      <c r="G42" s="40">
        <f t="shared" si="4"/>
        <v>3375000</v>
      </c>
      <c r="H42" s="40">
        <f t="shared" si="4"/>
        <v>3825000</v>
      </c>
      <c r="I42" s="40">
        <f t="shared" si="4"/>
        <v>3375000</v>
      </c>
      <c r="J42" s="40">
        <f t="shared" si="4"/>
        <v>3375000</v>
      </c>
      <c r="K42" s="40">
        <f t="shared" si="4"/>
        <v>3375000</v>
      </c>
      <c r="L42" s="40">
        <f t="shared" si="4"/>
        <v>1800000</v>
      </c>
      <c r="M42" s="40">
        <f t="shared" si="4"/>
        <v>1350000</v>
      </c>
      <c r="N42" s="40">
        <f t="shared" si="4"/>
        <v>900000</v>
      </c>
      <c r="O42" s="2"/>
    </row>
    <row r="43" spans="1:15" ht="15" customHeight="1" x14ac:dyDescent="0.3">
      <c r="A43" s="6" t="s">
        <v>757</v>
      </c>
      <c r="B43" s="6" t="s">
        <v>218</v>
      </c>
      <c r="C43" s="6" t="s">
        <v>245</v>
      </c>
      <c r="D43" s="13">
        <f>'Acquisition Schedule'!F$28</f>
        <v>900000</v>
      </c>
      <c r="E43" s="13">
        <f>'Acquisition Schedule'!G$28</f>
        <v>450000</v>
      </c>
      <c r="F43" s="13">
        <f>'Acquisition Schedule'!H$28</f>
        <v>450000</v>
      </c>
      <c r="G43" s="13">
        <f>'Acquisition Schedule'!I$28</f>
        <v>1575000</v>
      </c>
      <c r="H43" s="13">
        <f>'Acquisition Schedule'!J$28</f>
        <v>450000</v>
      </c>
      <c r="I43" s="13">
        <f>'Acquisition Schedule'!K$28</f>
        <v>450000</v>
      </c>
      <c r="J43" s="13">
        <f>'Acquisition Schedule'!L$28</f>
        <v>450000</v>
      </c>
      <c r="K43" s="13">
        <f>'Acquisition Schedule'!M$28</f>
        <v>450000</v>
      </c>
      <c r="L43" s="13">
        <f>'Acquisition Schedule'!N$28</f>
        <v>0</v>
      </c>
      <c r="M43" s="13">
        <f>'Acquisition Schedule'!O$28</f>
        <v>0</v>
      </c>
      <c r="N43" s="13">
        <f>'Acquisition Schedule'!P$28</f>
        <v>0</v>
      </c>
      <c r="O43" s="2"/>
    </row>
    <row r="44" spans="1:15" ht="15" customHeight="1" x14ac:dyDescent="0.3">
      <c r="A44" s="6" t="s">
        <v>1368</v>
      </c>
      <c r="B44" s="6" t="s">
        <v>218</v>
      </c>
      <c r="C44" s="6" t="s">
        <v>211</v>
      </c>
      <c r="D44" s="63">
        <f>0</f>
        <v>0</v>
      </c>
      <c r="E44" s="63">
        <f t="shared" ref="E44:N44" si="5">-MAX(0,D42+E43-E42)</f>
        <v>0</v>
      </c>
      <c r="F44" s="63">
        <f t="shared" si="5"/>
        <v>0</v>
      </c>
      <c r="G44" s="63">
        <f t="shared" si="5"/>
        <v>0</v>
      </c>
      <c r="H44" s="63">
        <f t="shared" si="5"/>
        <v>0</v>
      </c>
      <c r="I44" s="63">
        <f t="shared" si="5"/>
        <v>-900000</v>
      </c>
      <c r="J44" s="63">
        <f t="shared" si="5"/>
        <v>-450000</v>
      </c>
      <c r="K44" s="63">
        <f t="shared" si="5"/>
        <v>-450000</v>
      </c>
      <c r="L44" s="63">
        <f t="shared" si="5"/>
        <v>-1575000</v>
      </c>
      <c r="M44" s="63">
        <f t="shared" si="5"/>
        <v>-450000</v>
      </c>
      <c r="N44" s="63">
        <f t="shared" si="5"/>
        <v>-450000</v>
      </c>
      <c r="O44" s="2"/>
    </row>
    <row r="45" spans="1:15" ht="15" customHeight="1" x14ac:dyDescent="0.3">
      <c r="A45" s="6" t="s">
        <v>1369</v>
      </c>
      <c r="B45" s="6" t="s">
        <v>218</v>
      </c>
      <c r="C45" s="6" t="s">
        <v>222</v>
      </c>
      <c r="D45" s="63">
        <f>0</f>
        <v>0</v>
      </c>
      <c r="E45" s="13">
        <f>-(D42+E42)/2*INDEX(Assumptions!$D$99:$F$99,1,1)</f>
        <v>-86625</v>
      </c>
      <c r="F45" s="13">
        <f>-(E42+F42)/2*INDEX(Assumptions!$D$99:$F$99,1,1)</f>
        <v>-121275</v>
      </c>
      <c r="G45" s="13">
        <f>-(F42+G42)/2*INDEX(Assumptions!$D$99:$F$99,1,1)</f>
        <v>-199237.5</v>
      </c>
      <c r="H45" s="13">
        <f>-(G42+H42)/2*INDEX(Assumptions!$D$99:$F$99,1,1)</f>
        <v>-277200</v>
      </c>
      <c r="I45" s="13">
        <f>-(H42+I42)/2*INDEX(Assumptions!$D$99:$F$99,1,1)</f>
        <v>-277200</v>
      </c>
      <c r="J45" s="13">
        <f>-(I42+J42)/2*INDEX(Assumptions!$D$99:$F$99,1,1)</f>
        <v>-259875</v>
      </c>
      <c r="K45" s="13">
        <f>-(J42+K42)/2*INDEX(Assumptions!$D$99:$F$99,1,1)</f>
        <v>-259875</v>
      </c>
      <c r="L45" s="13">
        <f>-(K42+L42)/2*INDEX(Assumptions!$D$99:$F$99,1,1)</f>
        <v>-199237.5</v>
      </c>
      <c r="M45" s="13">
        <f>-(L42+M42)/2*INDEX(Assumptions!$D$99:$F$99,1,1)</f>
        <v>-121275</v>
      </c>
      <c r="N45" s="13">
        <f>-(M42+N42)/2*INDEX(Assumptions!$D$99:$F$99,1,1)</f>
        <v>-86625</v>
      </c>
      <c r="O45" s="2"/>
    </row>
    <row r="46" spans="1:15" ht="15" customHeight="1" x14ac:dyDescent="0.3">
      <c r="A46" s="6" t="s">
        <v>18</v>
      </c>
      <c r="B46" s="6" t="s">
        <v>218</v>
      </c>
      <c r="C46" s="6" t="s">
        <v>211</v>
      </c>
      <c r="D46" s="13">
        <f>'Operating Case'!D$36</f>
        <v>-2793958.529967607</v>
      </c>
      <c r="E46" s="13">
        <f>'Operating Case'!E$36</f>
        <v>-1905430.2890604013</v>
      </c>
      <c r="F46" s="13">
        <f>'Operating Case'!F$36</f>
        <v>-2313945.9876468359</v>
      </c>
      <c r="G46" s="13">
        <f>'Operating Case'!G$36</f>
        <v>-1282535.529924768</v>
      </c>
      <c r="H46" s="13">
        <f>'Operating Case'!H$36</f>
        <v>184323.04444680654</v>
      </c>
      <c r="I46" s="13">
        <f>'Operating Case'!I$36</f>
        <v>998133.12039070972</v>
      </c>
      <c r="J46" s="13">
        <f>'Operating Case'!J$36</f>
        <v>768025.35572086019</v>
      </c>
      <c r="K46" s="13">
        <f>'Operating Case'!K$36</f>
        <v>947024.463033607</v>
      </c>
      <c r="L46" s="13">
        <f>'Operating Case'!L$36</f>
        <v>1470899.8712451058</v>
      </c>
      <c r="M46" s="13">
        <f>'Operating Case'!M$36</f>
        <v>270082.59838186088</v>
      </c>
      <c r="N46" s="13">
        <f>'Operating Case'!N$36</f>
        <v>-515139.65712107881</v>
      </c>
      <c r="O46" s="2"/>
    </row>
    <row r="47" spans="1:15" ht="15" customHeight="1" x14ac:dyDescent="0.3">
      <c r="A47" s="6" t="s">
        <v>1370</v>
      </c>
      <c r="B47" s="6" t="s">
        <v>218</v>
      </c>
      <c r="C47" s="6" t="s">
        <v>211</v>
      </c>
      <c r="D47" s="13">
        <f>D46+D30+D45+'Operating Case'!D$38</f>
        <v>-2993021.029967607</v>
      </c>
      <c r="E47" s="13">
        <f>E46+E30+E45+'Operating Case'!E$38</f>
        <v>-2269007.2475911207</v>
      </c>
      <c r="F47" s="13">
        <f>F46+F30+F45+'Operating Case'!F$38</f>
        <v>-2859659.0057302024</v>
      </c>
      <c r="G47" s="13">
        <f>G46+G30+G45+'Operating Case'!G$38</f>
        <v>-2258820.1554277283</v>
      </c>
      <c r="H47" s="13">
        <f>H46+H30+H45+'Operating Case'!H$38</f>
        <v>-1265535.4548577291</v>
      </c>
      <c r="I47" s="13">
        <f>I46+I30+I45+'Operating Case'!I$38</f>
        <v>-666874.77235070255</v>
      </c>
      <c r="J47" s="13">
        <f>J46+J30+J45+'Operating Case'!J$38</f>
        <v>-1080727.6419168517</v>
      </c>
      <c r="K47" s="13">
        <f>K46+K30+K45+'Operating Case'!K$38</f>
        <v>-1088791.8903126661</v>
      </c>
      <c r="L47" s="13">
        <f>L46+L30+L45+'Operating Case'!L$38</f>
        <v>-547632.96766519919</v>
      </c>
      <c r="M47" s="13">
        <f>M46+M30+M45+'Operating Case'!M$38</f>
        <v>-1575713.9905982539</v>
      </c>
      <c r="N47" s="13">
        <f>N46+N30+N45+'Operating Case'!N$38</f>
        <v>-2232283.9916603942</v>
      </c>
      <c r="O47" s="2"/>
    </row>
    <row r="48" spans="1:15" ht="15" customHeight="1" x14ac:dyDescent="0.3">
      <c r="A48" s="6" t="s">
        <v>1371</v>
      </c>
      <c r="B48" s="6" t="s">
        <v>218</v>
      </c>
      <c r="C48" s="6" t="s">
        <v>211</v>
      </c>
      <c r="D48" s="63">
        <f>0</f>
        <v>0</v>
      </c>
      <c r="E48" s="63">
        <f t="shared" ref="E48:N48" si="6">D50</f>
        <v>2993021.029967607</v>
      </c>
      <c r="F48" s="63">
        <f t="shared" si="6"/>
        <v>5262028.2775587272</v>
      </c>
      <c r="G48" s="63">
        <f t="shared" si="6"/>
        <v>8121687.2832889296</v>
      </c>
      <c r="H48" s="63">
        <f t="shared" si="6"/>
        <v>10380507.438716657</v>
      </c>
      <c r="I48" s="63">
        <f t="shared" si="6"/>
        <v>11646042.893574387</v>
      </c>
      <c r="J48" s="63">
        <f t="shared" si="6"/>
        <v>12312917.665925089</v>
      </c>
      <c r="K48" s="63">
        <f t="shared" si="6"/>
        <v>13393645.307841942</v>
      </c>
      <c r="L48" s="63">
        <f t="shared" si="6"/>
        <v>14482437.198154608</v>
      </c>
      <c r="M48" s="63">
        <f t="shared" si="6"/>
        <v>15030070.165819807</v>
      </c>
      <c r="N48" s="63">
        <f t="shared" si="6"/>
        <v>16605784.156418061</v>
      </c>
      <c r="O48" s="2"/>
    </row>
    <row r="49" spans="1:15" ht="15" customHeight="1" x14ac:dyDescent="0.3">
      <c r="A49" s="6" t="s">
        <v>1372</v>
      </c>
      <c r="B49" s="6" t="s">
        <v>218</v>
      </c>
      <c r="C49" s="6" t="s">
        <v>211</v>
      </c>
      <c r="D49" s="63">
        <f t="shared" ref="D49:N49" si="7">-MIN(D48,MAX(0,D47))</f>
        <v>0</v>
      </c>
      <c r="E49" s="63">
        <f t="shared" si="7"/>
        <v>0</v>
      </c>
      <c r="F49" s="63">
        <f t="shared" si="7"/>
        <v>0</v>
      </c>
      <c r="G49" s="63">
        <f t="shared" si="7"/>
        <v>0</v>
      </c>
      <c r="H49" s="63">
        <f t="shared" si="7"/>
        <v>0</v>
      </c>
      <c r="I49" s="63">
        <f t="shared" si="7"/>
        <v>0</v>
      </c>
      <c r="J49" s="63">
        <f t="shared" si="7"/>
        <v>0</v>
      </c>
      <c r="K49" s="63">
        <f t="shared" si="7"/>
        <v>0</v>
      </c>
      <c r="L49" s="63">
        <f t="shared" si="7"/>
        <v>0</v>
      </c>
      <c r="M49" s="63">
        <f t="shared" si="7"/>
        <v>0</v>
      </c>
      <c r="N49" s="63">
        <f t="shared" si="7"/>
        <v>0</v>
      </c>
      <c r="O49" s="2"/>
    </row>
    <row r="50" spans="1:15" ht="15" customHeight="1" x14ac:dyDescent="0.3">
      <c r="A50" s="6" t="s">
        <v>1373</v>
      </c>
      <c r="B50" s="6" t="s">
        <v>218</v>
      </c>
      <c r="C50" s="6" t="s">
        <v>211</v>
      </c>
      <c r="D50" s="63">
        <f t="shared" ref="D50:N50" si="8">D48+D49+MAX(0,-D47)</f>
        <v>2993021.029967607</v>
      </c>
      <c r="E50" s="63">
        <f t="shared" si="8"/>
        <v>5262028.2775587272</v>
      </c>
      <c r="F50" s="63">
        <f t="shared" si="8"/>
        <v>8121687.2832889296</v>
      </c>
      <c r="G50" s="63">
        <f t="shared" si="8"/>
        <v>10380507.438716657</v>
      </c>
      <c r="H50" s="63">
        <f t="shared" si="8"/>
        <v>11646042.893574387</v>
      </c>
      <c r="I50" s="63">
        <f t="shared" si="8"/>
        <v>12312917.665925089</v>
      </c>
      <c r="J50" s="63">
        <f t="shared" si="8"/>
        <v>13393645.307841942</v>
      </c>
      <c r="K50" s="63">
        <f t="shared" si="8"/>
        <v>14482437.198154608</v>
      </c>
      <c r="L50" s="63">
        <f t="shared" si="8"/>
        <v>15030070.165819807</v>
      </c>
      <c r="M50" s="63">
        <f t="shared" si="8"/>
        <v>16605784.156418061</v>
      </c>
      <c r="N50" s="63">
        <f t="shared" si="8"/>
        <v>18838068.148078457</v>
      </c>
      <c r="O50" s="2"/>
    </row>
    <row r="51" spans="1:15" ht="15" customHeight="1" x14ac:dyDescent="0.3">
      <c r="A51" s="6" t="s">
        <v>1374</v>
      </c>
      <c r="B51" s="6" t="s">
        <v>218</v>
      </c>
      <c r="C51" s="6" t="s">
        <v>222</v>
      </c>
      <c r="D51" s="13">
        <f>-MAX(0,D47+D49)*INDEX(Assumptions!$D$102:$F$102,1,1)</f>
        <v>0</v>
      </c>
      <c r="E51" s="13">
        <f>-MAX(0,E47+E49)*INDEX(Assumptions!$D$102:$F$102,1,1)</f>
        <v>0</v>
      </c>
      <c r="F51" s="13">
        <f>-MAX(0,F47+F49)*INDEX(Assumptions!$D$102:$F$102,1,1)</f>
        <v>0</v>
      </c>
      <c r="G51" s="13">
        <f>-MAX(0,G47+G49)*INDEX(Assumptions!$D$102:$F$102,1,1)</f>
        <v>0</v>
      </c>
      <c r="H51" s="13">
        <f>-MAX(0,H47+H49)*INDEX(Assumptions!$D$102:$F$102,1,1)</f>
        <v>0</v>
      </c>
      <c r="I51" s="13">
        <f>-MAX(0,I47+I49)*INDEX(Assumptions!$D$102:$F$102,1,1)</f>
        <v>0</v>
      </c>
      <c r="J51" s="13">
        <f>-MAX(0,J47+J49)*INDEX(Assumptions!$D$102:$F$102,1,1)</f>
        <v>0</v>
      </c>
      <c r="K51" s="13">
        <f>-MAX(0,K47+K49)*INDEX(Assumptions!$D$102:$F$102,1,1)</f>
        <v>0</v>
      </c>
      <c r="L51" s="13">
        <f>-MAX(0,L47+L49)*INDEX(Assumptions!$D$102:$F$102,1,1)</f>
        <v>0</v>
      </c>
      <c r="M51" s="13">
        <f>-MAX(0,M47+M49)*INDEX(Assumptions!$D$102:$F$102,1,1)</f>
        <v>0</v>
      </c>
      <c r="N51" s="13">
        <f>-MAX(0,N47+N49)*INDEX(Assumptions!$D$102:$F$102,1,1)</f>
        <v>0</v>
      </c>
      <c r="O51" s="2"/>
    </row>
    <row r="52" spans="1:15" ht="15" customHeight="1" x14ac:dyDescent="0.3">
      <c r="A52" s="6" t="s">
        <v>259</v>
      </c>
      <c r="B52" s="6" t="s">
        <v>218</v>
      </c>
      <c r="C52" s="6" t="s">
        <v>211</v>
      </c>
      <c r="D52" s="63">
        <f t="shared" ref="D52:N52" si="9">-(D9-D15-D43)</f>
        <v>-5100000</v>
      </c>
      <c r="E52" s="63">
        <f t="shared" si="9"/>
        <v>-2488266.2660815371</v>
      </c>
      <c r="F52" s="63">
        <f t="shared" si="9"/>
        <v>-2550000</v>
      </c>
      <c r="G52" s="63">
        <f t="shared" si="9"/>
        <v>-7254378.5601794068</v>
      </c>
      <c r="H52" s="63">
        <f t="shared" si="9"/>
        <v>-1500000</v>
      </c>
      <c r="I52" s="63">
        <f t="shared" si="9"/>
        <v>-1500000</v>
      </c>
      <c r="J52" s="63">
        <f t="shared" si="9"/>
        <v>-1500000</v>
      </c>
      <c r="K52" s="63">
        <f t="shared" si="9"/>
        <v>-1500000</v>
      </c>
      <c r="L52" s="63">
        <f t="shared" si="9"/>
        <v>0</v>
      </c>
      <c r="M52" s="63">
        <f t="shared" si="9"/>
        <v>0</v>
      </c>
      <c r="N52" s="63">
        <f t="shared" si="9"/>
        <v>0</v>
      </c>
      <c r="O52" s="2"/>
    </row>
    <row r="53" spans="1:15" ht="15" customHeight="1" x14ac:dyDescent="0.3">
      <c r="A53" s="6" t="s">
        <v>260</v>
      </c>
      <c r="B53" s="6" t="s">
        <v>218</v>
      </c>
      <c r="C53" s="6" t="s">
        <v>222</v>
      </c>
      <c r="D53" s="13">
        <f>-('Acquisition Schedule'!F$30+'Acquisition Schedule'!F$29)</f>
        <v>-430000</v>
      </c>
      <c r="E53" s="13">
        <f>-('Acquisition Schedule'!G$30+'Acquisition Schedule'!G$29)</f>
        <v>-340000</v>
      </c>
      <c r="F53" s="13">
        <f>-('Acquisition Schedule'!H$30+'Acquisition Schedule'!H$29)</f>
        <v>-340000</v>
      </c>
      <c r="G53" s="13">
        <f>-('Acquisition Schedule'!I$30+'Acquisition Schedule'!I$29)</f>
        <v>-815000</v>
      </c>
      <c r="H53" s="13">
        <f>-('Acquisition Schedule'!J$30+'Acquisition Schedule'!J$29)</f>
        <v>-340000</v>
      </c>
      <c r="I53" s="13">
        <f>-('Acquisition Schedule'!K$30+'Acquisition Schedule'!K$29)</f>
        <v>-340000</v>
      </c>
      <c r="J53" s="13">
        <f>-('Acquisition Schedule'!L$30+'Acquisition Schedule'!L$29)</f>
        <v>-340000</v>
      </c>
      <c r="K53" s="13">
        <f>-('Acquisition Schedule'!M$30+'Acquisition Schedule'!M$29)</f>
        <v>-340000</v>
      </c>
      <c r="L53" s="13">
        <f>-('Acquisition Schedule'!N$30+'Acquisition Schedule'!N$29)</f>
        <v>0</v>
      </c>
      <c r="M53" s="13">
        <f>-('Acquisition Schedule'!O$30+'Acquisition Schedule'!O$29)</f>
        <v>0</v>
      </c>
      <c r="N53" s="13">
        <f>-('Acquisition Schedule'!P$30+'Acquisition Schedule'!P$29)</f>
        <v>0</v>
      </c>
      <c r="O53" s="2"/>
    </row>
    <row r="54" spans="1:15" ht="15" customHeight="1" x14ac:dyDescent="0.3">
      <c r="A54" s="6" t="s">
        <v>1375</v>
      </c>
      <c r="B54" s="6" t="s">
        <v>218</v>
      </c>
      <c r="C54" s="6" t="s">
        <v>211</v>
      </c>
      <c r="D54" s="13">
        <f>INDEX(Assumptions!$D$101:$F$101,1,1)</f>
        <v>1500000</v>
      </c>
      <c r="E54" s="63">
        <f t="shared" ref="E54:N54" si="10">D57</f>
        <v>1499999.9999999991</v>
      </c>
      <c r="F54" s="63">
        <f t="shared" si="10"/>
        <v>1500000.0000000005</v>
      </c>
      <c r="G54" s="63">
        <f t="shared" si="10"/>
        <v>1500000</v>
      </c>
      <c r="H54" s="63">
        <f t="shared" si="10"/>
        <v>1500000</v>
      </c>
      <c r="I54" s="63">
        <f t="shared" si="10"/>
        <v>1500000.0000000002</v>
      </c>
      <c r="J54" s="63">
        <f t="shared" si="10"/>
        <v>1500000</v>
      </c>
      <c r="K54" s="63">
        <f t="shared" si="10"/>
        <v>1500000</v>
      </c>
      <c r="L54" s="63">
        <f t="shared" si="10"/>
        <v>1500000</v>
      </c>
      <c r="M54" s="63">
        <f t="shared" si="10"/>
        <v>1500000.0000000002</v>
      </c>
      <c r="N54" s="63">
        <f t="shared" si="10"/>
        <v>1500000</v>
      </c>
      <c r="O54" s="2"/>
    </row>
    <row r="55" spans="1:15" ht="15" customHeight="1" x14ac:dyDescent="0.3">
      <c r="A55" s="6" t="s">
        <v>1376</v>
      </c>
      <c r="B55" s="6" t="s">
        <v>218</v>
      </c>
      <c r="C55" s="6" t="s">
        <v>211</v>
      </c>
      <c r="D55" s="13">
        <f>D54+D46+D30+D45+D51+'Operating Case'!D$38+'Operating Case'!D$40+D52+D53+D29+D44</f>
        <v>-7207864.779967607</v>
      </c>
      <c r="E55" s="13">
        <f>E54+E46+E30+E45+E51+'Operating Case'!E$38+'Operating Case'!E$40+E52+E53+E29+E44</f>
        <v>-3666589.9199226587</v>
      </c>
      <c r="F55" s="13">
        <f>F54+F46+F30+F45+F51+'Operating Case'!F$38+'Operating Case'!F$40+F52+F53+F29+F44</f>
        <v>-4390075.1525595486</v>
      </c>
      <c r="G55" s="13">
        <f>G54+G46+G30+G45+G51+'Operating Case'!G$38+'Operating Case'!G$40+G52+G53+G29+G44</f>
        <v>-9080953.9403173402</v>
      </c>
      <c r="H55" s="13">
        <f>H54+H46+H30+H45+H51+'Operating Case'!H$38+'Operating Case'!H$40+H52+H53+H29+H44</f>
        <v>-2022240.2789952464</v>
      </c>
      <c r="I55" s="13">
        <f>I54+I46+I30+I45+I51+'Operating Case'!I$38+'Operating Case'!I$40+I52+I53+I29+I44</f>
        <v>-2304526.0822885199</v>
      </c>
      <c r="J55" s="13">
        <f>J54+J46+J30+J45+J51+'Operating Case'!J$38+'Operating Case'!J$40+J52+J53+J29+J44</f>
        <v>-2370542.8267812771</v>
      </c>
      <c r="K55" s="13">
        <f>K54+K46+K30+K45+K51+'Operating Case'!K$38+'Operating Case'!K$40+K52+K53+K29+K44</f>
        <v>-2480838.3080741912</v>
      </c>
      <c r="L55" s="13">
        <f>L54+L46+L30+L45+L51+'Operating Case'!L$38+'Operating Case'!L$40+L52+L53+L29+L44</f>
        <v>-1257659.9702925186</v>
      </c>
      <c r="M55" s="13">
        <f>M54+M46+M30+M45+M51+'Operating Case'!M$38+'Operating Case'!M$40+M52+M53+M29+M44</f>
        <v>-1088785.7745523667</v>
      </c>
      <c r="N55" s="13">
        <f>N54+N46+N30+N45+N51+'Operating Case'!N$38+'Operating Case'!N$40+N52+N53+N29+N44</f>
        <v>-1746072.1642832276</v>
      </c>
      <c r="O55" s="2"/>
    </row>
    <row r="56" spans="1:15" ht="15" customHeight="1" x14ac:dyDescent="0.3">
      <c r="A56" s="1" t="s">
        <v>1377</v>
      </c>
      <c r="B56" s="6" t="s">
        <v>218</v>
      </c>
      <c r="C56" s="6" t="s">
        <v>211</v>
      </c>
      <c r="D56" s="39">
        <f>MAX(0,INDEX(Assumptions!$D$101:$F$101,1,1)-D55)</f>
        <v>8707864.7799676061</v>
      </c>
      <c r="E56" s="39">
        <f>MAX(0,INDEX(Assumptions!$D$101:$F$101,1,1)-E55)</f>
        <v>5166589.9199226592</v>
      </c>
      <c r="F56" s="39">
        <f>MAX(0,INDEX(Assumptions!$D$101:$F$101,1,1)-F55)</f>
        <v>5890075.1525595486</v>
      </c>
      <c r="G56" s="39">
        <f>MAX(0,INDEX(Assumptions!$D$101:$F$101,1,1)-G55)</f>
        <v>10580953.94031734</v>
      </c>
      <c r="H56" s="39">
        <f>MAX(0,INDEX(Assumptions!$D$101:$F$101,1,1)-H55)</f>
        <v>3522240.2789952466</v>
      </c>
      <c r="I56" s="39">
        <f>MAX(0,INDEX(Assumptions!$D$101:$F$101,1,1)-I55)</f>
        <v>3804526.0822885199</v>
      </c>
      <c r="J56" s="39">
        <f>MAX(0,INDEX(Assumptions!$D$101:$F$101,1,1)-J55)</f>
        <v>3870542.8267812771</v>
      </c>
      <c r="K56" s="39">
        <f>MAX(0,INDEX(Assumptions!$D$101:$F$101,1,1)-K55)</f>
        <v>3980838.3080741912</v>
      </c>
      <c r="L56" s="39">
        <f>MAX(0,INDEX(Assumptions!$D$101:$F$101,1,1)-L55)</f>
        <v>2757659.9702925188</v>
      </c>
      <c r="M56" s="39">
        <f>MAX(0,INDEX(Assumptions!$D$101:$F$101,1,1)-M55)</f>
        <v>2588785.7745523667</v>
      </c>
      <c r="N56" s="39">
        <f>MAX(0,INDEX(Assumptions!$D$101:$F$101,1,1)-N55)</f>
        <v>3246072.1642832276</v>
      </c>
      <c r="O56" s="2"/>
    </row>
    <row r="57" spans="1:15" ht="15" customHeight="1" x14ac:dyDescent="0.3">
      <c r="A57" s="1" t="s">
        <v>1378</v>
      </c>
      <c r="B57" s="6" t="s">
        <v>218</v>
      </c>
      <c r="C57" s="6" t="s">
        <v>211</v>
      </c>
      <c r="D57" s="61">
        <f t="shared" ref="D57:N57" si="11">D55+D56</f>
        <v>1499999.9999999991</v>
      </c>
      <c r="E57" s="61">
        <f t="shared" si="11"/>
        <v>1500000.0000000005</v>
      </c>
      <c r="F57" s="61">
        <f t="shared" si="11"/>
        <v>1500000</v>
      </c>
      <c r="G57" s="61">
        <f t="shared" si="11"/>
        <v>1500000</v>
      </c>
      <c r="H57" s="61">
        <f t="shared" si="11"/>
        <v>1500000.0000000002</v>
      </c>
      <c r="I57" s="61">
        <f t="shared" si="11"/>
        <v>1500000</v>
      </c>
      <c r="J57" s="61">
        <f t="shared" si="11"/>
        <v>1500000</v>
      </c>
      <c r="K57" s="61">
        <f t="shared" si="11"/>
        <v>1500000</v>
      </c>
      <c r="L57" s="61">
        <f t="shared" si="11"/>
        <v>1500000.0000000002</v>
      </c>
      <c r="M57" s="61">
        <f t="shared" si="11"/>
        <v>1500000</v>
      </c>
      <c r="N57" s="61">
        <f t="shared" si="11"/>
        <v>1500000</v>
      </c>
      <c r="O57" s="2"/>
    </row>
    <row r="58" spans="1:15" ht="15" customHeight="1" x14ac:dyDescent="0.3">
      <c r="A58" s="6" t="s">
        <v>40</v>
      </c>
      <c r="B58" s="6" t="s">
        <v>218</v>
      </c>
      <c r="C58" s="6" t="s">
        <v>211</v>
      </c>
      <c r="D58" s="63">
        <f>D56</f>
        <v>8707864.7799676061</v>
      </c>
      <c r="E58" s="63">
        <f t="shared" ref="E58:N58" si="12">D58+E56</f>
        <v>13874454.699890265</v>
      </c>
      <c r="F58" s="63">
        <f t="shared" si="12"/>
        <v>19764529.852449812</v>
      </c>
      <c r="G58" s="63">
        <f t="shared" si="12"/>
        <v>30345483.792767152</v>
      </c>
      <c r="H58" s="63">
        <f t="shared" si="12"/>
        <v>33867724.071762398</v>
      </c>
      <c r="I58" s="63">
        <f t="shared" si="12"/>
        <v>37672250.154050916</v>
      </c>
      <c r="J58" s="63">
        <f t="shared" si="12"/>
        <v>41542792.980832197</v>
      </c>
      <c r="K58" s="63">
        <f t="shared" si="12"/>
        <v>45523631.288906388</v>
      </c>
      <c r="L58" s="63">
        <f t="shared" si="12"/>
        <v>48281291.259198904</v>
      </c>
      <c r="M58" s="63">
        <f t="shared" si="12"/>
        <v>50870077.033751272</v>
      </c>
      <c r="N58" s="63">
        <f t="shared" si="12"/>
        <v>54116149.198034503</v>
      </c>
      <c r="O58" s="2"/>
    </row>
    <row r="59" spans="1:15" ht="15" customHeight="1" x14ac:dyDescent="0.3">
      <c r="A59" s="6" t="s">
        <v>223</v>
      </c>
      <c r="B59" s="6" t="s">
        <v>218</v>
      </c>
      <c r="C59" s="6" t="s">
        <v>211</v>
      </c>
      <c r="D59" s="63">
        <f t="shared" ref="D59:N59" si="13">D28+D42-D57</f>
        <v>-599999.99999999907</v>
      </c>
      <c r="E59" s="63">
        <f t="shared" si="13"/>
        <v>-88266.266081537353</v>
      </c>
      <c r="F59" s="63">
        <f t="shared" si="13"/>
        <v>355560.36052661669</v>
      </c>
      <c r="G59" s="63">
        <f t="shared" si="13"/>
        <v>3595008.4269553628</v>
      </c>
      <c r="H59" s="63">
        <f t="shared" si="13"/>
        <v>4921772.9095814573</v>
      </c>
      <c r="I59" s="63">
        <f t="shared" si="13"/>
        <v>5243537.3922075517</v>
      </c>
      <c r="J59" s="63">
        <f t="shared" si="13"/>
        <v>5910301.8748336462</v>
      </c>
      <c r="K59" s="63">
        <f t="shared" si="13"/>
        <v>6472066.3574597407</v>
      </c>
      <c r="L59" s="63">
        <f t="shared" si="13"/>
        <v>4303830.8400858352</v>
      </c>
      <c r="M59" s="63">
        <f t="shared" si="13"/>
        <v>3260595.3227119297</v>
      </c>
      <c r="N59" s="63">
        <f t="shared" si="13"/>
        <v>2217359.8053380242</v>
      </c>
      <c r="O59" s="2"/>
    </row>
    <row r="60" spans="1:15" ht="15" customHeight="1" x14ac:dyDescent="0.3">
      <c r="A60" s="6" t="s">
        <v>1379</v>
      </c>
      <c r="B60" s="6" t="s">
        <v>265</v>
      </c>
      <c r="C60" s="6" t="s">
        <v>211</v>
      </c>
      <c r="D60" s="80">
        <f>0</f>
        <v>0</v>
      </c>
      <c r="E60" s="80">
        <f t="shared" ref="E60:N60" si="14">IF((E30+E29)=0,0,E8/-(E30+E29))</f>
        <v>5.4666666666666668</v>
      </c>
      <c r="F60" s="80">
        <f t="shared" si="14"/>
        <v>-22.65493856349336</v>
      </c>
      <c r="G60" s="80">
        <f t="shared" si="14"/>
        <v>4.9845106590899881</v>
      </c>
      <c r="H60" s="80">
        <f t="shared" si="14"/>
        <v>4.5786248286171434</v>
      </c>
      <c r="I60" s="80">
        <f t="shared" si="14"/>
        <v>4.6913305288635634</v>
      </c>
      <c r="J60" s="80">
        <f t="shared" si="14"/>
        <v>3.3205892723312371</v>
      </c>
      <c r="K60" s="80">
        <f t="shared" si="14"/>
        <v>2.9440827413546211</v>
      </c>
      <c r="L60" s="80">
        <f t="shared" si="14"/>
        <v>3.3306098935290596</v>
      </c>
      <c r="M60" s="80">
        <f t="shared" si="14"/>
        <v>2.5945382010184046</v>
      </c>
      <c r="N60" s="80">
        <f t="shared" si="14"/>
        <v>2.1404467045724722</v>
      </c>
      <c r="O60" s="2"/>
    </row>
    <row r="61" spans="1:15" ht="15" customHeight="1" x14ac:dyDescent="0.3">
      <c r="A61" s="6" t="s">
        <v>1380</v>
      </c>
      <c r="B61" s="6" t="s">
        <v>265</v>
      </c>
      <c r="C61" s="6" t="s">
        <v>211</v>
      </c>
      <c r="D61" s="80">
        <f t="shared" ref="D61:N61" si="15">IF(D7&lt;=0,0,D28/D7)</f>
        <v>0</v>
      </c>
      <c r="E61" s="80">
        <f t="shared" si="15"/>
        <v>0.17112848878649434</v>
      </c>
      <c r="F61" s="80">
        <f t="shared" si="15"/>
        <v>0.20340030490689495</v>
      </c>
      <c r="G61" s="80">
        <f t="shared" si="15"/>
        <v>1.2063243885690902</v>
      </c>
      <c r="H61" s="80">
        <f t="shared" si="15"/>
        <v>0.8597630252623355</v>
      </c>
      <c r="I61" s="80">
        <f t="shared" si="15"/>
        <v>0.8488049162207969</v>
      </c>
      <c r="J61" s="80">
        <f t="shared" si="15"/>
        <v>1.0400149752675858</v>
      </c>
      <c r="K61" s="80">
        <f t="shared" si="15"/>
        <v>1.092402917121942</v>
      </c>
      <c r="L61" s="80">
        <f t="shared" si="15"/>
        <v>0.81889602603734779</v>
      </c>
      <c r="M61" s="80">
        <f t="shared" si="15"/>
        <v>0.88489993353438101</v>
      </c>
      <c r="N61" s="80">
        <f t="shared" si="15"/>
        <v>0.86855018339495338</v>
      </c>
      <c r="O61" s="2"/>
    </row>
    <row r="62" spans="1:15" ht="15" customHeight="1" x14ac:dyDescent="0.3">
      <c r="A62" s="6" t="s">
        <v>1381</v>
      </c>
      <c r="B62" s="6" t="s">
        <v>265</v>
      </c>
      <c r="C62" s="6" t="s">
        <v>211</v>
      </c>
      <c r="D62" s="12">
        <f>IF((D$30+D$29+D$45+D$44)=0,0,('Operating Case'!D$36+'Operating Case'!D$38)/-(D$30+D$29+D$45+D$44))</f>
        <v>0</v>
      </c>
      <c r="E62" s="12">
        <f>IF((E$30+E$29+E$45+E$44)=0,0,('Operating Case'!E$36+'Operating Case'!E$38)/-(E$30+E$29+E$45+E$44))</f>
        <v>-24.248778365468031</v>
      </c>
      <c r="F62" s="12">
        <f>IF((F$30+F$29+F$45+F$44)=0,0,('Operating Case'!F$36+'Operating Case'!F$38)/-(F$30+F$29+F$45+F$44))</f>
        <v>-20.449827536293444</v>
      </c>
      <c r="G62" s="12">
        <f>IF((G$30+G$29+G$45+G$44)=0,0,('Operating Case'!G$36+'Operating Case'!G$38)/-(G$30+G$29+G$45+G$44))</f>
        <v>-6.5846596716889909</v>
      </c>
      <c r="H62" s="12">
        <f>IF((H$30+H$29+H$45+H$44)=0,0,('Operating Case'!H$36+'Operating Case'!H$38)/-(H$30+H$29+H$45+H$44))</f>
        <v>-1.1250067644085802</v>
      </c>
      <c r="I62" s="12">
        <f>IF((I$30+I$29+I$45+I$44)=0,0,('Operating Case'!I$36+'Operating Case'!I$38)/-(I$30+I$29+I$45+I$44))</f>
        <v>-4.3251929576359656E-2</v>
      </c>
      <c r="J62" s="12">
        <f>IF((J$30+J$29+J$45+J$44)=0,0,('Operating Case'!J$36+'Operating Case'!J$38)/-(J$30+J$29+J$45+J$44))</f>
        <v>-0.29163689954522787</v>
      </c>
      <c r="K62" s="12">
        <f>IF((K$30+K$29+K$45+K$44)=0,0,('Operating Case'!K$36+'Operating Case'!K$38)/-(K$30+K$29+K$45+K$44))</f>
        <v>-0.22752698908400337</v>
      </c>
      <c r="L62" s="12">
        <f>IF((L$30+L$29+L$45+L$44)=0,0,('Operating Case'!L$36+'Operating Case'!L$38)/-(L$30+L$29+L$45+L$44))</f>
        <v>3.6591308612929294E-2</v>
      </c>
      <c r="M62" s="12">
        <f>IF((M$30+M$29+M$45+M$44)=0,0,('Operating Case'!M$36+'Operating Case'!M$38)/-(M$30+M$29+M$45+M$44))</f>
        <v>-0.68554745099033243</v>
      </c>
      <c r="N62" s="12">
        <f>IF((N$30+N$29+N$45+N$44)=0,0,('Operating Case'!N$36+'Operating Case'!N$38)/-(N$30+N$29+N$45+N$44))</f>
        <v>-1.2483911248974486</v>
      </c>
      <c r="O62" s="2"/>
    </row>
    <row r="63" spans="1:15" ht="15" customHeight="1" x14ac:dyDescent="0.3">
      <c r="A63" s="21" t="s">
        <v>873</v>
      </c>
      <c r="B63" s="10"/>
      <c r="C63" s="10"/>
      <c r="D63" s="10"/>
      <c r="E63" s="10"/>
      <c r="F63" s="10"/>
      <c r="G63" s="10"/>
      <c r="H63" s="10"/>
      <c r="I63" s="10"/>
      <c r="J63" s="10"/>
      <c r="K63" s="10"/>
      <c r="L63" s="10"/>
      <c r="M63" s="10"/>
      <c r="N63" s="10"/>
      <c r="O63" s="2"/>
    </row>
    <row r="64" spans="1:15" ht="15" customHeight="1" x14ac:dyDescent="0.3">
      <c r="A64" s="21" t="s">
        <v>202</v>
      </c>
      <c r="B64" s="10"/>
      <c r="C64" s="10"/>
      <c r="D64" s="21" t="s">
        <v>203</v>
      </c>
      <c r="E64" s="21" t="s">
        <v>204</v>
      </c>
      <c r="F64" s="21" t="s">
        <v>205</v>
      </c>
      <c r="G64" s="21" t="s">
        <v>9</v>
      </c>
      <c r="H64" s="21" t="s">
        <v>206</v>
      </c>
      <c r="I64" s="21" t="s">
        <v>10</v>
      </c>
      <c r="J64" s="21" t="s">
        <v>207</v>
      </c>
      <c r="K64" s="21" t="s">
        <v>11</v>
      </c>
      <c r="L64" s="21" t="s">
        <v>208</v>
      </c>
      <c r="M64" s="21" t="s">
        <v>209</v>
      </c>
      <c r="N64" s="21" t="s">
        <v>12</v>
      </c>
      <c r="O64" s="2"/>
    </row>
    <row r="65" spans="1:15" ht="15" customHeight="1" x14ac:dyDescent="0.3">
      <c r="A65" s="6" t="s">
        <v>1333</v>
      </c>
      <c r="B65" s="6" t="s">
        <v>218</v>
      </c>
      <c r="C65" s="6" t="s">
        <v>211</v>
      </c>
      <c r="D65" s="13">
        <f>'Operating Case'!D$76</f>
        <v>-416363.33564972575</v>
      </c>
      <c r="E65" s="13">
        <f>'Operating Case'!E$76</f>
        <v>-314237.59088941268</v>
      </c>
      <c r="F65" s="13">
        <f>'Operating Case'!F$76</f>
        <v>619888.54838858498</v>
      </c>
      <c r="G65" s="13">
        <f>'Operating Case'!G$76</f>
        <v>1893784.4137191218</v>
      </c>
      <c r="H65" s="13">
        <f>'Operating Case'!H$76</f>
        <v>3379256.7652573627</v>
      </c>
      <c r="I65" s="13">
        <f>'Operating Case'!I$76</f>
        <v>4732208.3449837342</v>
      </c>
      <c r="J65" s="13">
        <f>'Operating Case'!J$76</f>
        <v>5366816.9622349702</v>
      </c>
      <c r="K65" s="13">
        <f>'Operating Case'!K$76</f>
        <v>5875761.3720322838</v>
      </c>
      <c r="L65" s="13">
        <f>'Operating Case'!L$76</f>
        <v>6522430.1942221401</v>
      </c>
      <c r="M65" s="13">
        <f>'Operating Case'!M$76</f>
        <v>5774620.3531437591</v>
      </c>
      <c r="N65" s="13">
        <f>'Operating Case'!N$76</f>
        <v>4979305.5780741982</v>
      </c>
      <c r="O65" s="2"/>
    </row>
    <row r="66" spans="1:15" ht="15" customHeight="1" x14ac:dyDescent="0.3">
      <c r="A66" s="6" t="s">
        <v>1334</v>
      </c>
      <c r="B66" s="6" t="s">
        <v>218</v>
      </c>
      <c r="C66" s="6" t="s">
        <v>211</v>
      </c>
      <c r="D66" s="13">
        <f>'Operating Case'!D$76+'Operating Case'!D$81+'Operating Case'!D$83</f>
        <v>-761519.58564972575</v>
      </c>
      <c r="E66" s="13">
        <f>'Operating Case'!E$76+'Operating Case'!E$81+'Operating Case'!E$83</f>
        <v>-627264.93463941268</v>
      </c>
      <c r="F66" s="13">
        <f>'Operating Case'!F$76+'Operating Case'!F$81+'Operating Case'!F$83</f>
        <v>95277.632763584959</v>
      </c>
      <c r="G66" s="13">
        <f>'Operating Case'!G$76+'Operating Case'!G$81+'Operating Case'!G$83</f>
        <v>998190.41332780896</v>
      </c>
      <c r="H66" s="13">
        <f>'Operating Case'!H$76+'Operating Case'!H$81+'Operating Case'!H$83</f>
        <v>2207672.5056847185</v>
      </c>
      <c r="I66" s="13">
        <f>'Operating Case'!I$76+'Operating Case'!I$81+'Operating Case'!I$83</f>
        <v>3477514.2300002845</v>
      </c>
      <c r="J66" s="13">
        <f>'Operating Case'!J$76+'Operating Case'!J$81+'Operating Case'!J$83</f>
        <v>3988519.6097874478</v>
      </c>
      <c r="K66" s="13">
        <f>'Operating Case'!K$76+'Operating Case'!K$81+'Operating Case'!K$83</f>
        <v>4625761.3720322838</v>
      </c>
      <c r="L66" s="13">
        <f>'Operating Case'!L$76+'Operating Case'!L$81+'Operating Case'!L$83</f>
        <v>5272430.1942221401</v>
      </c>
      <c r="M66" s="13">
        <f>'Operating Case'!M$76+'Operating Case'!M$81+'Operating Case'!M$83</f>
        <v>4524620.3531437591</v>
      </c>
      <c r="N66" s="13">
        <f>'Operating Case'!N$76+'Operating Case'!N$81+'Operating Case'!N$83</f>
        <v>3729305.5780741982</v>
      </c>
      <c r="O66" s="2"/>
    </row>
    <row r="67" spans="1:15" ht="15" customHeight="1" x14ac:dyDescent="0.3">
      <c r="A67" s="6" t="s">
        <v>755</v>
      </c>
      <c r="B67" s="6" t="s">
        <v>218</v>
      </c>
      <c r="C67" s="6" t="s">
        <v>245</v>
      </c>
      <c r="D67" s="13">
        <f>'Acquisition Schedule'!F$26</f>
        <v>6000000</v>
      </c>
      <c r="E67" s="13">
        <f>'Acquisition Schedule'!G$26</f>
        <v>3000000</v>
      </c>
      <c r="F67" s="13">
        <f>'Acquisition Schedule'!H$26</f>
        <v>3000000</v>
      </c>
      <c r="G67" s="13">
        <f>'Acquisition Schedule'!I$26</f>
        <v>10500000</v>
      </c>
      <c r="H67" s="13">
        <f>'Acquisition Schedule'!J$26</f>
        <v>3000000</v>
      </c>
      <c r="I67" s="13">
        <f>'Acquisition Schedule'!K$26</f>
        <v>3000000</v>
      </c>
      <c r="J67" s="13">
        <f>'Acquisition Schedule'!L$26</f>
        <v>3000000</v>
      </c>
      <c r="K67" s="13">
        <f>'Acquisition Schedule'!M$26</f>
        <v>3000000</v>
      </c>
      <c r="L67" s="13">
        <f>'Acquisition Schedule'!N$26</f>
        <v>0</v>
      </c>
      <c r="M67" s="13">
        <f>'Acquisition Schedule'!O$26</f>
        <v>0</v>
      </c>
      <c r="N67" s="13">
        <f>'Acquisition Schedule'!P$26</f>
        <v>0</v>
      </c>
      <c r="O67" s="2"/>
    </row>
    <row r="68" spans="1:15" ht="15" customHeight="1" x14ac:dyDescent="0.3">
      <c r="A68" s="6" t="s">
        <v>1335</v>
      </c>
      <c r="B68" s="6" t="s">
        <v>218</v>
      </c>
      <c r="C68" s="6" t="s">
        <v>245</v>
      </c>
      <c r="D68" s="13">
        <f>'Acquisition Schedule'!F$27</f>
        <v>2100000</v>
      </c>
      <c r="E68" s="13">
        <f>'Acquisition Schedule'!G$27</f>
        <v>1050000</v>
      </c>
      <c r="F68" s="13">
        <f>'Acquisition Schedule'!H$27</f>
        <v>1050000</v>
      </c>
      <c r="G68" s="13">
        <f>'Acquisition Schedule'!I$27</f>
        <v>3675000</v>
      </c>
      <c r="H68" s="13">
        <f>'Acquisition Schedule'!J$27</f>
        <v>1050000</v>
      </c>
      <c r="I68" s="13">
        <f>'Acquisition Schedule'!K$27</f>
        <v>1050000</v>
      </c>
      <c r="J68" s="13">
        <f>'Acquisition Schedule'!L$27</f>
        <v>1050000</v>
      </c>
      <c r="K68" s="13">
        <f>'Acquisition Schedule'!M$27</f>
        <v>1050000</v>
      </c>
      <c r="L68" s="13">
        <f>'Acquisition Schedule'!N$27</f>
        <v>0</v>
      </c>
      <c r="M68" s="13">
        <f>'Acquisition Schedule'!O$27</f>
        <v>0</v>
      </c>
      <c r="N68" s="13">
        <f>'Acquisition Schedule'!P$27</f>
        <v>0</v>
      </c>
      <c r="O68" s="2"/>
    </row>
    <row r="69" spans="1:15" ht="15" customHeight="1" x14ac:dyDescent="0.3">
      <c r="A69" s="6" t="s">
        <v>1336</v>
      </c>
      <c r="B69" s="6" t="s">
        <v>218</v>
      </c>
      <c r="C69" s="6" t="s">
        <v>222</v>
      </c>
      <c r="D69" s="13">
        <f>MAX(0,'Acquisition Schedule'!F$20*INDEX(Assumptions!$D$93:$F$93,1,2))</f>
        <v>2750000</v>
      </c>
      <c r="E69" s="13">
        <f>MAX(0,E65*INDEX(Assumptions!$D$93:$F$93,1,2)-D86)</f>
        <v>0</v>
      </c>
      <c r="F69" s="13">
        <f>MAX(0,F65*INDEX(Assumptions!$D$93:$F$93,1,2)-E86)</f>
        <v>1704693.5080686086</v>
      </c>
      <c r="G69" s="13">
        <f>MAX(0,G65*INDEX(Assumptions!$D$93:$F$93,1,2)-F86)</f>
        <v>4817024.5417744154</v>
      </c>
      <c r="H69" s="13">
        <f>MAX(0,H65*INDEX(Assumptions!$D$93:$F$93,1,2)-G86)</f>
        <v>5266161.7680998947</v>
      </c>
      <c r="I69" s="13">
        <f>MAX(0,I65*INDEX(Assumptions!$D$93:$F$93,1,2)-H86)</f>
        <v>8343366.8719427343</v>
      </c>
      <c r="J69" s="13">
        <f>MAX(0,J65*INDEX(Assumptions!$D$93:$F$93,1,2)-I86)</f>
        <v>9550128.8289789483</v>
      </c>
      <c r="K69" s="13">
        <f>MAX(0,K65*INDEX(Assumptions!$D$93:$F$93,1,2)-J86)</f>
        <v>10516314.21551688</v>
      </c>
      <c r="L69" s="13">
        <f>MAX(0,L65*INDEX(Assumptions!$D$93:$F$93,1,2)-K86)</f>
        <v>11966241.7361343</v>
      </c>
      <c r="M69" s="13">
        <f>MAX(0,M65*INDEX(Assumptions!$D$93:$F$93,1,2)-L86)</f>
        <v>10736352.93276407</v>
      </c>
      <c r="N69" s="13">
        <f>MAX(0,N65*INDEX(Assumptions!$D$93:$F$93,1,2)-M86)</f>
        <v>9375825.5609180927</v>
      </c>
      <c r="O69" s="2"/>
    </row>
    <row r="70" spans="1:15" ht="15" customHeight="1" x14ac:dyDescent="0.3">
      <c r="A70" s="6" t="s">
        <v>1337</v>
      </c>
      <c r="B70" s="6" t="s">
        <v>218</v>
      </c>
      <c r="C70" s="6" t="s">
        <v>222</v>
      </c>
      <c r="D70" s="13">
        <f>MAX(0,D66/INDEX(Assumptions!$D$94:$F$94,1,2))</f>
        <v>0</v>
      </c>
      <c r="E70" s="13">
        <f>MAX(0,E66/INDEX(Assumptions!$D$94:$F$94,1,2))</f>
        <v>0</v>
      </c>
      <c r="F70" s="13">
        <f>MAX(0,F66/INDEX(Assumptions!$D$94:$F$94,1,2))</f>
        <v>76222.106210867962</v>
      </c>
      <c r="G70" s="13">
        <f>MAX(0,G66/INDEX(Assumptions!$D$94:$F$94,1,2))</f>
        <v>798552.33066224714</v>
      </c>
      <c r="H70" s="13">
        <f>MAX(0,H66/INDEX(Assumptions!$D$94:$F$94,1,2))</f>
        <v>1766138.0045477748</v>
      </c>
      <c r="I70" s="13">
        <f>MAX(0,I66/INDEX(Assumptions!$D$94:$F$94,1,2))</f>
        <v>2782011.3840002278</v>
      </c>
      <c r="J70" s="13">
        <f>MAX(0,J66/INDEX(Assumptions!$D$94:$F$94,1,2))</f>
        <v>3190815.6878299583</v>
      </c>
      <c r="K70" s="13">
        <f>MAX(0,K66/INDEX(Assumptions!$D$94:$F$94,1,2))</f>
        <v>3700609.097625827</v>
      </c>
      <c r="L70" s="13">
        <f>MAX(0,L66/INDEX(Assumptions!$D$94:$F$94,1,2))</f>
        <v>4217944.1553777121</v>
      </c>
      <c r="M70" s="13">
        <f>MAX(0,M66/INDEX(Assumptions!$D$94:$F$94,1,2))</f>
        <v>3619696.2825150071</v>
      </c>
      <c r="N70" s="13">
        <f>MAX(0,N66/INDEX(Assumptions!$D$94:$F$94,1,2))</f>
        <v>2983444.4624593584</v>
      </c>
      <c r="O70" s="2"/>
    </row>
    <row r="71" spans="1:15" ht="15" customHeight="1" x14ac:dyDescent="0.3">
      <c r="A71" s="6" t="s">
        <v>1338</v>
      </c>
      <c r="B71" s="6" t="s">
        <v>218</v>
      </c>
      <c r="C71" s="6" t="s">
        <v>222</v>
      </c>
      <c r="D71" s="63">
        <f>0</f>
        <v>0</v>
      </c>
      <c r="E71" s="13">
        <f>D86*(INDEX(Assumptions!$D$96:$F$96,1,2)+INDEX(Assumptions!$D$97:$F$97,1,2))</f>
        <v>0</v>
      </c>
      <c r="F71" s="13">
        <f>E86*(INDEX(Assumptions!$D$96:$F$96,1,2)+INDEX(Assumptions!$D$97:$F$97,1,2))</f>
        <v>0</v>
      </c>
      <c r="G71" s="13">
        <f>F86*(INDEX(Assumptions!$D$96:$F$96,1,2)+INDEX(Assumptions!$D$97:$F$97,1,2))</f>
        <v>76222.106210867962</v>
      </c>
      <c r="H71" s="13">
        <f>G86*(INDEX(Assumptions!$D$96:$F$96,1,2)+INDEX(Assumptions!$D$97:$F$97,1,2))</f>
        <v>785224.89558978111</v>
      </c>
      <c r="I71" s="13">
        <f>H86*(INDEX(Assumptions!$D$96:$F$96,1,2)+INDEX(Assumptions!$D$97:$F$97,1,2))</f>
        <v>910690.18496869435</v>
      </c>
      <c r="J71" s="13">
        <f>I86*(INDEX(Assumptions!$D$96:$F$96,1,2)+INDEX(Assumptions!$D$97:$F$97,1,2))</f>
        <v>1015680.4743476077</v>
      </c>
      <c r="K71" s="13">
        <f>J86*(INDEX(Assumptions!$D$96:$F$96,1,2)+INDEX(Assumptions!$D$97:$F$97,1,2))</f>
        <v>1100195.7637265208</v>
      </c>
      <c r="L71" s="13">
        <f>K86*(INDEX(Assumptions!$D$96:$F$96,1,2)+INDEX(Assumptions!$D$97:$F$97,1,2))</f>
        <v>1164236.0531054342</v>
      </c>
      <c r="M71" s="13">
        <f>L86*(INDEX(Assumptions!$D$96:$F$96,1,2)+INDEX(Assumptions!$D$97:$F$97,1,2))</f>
        <v>1003051.3424843472</v>
      </c>
      <c r="N71" s="13">
        <f>M86*(INDEX(Assumptions!$D$96:$F$96,1,2)+INDEX(Assumptions!$D$97:$F$97,1,2))</f>
        <v>841866.63186326041</v>
      </c>
      <c r="O71" s="2"/>
    </row>
    <row r="72" spans="1:15" ht="15" customHeight="1" x14ac:dyDescent="0.3">
      <c r="A72" s="6" t="s">
        <v>1339</v>
      </c>
      <c r="B72" s="6" t="s">
        <v>218</v>
      </c>
      <c r="C72" s="6" t="s">
        <v>222</v>
      </c>
      <c r="D72" s="13">
        <f>MAX(0,(D70-D71)/(INDEX(Assumptions!$D$96:$F$96,1,2)+INDEX(Assumptions!$D$97:$F$97,1,2)))</f>
        <v>0</v>
      </c>
      <c r="E72" s="13">
        <f>MAX(0,(E70-E71)/(INDEX(Assumptions!$D$96:$F$96,1,2)+INDEX(Assumptions!$D$97:$F$97,1,2)))</f>
        <v>0</v>
      </c>
      <c r="F72" s="13">
        <f>MAX(0,(F70-F71)/(INDEX(Assumptions!$D$96:$F$96,1,2)+INDEX(Assumptions!$D$97:$F$97,1,2)))</f>
        <v>390882.59595316905</v>
      </c>
      <c r="G72" s="13">
        <f>MAX(0,(G70-G71)/(INDEX(Assumptions!$D$96:$F$96,1,2)+INDEX(Assumptions!$D$97:$F$97,1,2)))</f>
        <v>3704257.5612891237</v>
      </c>
      <c r="H72" s="13">
        <f>MAX(0,(H70-H71)/(INDEX(Assumptions!$D$96:$F$96,1,2)+INDEX(Assumptions!$D$97:$F$97,1,2)))</f>
        <v>5030323.6356820185</v>
      </c>
      <c r="I72" s="13">
        <f>MAX(0,(I70-I71)/(INDEX(Assumptions!$D$96:$F$96,1,2)+INDEX(Assumptions!$D$97:$F$97,1,2)))</f>
        <v>9596518.9693924785</v>
      </c>
      <c r="J72" s="13">
        <f>MAX(0,(J70-J71)/(INDEX(Assumptions!$D$96:$F$96,1,2)+INDEX(Assumptions!$D$97:$F$97,1,2)))</f>
        <v>11154539.556319745</v>
      </c>
      <c r="K72" s="13">
        <f>MAX(0,(K70-K71)/(INDEX(Assumptions!$D$96:$F$96,1,2)+INDEX(Assumptions!$D$97:$F$97,1,2)))</f>
        <v>13335452.994355416</v>
      </c>
      <c r="L72" s="13">
        <f>MAX(0,(L70-L71)/(INDEX(Assumptions!$D$96:$F$96,1,2)+INDEX(Assumptions!$D$97:$F$97,1,2)))</f>
        <v>15660041.550114244</v>
      </c>
      <c r="M72" s="13">
        <f>MAX(0,(M70-M71)/(INDEX(Assumptions!$D$96:$F$96,1,2)+INDEX(Assumptions!$D$97:$F$97,1,2)))</f>
        <v>13418692.00015723</v>
      </c>
      <c r="N72" s="13">
        <f>MAX(0,(N70-N71)/(INDEX(Assumptions!$D$96:$F$96,1,2)+INDEX(Assumptions!$D$97:$F$97,1,2)))</f>
        <v>10982450.413313322</v>
      </c>
      <c r="O72" s="2"/>
    </row>
    <row r="73" spans="1:15" ht="15" customHeight="1" x14ac:dyDescent="0.3">
      <c r="A73" s="1" t="s">
        <v>1340</v>
      </c>
      <c r="B73" s="6" t="s">
        <v>218</v>
      </c>
      <c r="C73" s="6" t="s">
        <v>211</v>
      </c>
      <c r="D73" s="40">
        <f t="shared" ref="D73:N73" si="16">MIN(D68,MAX(0,D69),MAX(0,D72))</f>
        <v>0</v>
      </c>
      <c r="E73" s="40">
        <f t="shared" si="16"/>
        <v>0</v>
      </c>
      <c r="F73" s="40">
        <f t="shared" si="16"/>
        <v>390882.59595316905</v>
      </c>
      <c r="G73" s="40">
        <f t="shared" si="16"/>
        <v>3675000</v>
      </c>
      <c r="H73" s="40">
        <f t="shared" si="16"/>
        <v>1050000</v>
      </c>
      <c r="I73" s="40">
        <f t="shared" si="16"/>
        <v>1050000</v>
      </c>
      <c r="J73" s="40">
        <f t="shared" si="16"/>
        <v>1050000</v>
      </c>
      <c r="K73" s="40">
        <f t="shared" si="16"/>
        <v>1050000</v>
      </c>
      <c r="L73" s="40">
        <f t="shared" si="16"/>
        <v>0</v>
      </c>
      <c r="M73" s="40">
        <f t="shared" si="16"/>
        <v>0</v>
      </c>
      <c r="N73" s="40">
        <f t="shared" si="16"/>
        <v>0</v>
      </c>
      <c r="O73" s="2"/>
    </row>
    <row r="74" spans="1:15" ht="15" customHeight="1" x14ac:dyDescent="0.3">
      <c r="A74" s="6" t="s">
        <v>1341</v>
      </c>
      <c r="B74" s="6" t="s">
        <v>218</v>
      </c>
      <c r="C74" s="6" t="s">
        <v>211</v>
      </c>
      <c r="D74" s="63">
        <f t="shared" ref="D74:N74" si="17">D68-D73</f>
        <v>2100000</v>
      </c>
      <c r="E74" s="63">
        <f t="shared" si="17"/>
        <v>1050000</v>
      </c>
      <c r="F74" s="63">
        <f t="shared" si="17"/>
        <v>659117.40404683095</v>
      </c>
      <c r="G74" s="63">
        <f t="shared" si="17"/>
        <v>0</v>
      </c>
      <c r="H74" s="63">
        <f t="shared" si="17"/>
        <v>0</v>
      </c>
      <c r="I74" s="63">
        <f t="shared" si="17"/>
        <v>0</v>
      </c>
      <c r="J74" s="63">
        <f t="shared" si="17"/>
        <v>0</v>
      </c>
      <c r="K74" s="63">
        <f t="shared" si="17"/>
        <v>0</v>
      </c>
      <c r="L74" s="63">
        <f t="shared" si="17"/>
        <v>0</v>
      </c>
      <c r="M74" s="63">
        <f t="shared" si="17"/>
        <v>0</v>
      </c>
      <c r="N74" s="63">
        <f t="shared" si="17"/>
        <v>0</v>
      </c>
      <c r="O74" s="2"/>
    </row>
    <row r="75" spans="1:15" ht="15" customHeight="1" x14ac:dyDescent="0.3">
      <c r="A75" s="6" t="s">
        <v>1342</v>
      </c>
      <c r="B75" s="6" t="s">
        <v>218</v>
      </c>
      <c r="C75" s="6" t="s">
        <v>211</v>
      </c>
      <c r="D75" s="63">
        <f>D73</f>
        <v>0</v>
      </c>
      <c r="E75" s="13">
        <f>MAX(0,$D$73*(1-INDEX(Assumptions!$D$97:$F$97,1,2)*1))</f>
        <v>0</v>
      </c>
      <c r="F75" s="13">
        <f>MAX(0,$D$73*(1-INDEX(Assumptions!$D$97:$F$97,1,2)*2))</f>
        <v>0</v>
      </c>
      <c r="G75" s="13">
        <f>MAX(0,$D$73*(1-INDEX(Assumptions!$D$97:$F$97,1,2)*3))</f>
        <v>0</v>
      </c>
      <c r="H75" s="13">
        <f>MAX(0,$D$73*(1-INDEX(Assumptions!$D$97:$F$97,1,2)*4))</f>
        <v>0</v>
      </c>
      <c r="I75" s="13">
        <f>MAX(0,$D$73*(1-INDEX(Assumptions!$D$97:$F$97,1,2)*5))</f>
        <v>0</v>
      </c>
      <c r="J75" s="13">
        <f>MAX(0,$D$73*(1-INDEX(Assumptions!$D$97:$F$97,1,2)*6))</f>
        <v>0</v>
      </c>
      <c r="K75" s="13">
        <f>MAX(0,$D$73*(1-INDEX(Assumptions!$D$97:$F$97,1,2)*7))</f>
        <v>0</v>
      </c>
      <c r="L75" s="13">
        <f>MAX(0,$D$73*(1-INDEX(Assumptions!$D$97:$F$97,1,2)*8))</f>
        <v>0</v>
      </c>
      <c r="M75" s="13">
        <f>MAX(0,$D$73*(1-INDEX(Assumptions!$D$97:$F$97,1,2)*9))</f>
        <v>0</v>
      </c>
      <c r="N75" s="13">
        <f>MAX(0,$D$73*(1-INDEX(Assumptions!$D$97:$F$97,1,2)*10))</f>
        <v>0</v>
      </c>
      <c r="O75" s="2"/>
    </row>
    <row r="76" spans="1:15" ht="15" customHeight="1" x14ac:dyDescent="0.3">
      <c r="A76" s="6" t="s">
        <v>1343</v>
      </c>
      <c r="B76" s="6" t="s">
        <v>218</v>
      </c>
      <c r="C76" s="6" t="s">
        <v>211</v>
      </c>
      <c r="D76" s="63">
        <f>0</f>
        <v>0</v>
      </c>
      <c r="E76" s="63">
        <f>E73</f>
        <v>0</v>
      </c>
      <c r="F76" s="13">
        <f>MAX(0,$E$73*(1-INDEX(Assumptions!$D$97:$F$97,1,2)*1))</f>
        <v>0</v>
      </c>
      <c r="G76" s="13">
        <f>MAX(0,$E$73*(1-INDEX(Assumptions!$D$97:$F$97,1,2)*2))</f>
        <v>0</v>
      </c>
      <c r="H76" s="13">
        <f>MAX(0,$E$73*(1-INDEX(Assumptions!$D$97:$F$97,1,2)*3))</f>
        <v>0</v>
      </c>
      <c r="I76" s="13">
        <f>MAX(0,$E$73*(1-INDEX(Assumptions!$D$97:$F$97,1,2)*4))</f>
        <v>0</v>
      </c>
      <c r="J76" s="13">
        <f>MAX(0,$E$73*(1-INDEX(Assumptions!$D$97:$F$97,1,2)*5))</f>
        <v>0</v>
      </c>
      <c r="K76" s="13">
        <f>MAX(0,$E$73*(1-INDEX(Assumptions!$D$97:$F$97,1,2)*6))</f>
        <v>0</v>
      </c>
      <c r="L76" s="13">
        <f>MAX(0,$E$73*(1-INDEX(Assumptions!$D$97:$F$97,1,2)*7))</f>
        <v>0</v>
      </c>
      <c r="M76" s="13">
        <f>MAX(0,$E$73*(1-INDEX(Assumptions!$D$97:$F$97,1,2)*8))</f>
        <v>0</v>
      </c>
      <c r="N76" s="13">
        <f>MAX(0,$E$73*(1-INDEX(Assumptions!$D$97:$F$97,1,2)*9))</f>
        <v>0</v>
      </c>
      <c r="O76" s="2"/>
    </row>
    <row r="77" spans="1:15" ht="15" customHeight="1" x14ac:dyDescent="0.3">
      <c r="A77" s="6" t="s">
        <v>1344</v>
      </c>
      <c r="B77" s="6" t="s">
        <v>218</v>
      </c>
      <c r="C77" s="6" t="s">
        <v>211</v>
      </c>
      <c r="D77" s="63">
        <f>0</f>
        <v>0</v>
      </c>
      <c r="E77" s="63">
        <f>0</f>
        <v>0</v>
      </c>
      <c r="F77" s="63">
        <f>F73</f>
        <v>390882.59595316905</v>
      </c>
      <c r="G77" s="13">
        <f>MAX(0,$F$73*(1-INDEX(Assumptions!$D$97:$F$97,1,2)*1))</f>
        <v>351794.33635785215</v>
      </c>
      <c r="H77" s="13">
        <f>MAX(0,$F$73*(1-INDEX(Assumptions!$D$97:$F$97,1,2)*2))</f>
        <v>312706.07676253526</v>
      </c>
      <c r="I77" s="13">
        <f>MAX(0,$F$73*(1-INDEX(Assumptions!$D$97:$F$97,1,2)*3))</f>
        <v>273617.81716721831</v>
      </c>
      <c r="J77" s="13">
        <f>MAX(0,$F$73*(1-INDEX(Assumptions!$D$97:$F$97,1,2)*4))</f>
        <v>234529.55757190142</v>
      </c>
      <c r="K77" s="13">
        <f>MAX(0,$F$73*(1-INDEX(Assumptions!$D$97:$F$97,1,2)*5))</f>
        <v>195441.29797658452</v>
      </c>
      <c r="L77" s="13">
        <f>MAX(0,$F$73*(1-INDEX(Assumptions!$D$97:$F$97,1,2)*6))</f>
        <v>156353.03838126757</v>
      </c>
      <c r="M77" s="13">
        <f>MAX(0,$F$73*(1-INDEX(Assumptions!$D$97:$F$97,1,2)*7))</f>
        <v>117264.77878595069</v>
      </c>
      <c r="N77" s="13">
        <f>MAX(0,$F$73*(1-INDEX(Assumptions!$D$97:$F$97,1,2)*8))</f>
        <v>78176.519190633786</v>
      </c>
      <c r="O77" s="2"/>
    </row>
    <row r="78" spans="1:15" ht="15" customHeight="1" x14ac:dyDescent="0.3">
      <c r="A78" s="6" t="s">
        <v>1345</v>
      </c>
      <c r="B78" s="6" t="s">
        <v>218</v>
      </c>
      <c r="C78" s="6" t="s">
        <v>211</v>
      </c>
      <c r="D78" s="63">
        <f>0</f>
        <v>0</v>
      </c>
      <c r="E78" s="63">
        <f>0</f>
        <v>0</v>
      </c>
      <c r="F78" s="63">
        <f>0</f>
        <v>0</v>
      </c>
      <c r="G78" s="63">
        <f>G73</f>
        <v>3675000</v>
      </c>
      <c r="H78" s="13">
        <f>MAX(0,$G$73*(1-INDEX(Assumptions!$D$97:$F$97,1,2)*1))</f>
        <v>3307500</v>
      </c>
      <c r="I78" s="13">
        <f>MAX(0,$G$73*(1-INDEX(Assumptions!$D$97:$F$97,1,2)*2))</f>
        <v>2940000</v>
      </c>
      <c r="J78" s="13">
        <f>MAX(0,$G$73*(1-INDEX(Assumptions!$D$97:$F$97,1,2)*3))</f>
        <v>2572500</v>
      </c>
      <c r="K78" s="13">
        <f>MAX(0,$G$73*(1-INDEX(Assumptions!$D$97:$F$97,1,2)*4))</f>
        <v>2205000</v>
      </c>
      <c r="L78" s="13">
        <f>MAX(0,$G$73*(1-INDEX(Assumptions!$D$97:$F$97,1,2)*5))</f>
        <v>1837500</v>
      </c>
      <c r="M78" s="13">
        <f>MAX(0,$G$73*(1-INDEX(Assumptions!$D$97:$F$97,1,2)*6))</f>
        <v>1469999.9999999998</v>
      </c>
      <c r="N78" s="13">
        <f>MAX(0,$G$73*(1-INDEX(Assumptions!$D$97:$F$97,1,2)*7))</f>
        <v>1102499.9999999998</v>
      </c>
      <c r="O78" s="2"/>
    </row>
    <row r="79" spans="1:15" ht="15" customHeight="1" x14ac:dyDescent="0.3">
      <c r="A79" s="6" t="s">
        <v>1346</v>
      </c>
      <c r="B79" s="6" t="s">
        <v>218</v>
      </c>
      <c r="C79" s="6" t="s">
        <v>211</v>
      </c>
      <c r="D79" s="63">
        <f>0</f>
        <v>0</v>
      </c>
      <c r="E79" s="63">
        <f>0</f>
        <v>0</v>
      </c>
      <c r="F79" s="63">
        <f>0</f>
        <v>0</v>
      </c>
      <c r="G79" s="63">
        <f>0</f>
        <v>0</v>
      </c>
      <c r="H79" s="63">
        <f>H73</f>
        <v>1050000</v>
      </c>
      <c r="I79" s="13">
        <f>MAX(0,$H$73*(1-INDEX(Assumptions!$D$97:$F$97,1,2)*1))</f>
        <v>945000</v>
      </c>
      <c r="J79" s="13">
        <f>MAX(0,$H$73*(1-INDEX(Assumptions!$D$97:$F$97,1,2)*2))</f>
        <v>840000</v>
      </c>
      <c r="K79" s="13">
        <f>MAX(0,$H$73*(1-INDEX(Assumptions!$D$97:$F$97,1,2)*3))</f>
        <v>735000</v>
      </c>
      <c r="L79" s="13">
        <f>MAX(0,$H$73*(1-INDEX(Assumptions!$D$97:$F$97,1,2)*4))</f>
        <v>630000</v>
      </c>
      <c r="M79" s="13">
        <f>MAX(0,$H$73*(1-INDEX(Assumptions!$D$97:$F$97,1,2)*5))</f>
        <v>525000</v>
      </c>
      <c r="N79" s="13">
        <f>MAX(0,$H$73*(1-INDEX(Assumptions!$D$97:$F$97,1,2)*6))</f>
        <v>419999.99999999988</v>
      </c>
      <c r="O79" s="2"/>
    </row>
    <row r="80" spans="1:15" ht="15" customHeight="1" x14ac:dyDescent="0.3">
      <c r="A80" s="6" t="s">
        <v>1347</v>
      </c>
      <c r="B80" s="6" t="s">
        <v>218</v>
      </c>
      <c r="C80" s="6" t="s">
        <v>211</v>
      </c>
      <c r="D80" s="63">
        <f>0</f>
        <v>0</v>
      </c>
      <c r="E80" s="63">
        <f>0</f>
        <v>0</v>
      </c>
      <c r="F80" s="63">
        <f>0</f>
        <v>0</v>
      </c>
      <c r="G80" s="63">
        <f>0</f>
        <v>0</v>
      </c>
      <c r="H80" s="63">
        <f>0</f>
        <v>0</v>
      </c>
      <c r="I80" s="63">
        <f>I73</f>
        <v>1050000</v>
      </c>
      <c r="J80" s="13">
        <f>MAX(0,$I$73*(1-INDEX(Assumptions!$D$97:$F$97,1,2)*1))</f>
        <v>945000</v>
      </c>
      <c r="K80" s="13">
        <f>MAX(0,$I$73*(1-INDEX(Assumptions!$D$97:$F$97,1,2)*2))</f>
        <v>840000</v>
      </c>
      <c r="L80" s="13">
        <f>MAX(0,$I$73*(1-INDEX(Assumptions!$D$97:$F$97,1,2)*3))</f>
        <v>735000</v>
      </c>
      <c r="M80" s="13">
        <f>MAX(0,$I$73*(1-INDEX(Assumptions!$D$97:$F$97,1,2)*4))</f>
        <v>630000</v>
      </c>
      <c r="N80" s="13">
        <f>MAX(0,$I$73*(1-INDEX(Assumptions!$D$97:$F$97,1,2)*5))</f>
        <v>525000</v>
      </c>
      <c r="O80" s="2"/>
    </row>
    <row r="81" spans="1:15" ht="15" customHeight="1" x14ac:dyDescent="0.3">
      <c r="A81" s="6" t="s">
        <v>1348</v>
      </c>
      <c r="B81" s="6" t="s">
        <v>218</v>
      </c>
      <c r="C81" s="6" t="s">
        <v>211</v>
      </c>
      <c r="D81" s="63">
        <f>0</f>
        <v>0</v>
      </c>
      <c r="E81" s="63">
        <f>0</f>
        <v>0</v>
      </c>
      <c r="F81" s="63">
        <f>0</f>
        <v>0</v>
      </c>
      <c r="G81" s="63">
        <f>0</f>
        <v>0</v>
      </c>
      <c r="H81" s="63">
        <f>0</f>
        <v>0</v>
      </c>
      <c r="I81" s="63">
        <f>0</f>
        <v>0</v>
      </c>
      <c r="J81" s="63">
        <f>J73</f>
        <v>1050000</v>
      </c>
      <c r="K81" s="13">
        <f>MAX(0,$J$73*(1-INDEX(Assumptions!$D$97:$F$97,1,2)*1))</f>
        <v>945000</v>
      </c>
      <c r="L81" s="13">
        <f>MAX(0,$J$73*(1-INDEX(Assumptions!$D$97:$F$97,1,2)*2))</f>
        <v>840000</v>
      </c>
      <c r="M81" s="13">
        <f>MAX(0,$J$73*(1-INDEX(Assumptions!$D$97:$F$97,1,2)*3))</f>
        <v>735000</v>
      </c>
      <c r="N81" s="13">
        <f>MAX(0,$J$73*(1-INDEX(Assumptions!$D$97:$F$97,1,2)*4))</f>
        <v>630000</v>
      </c>
      <c r="O81" s="2"/>
    </row>
    <row r="82" spans="1:15" ht="15" customHeight="1" x14ac:dyDescent="0.3">
      <c r="A82" s="6" t="s">
        <v>1349</v>
      </c>
      <c r="B82" s="6" t="s">
        <v>218</v>
      </c>
      <c r="C82" s="6" t="s">
        <v>211</v>
      </c>
      <c r="D82" s="63">
        <f>0</f>
        <v>0</v>
      </c>
      <c r="E82" s="63">
        <f>0</f>
        <v>0</v>
      </c>
      <c r="F82" s="63">
        <f>0</f>
        <v>0</v>
      </c>
      <c r="G82" s="63">
        <f>0</f>
        <v>0</v>
      </c>
      <c r="H82" s="63">
        <f>0</f>
        <v>0</v>
      </c>
      <c r="I82" s="63">
        <f>0</f>
        <v>0</v>
      </c>
      <c r="J82" s="63">
        <f>0</f>
        <v>0</v>
      </c>
      <c r="K82" s="63">
        <f>K73</f>
        <v>1050000</v>
      </c>
      <c r="L82" s="13">
        <f>MAX(0,$K$73*(1-INDEX(Assumptions!$D$97:$F$97,1,2)*1))</f>
        <v>945000</v>
      </c>
      <c r="M82" s="13">
        <f>MAX(0,$K$73*(1-INDEX(Assumptions!$D$97:$F$97,1,2)*2))</f>
        <v>840000</v>
      </c>
      <c r="N82" s="13">
        <f>MAX(0,$K$73*(1-INDEX(Assumptions!$D$97:$F$97,1,2)*3))</f>
        <v>735000</v>
      </c>
      <c r="O82" s="2"/>
    </row>
    <row r="83" spans="1:15" ht="15" customHeight="1" x14ac:dyDescent="0.3">
      <c r="A83" s="6" t="s">
        <v>1350</v>
      </c>
      <c r="B83" s="6" t="s">
        <v>218</v>
      </c>
      <c r="C83" s="6" t="s">
        <v>211</v>
      </c>
      <c r="D83" s="63">
        <f>0</f>
        <v>0</v>
      </c>
      <c r="E83" s="63">
        <f>0</f>
        <v>0</v>
      </c>
      <c r="F83" s="63">
        <f>0</f>
        <v>0</v>
      </c>
      <c r="G83" s="63">
        <f>0</f>
        <v>0</v>
      </c>
      <c r="H83" s="63">
        <f>0</f>
        <v>0</v>
      </c>
      <c r="I83" s="63">
        <f>0</f>
        <v>0</v>
      </c>
      <c r="J83" s="63">
        <f>0</f>
        <v>0</v>
      </c>
      <c r="K83" s="63">
        <f>0</f>
        <v>0</v>
      </c>
      <c r="L83" s="63">
        <f>L73</f>
        <v>0</v>
      </c>
      <c r="M83" s="13">
        <f>MAX(0,$L$73*(1-INDEX(Assumptions!$D$97:$F$97,1,2)*1))</f>
        <v>0</v>
      </c>
      <c r="N83" s="13">
        <f>MAX(0,$L$73*(1-INDEX(Assumptions!$D$97:$F$97,1,2)*2))</f>
        <v>0</v>
      </c>
      <c r="O83" s="2"/>
    </row>
    <row r="84" spans="1:15" ht="15" customHeight="1" x14ac:dyDescent="0.3">
      <c r="A84" s="6" t="s">
        <v>1351</v>
      </c>
      <c r="B84" s="6" t="s">
        <v>218</v>
      </c>
      <c r="C84" s="6" t="s">
        <v>211</v>
      </c>
      <c r="D84" s="63">
        <f>0</f>
        <v>0</v>
      </c>
      <c r="E84" s="63">
        <f>0</f>
        <v>0</v>
      </c>
      <c r="F84" s="63">
        <f>0</f>
        <v>0</v>
      </c>
      <c r="G84" s="63">
        <f>0</f>
        <v>0</v>
      </c>
      <c r="H84" s="63">
        <f>0</f>
        <v>0</v>
      </c>
      <c r="I84" s="63">
        <f>0</f>
        <v>0</v>
      </c>
      <c r="J84" s="63">
        <f>0</f>
        <v>0</v>
      </c>
      <c r="K84" s="63">
        <f>0</f>
        <v>0</v>
      </c>
      <c r="L84" s="63">
        <f>0</f>
        <v>0</v>
      </c>
      <c r="M84" s="63">
        <f>M73</f>
        <v>0</v>
      </c>
      <c r="N84" s="13">
        <f>MAX(0,$M$73*(1-INDEX(Assumptions!$D$97:$F$97,1,2)*1))</f>
        <v>0</v>
      </c>
      <c r="O84" s="2"/>
    </row>
    <row r="85" spans="1:15" ht="15" customHeight="1" x14ac:dyDescent="0.3">
      <c r="A85" s="6" t="s">
        <v>1352</v>
      </c>
      <c r="B85" s="6" t="s">
        <v>218</v>
      </c>
      <c r="C85" s="6" t="s">
        <v>211</v>
      </c>
      <c r="D85" s="63">
        <f>0</f>
        <v>0</v>
      </c>
      <c r="E85" s="63">
        <f>0</f>
        <v>0</v>
      </c>
      <c r="F85" s="63">
        <f>0</f>
        <v>0</v>
      </c>
      <c r="G85" s="63">
        <f>0</f>
        <v>0</v>
      </c>
      <c r="H85" s="63">
        <f>0</f>
        <v>0</v>
      </c>
      <c r="I85" s="63">
        <f>0</f>
        <v>0</v>
      </c>
      <c r="J85" s="63">
        <f>0</f>
        <v>0</v>
      </c>
      <c r="K85" s="63">
        <f>0</f>
        <v>0</v>
      </c>
      <c r="L85" s="63">
        <f>0</f>
        <v>0</v>
      </c>
      <c r="M85" s="63">
        <f>0</f>
        <v>0</v>
      </c>
      <c r="N85" s="63">
        <f>N73</f>
        <v>0</v>
      </c>
      <c r="O85" s="2"/>
    </row>
    <row r="86" spans="1:15" ht="15" customHeight="1" x14ac:dyDescent="0.3">
      <c r="A86" s="1" t="s">
        <v>1353</v>
      </c>
      <c r="B86" s="6" t="s">
        <v>218</v>
      </c>
      <c r="C86" s="6" t="s">
        <v>211</v>
      </c>
      <c r="D86" s="40">
        <f t="shared" ref="D86:N86" si="18">SUM(D75:D85)</f>
        <v>0</v>
      </c>
      <c r="E86" s="40">
        <f t="shared" si="18"/>
        <v>0</v>
      </c>
      <c r="F86" s="40">
        <f t="shared" si="18"/>
        <v>390882.59595316905</v>
      </c>
      <c r="G86" s="40">
        <f t="shared" si="18"/>
        <v>4026794.336357852</v>
      </c>
      <c r="H86" s="40">
        <f t="shared" si="18"/>
        <v>4670206.0767625347</v>
      </c>
      <c r="I86" s="40">
        <f t="shared" si="18"/>
        <v>5208617.8171672188</v>
      </c>
      <c r="J86" s="40">
        <f t="shared" si="18"/>
        <v>5642029.557571901</v>
      </c>
      <c r="K86" s="40">
        <f t="shared" si="18"/>
        <v>5970441.2979765851</v>
      </c>
      <c r="L86" s="40">
        <f t="shared" si="18"/>
        <v>5143853.0383812673</v>
      </c>
      <c r="M86" s="40">
        <f t="shared" si="18"/>
        <v>4317264.7787859505</v>
      </c>
      <c r="N86" s="40">
        <f t="shared" si="18"/>
        <v>3490676.5191906337</v>
      </c>
      <c r="O86" s="2"/>
    </row>
    <row r="87" spans="1:15" ht="15" customHeight="1" x14ac:dyDescent="0.3">
      <c r="A87" s="6" t="s">
        <v>1354</v>
      </c>
      <c r="B87" s="6" t="s">
        <v>218</v>
      </c>
      <c r="C87" s="6" t="s">
        <v>211</v>
      </c>
      <c r="D87" s="63">
        <f>0</f>
        <v>0</v>
      </c>
      <c r="E87" s="63">
        <f t="shared" ref="E87:N87" si="19">-MAX(0,D86+E73-E86)</f>
        <v>0</v>
      </c>
      <c r="F87" s="63">
        <f t="shared" si="19"/>
        <v>0</v>
      </c>
      <c r="G87" s="63">
        <f t="shared" si="19"/>
        <v>-39088.2595953173</v>
      </c>
      <c r="H87" s="63">
        <f t="shared" si="19"/>
        <v>-406588.25959531777</v>
      </c>
      <c r="I87" s="63">
        <f t="shared" si="19"/>
        <v>-511588.2595953159</v>
      </c>
      <c r="J87" s="63">
        <f t="shared" si="19"/>
        <v>-616588.25959531777</v>
      </c>
      <c r="K87" s="63">
        <f t="shared" si="19"/>
        <v>-721588.2595953159</v>
      </c>
      <c r="L87" s="63">
        <f t="shared" si="19"/>
        <v>-826588.25959531777</v>
      </c>
      <c r="M87" s="63">
        <f t="shared" si="19"/>
        <v>-826588.25959531683</v>
      </c>
      <c r="N87" s="63">
        <f t="shared" si="19"/>
        <v>-826588.25959531683</v>
      </c>
      <c r="O87" s="2"/>
    </row>
    <row r="88" spans="1:15" ht="15" customHeight="1" x14ac:dyDescent="0.3">
      <c r="A88" s="6" t="s">
        <v>1355</v>
      </c>
      <c r="B88" s="6" t="s">
        <v>218</v>
      </c>
      <c r="C88" s="6" t="s">
        <v>222</v>
      </c>
      <c r="D88" s="63">
        <f>0</f>
        <v>0</v>
      </c>
      <c r="E88" s="13">
        <f>-(D86+E86)/2*INDEX(Assumptions!$D$96:$F$96,1,2)</f>
        <v>0</v>
      </c>
      <c r="F88" s="13">
        <f>-(E86+F86)/2*INDEX(Assumptions!$D$96:$F$96,1,2)</f>
        <v>-18566.923307775531</v>
      </c>
      <c r="G88" s="13">
        <f>-(F86+G86)/2*INDEX(Assumptions!$D$96:$F$96,1,2)</f>
        <v>-209839.65428477348</v>
      </c>
      <c r="H88" s="13">
        <f>-(G86+H86)/2*INDEX(Assumptions!$D$96:$F$96,1,2)</f>
        <v>-413107.5196232184</v>
      </c>
      <c r="I88" s="13">
        <f>-(H86+I86)/2*INDEX(Assumptions!$D$96:$F$96,1,2)</f>
        <v>-469244.13496166328</v>
      </c>
      <c r="J88" s="13">
        <f>-(I86+J86)/2*INDEX(Assumptions!$D$96:$F$96,1,2)</f>
        <v>-515405.75030010822</v>
      </c>
      <c r="K88" s="13">
        <f>-(J86+K86)/2*INDEX(Assumptions!$D$96:$F$96,1,2)</f>
        <v>-551592.36563855305</v>
      </c>
      <c r="L88" s="13">
        <f>-(K86+L86)/2*INDEX(Assumptions!$D$96:$F$96,1,2)</f>
        <v>-527928.98097699799</v>
      </c>
      <c r="M88" s="13">
        <f>-(L86+M86)/2*INDEX(Assumptions!$D$96:$F$96,1,2)</f>
        <v>-449403.09631544288</v>
      </c>
      <c r="N88" s="13">
        <f>-(M86+N86)/2*INDEX(Assumptions!$D$96:$F$96,1,2)</f>
        <v>-370877.21165388776</v>
      </c>
      <c r="O88" s="2"/>
    </row>
    <row r="89" spans="1:15" ht="15" customHeight="1" x14ac:dyDescent="0.3">
      <c r="A89" s="6" t="s">
        <v>1356</v>
      </c>
      <c r="B89" s="6" t="s">
        <v>218</v>
      </c>
      <c r="C89" s="6" t="s">
        <v>211</v>
      </c>
      <c r="D89" s="13">
        <f>IF(0&gt;=INDEX(Assumptions!$D$100:$F$100,1,2),0,'Acquisition Schedule'!F$28)</f>
        <v>900000</v>
      </c>
      <c r="E89" s="13">
        <f>IF(1&gt;=INDEX(Assumptions!$D$100:$F$100,1,2),0,'Acquisition Schedule'!F$28)</f>
        <v>900000</v>
      </c>
      <c r="F89" s="13">
        <f>IF(2&gt;=INDEX(Assumptions!$D$100:$F$100,1,2),0,'Acquisition Schedule'!F$28)</f>
        <v>900000</v>
      </c>
      <c r="G89" s="13">
        <f>IF(3&gt;=INDEX(Assumptions!$D$100:$F$100,1,2),0,'Acquisition Schedule'!F$28)</f>
        <v>900000</v>
      </c>
      <c r="H89" s="13">
        <f>IF(4&gt;=INDEX(Assumptions!$D$100:$F$100,1,2),0,'Acquisition Schedule'!F$28)</f>
        <v>900000</v>
      </c>
      <c r="I89" s="13">
        <f>IF(5&gt;=INDEX(Assumptions!$D$100:$F$100,1,2),0,'Acquisition Schedule'!F$28)</f>
        <v>0</v>
      </c>
      <c r="J89" s="13">
        <f>IF(6&gt;=INDEX(Assumptions!$D$100:$F$100,1,2),0,'Acquisition Schedule'!F$28)</f>
        <v>0</v>
      </c>
      <c r="K89" s="13">
        <f>IF(7&gt;=INDEX(Assumptions!$D$100:$F$100,1,2),0,'Acquisition Schedule'!F$28)</f>
        <v>0</v>
      </c>
      <c r="L89" s="13">
        <f>IF(8&gt;=INDEX(Assumptions!$D$100:$F$100,1,2),0,'Acquisition Schedule'!F$28)</f>
        <v>0</v>
      </c>
      <c r="M89" s="13">
        <f>IF(9&gt;=INDEX(Assumptions!$D$100:$F$100,1,2),0,'Acquisition Schedule'!F$28)</f>
        <v>0</v>
      </c>
      <c r="N89" s="13">
        <f>IF(10&gt;=INDEX(Assumptions!$D$100:$F$100,1,2),0,'Acquisition Schedule'!F$28)</f>
        <v>0</v>
      </c>
      <c r="O89" s="2"/>
    </row>
    <row r="90" spans="1:15" ht="15" customHeight="1" x14ac:dyDescent="0.3">
      <c r="A90" s="6" t="s">
        <v>1357</v>
      </c>
      <c r="B90" s="6" t="s">
        <v>218</v>
      </c>
      <c r="C90" s="6" t="s">
        <v>211</v>
      </c>
      <c r="D90" s="63">
        <f>0</f>
        <v>0</v>
      </c>
      <c r="E90" s="13">
        <f>IF(0&gt;=INDEX(Assumptions!$D$100:$F$100,1,2),0,'Acquisition Schedule'!G$28)</f>
        <v>450000</v>
      </c>
      <c r="F90" s="13">
        <f>IF(1&gt;=INDEX(Assumptions!$D$100:$F$100,1,2),0,'Acquisition Schedule'!G$28)</f>
        <v>450000</v>
      </c>
      <c r="G90" s="13">
        <f>IF(2&gt;=INDEX(Assumptions!$D$100:$F$100,1,2),0,'Acquisition Schedule'!G$28)</f>
        <v>450000</v>
      </c>
      <c r="H90" s="13">
        <f>IF(3&gt;=INDEX(Assumptions!$D$100:$F$100,1,2),0,'Acquisition Schedule'!G$28)</f>
        <v>450000</v>
      </c>
      <c r="I90" s="13">
        <f>IF(4&gt;=INDEX(Assumptions!$D$100:$F$100,1,2),0,'Acquisition Schedule'!G$28)</f>
        <v>450000</v>
      </c>
      <c r="J90" s="13">
        <f>IF(5&gt;=INDEX(Assumptions!$D$100:$F$100,1,2),0,'Acquisition Schedule'!G$28)</f>
        <v>0</v>
      </c>
      <c r="K90" s="13">
        <f>IF(6&gt;=INDEX(Assumptions!$D$100:$F$100,1,2),0,'Acquisition Schedule'!G$28)</f>
        <v>0</v>
      </c>
      <c r="L90" s="13">
        <f>IF(7&gt;=INDEX(Assumptions!$D$100:$F$100,1,2),0,'Acquisition Schedule'!G$28)</f>
        <v>0</v>
      </c>
      <c r="M90" s="13">
        <f>IF(8&gt;=INDEX(Assumptions!$D$100:$F$100,1,2),0,'Acquisition Schedule'!G$28)</f>
        <v>0</v>
      </c>
      <c r="N90" s="13">
        <f>IF(9&gt;=INDEX(Assumptions!$D$100:$F$100,1,2),0,'Acquisition Schedule'!G$28)</f>
        <v>0</v>
      </c>
      <c r="O90" s="2"/>
    </row>
    <row r="91" spans="1:15" ht="15" customHeight="1" x14ac:dyDescent="0.3">
      <c r="A91" s="6" t="s">
        <v>1358</v>
      </c>
      <c r="B91" s="6" t="s">
        <v>218</v>
      </c>
      <c r="C91" s="6" t="s">
        <v>211</v>
      </c>
      <c r="D91" s="63">
        <f>0</f>
        <v>0</v>
      </c>
      <c r="E91" s="63">
        <f>0</f>
        <v>0</v>
      </c>
      <c r="F91" s="13">
        <f>IF(0&gt;=INDEX(Assumptions!$D$100:$F$100,1,2),0,'Acquisition Schedule'!H$28)</f>
        <v>450000</v>
      </c>
      <c r="G91" s="13">
        <f>IF(1&gt;=INDEX(Assumptions!$D$100:$F$100,1,2),0,'Acquisition Schedule'!H$28)</f>
        <v>450000</v>
      </c>
      <c r="H91" s="13">
        <f>IF(2&gt;=INDEX(Assumptions!$D$100:$F$100,1,2),0,'Acquisition Schedule'!H$28)</f>
        <v>450000</v>
      </c>
      <c r="I91" s="13">
        <f>IF(3&gt;=INDEX(Assumptions!$D$100:$F$100,1,2),0,'Acquisition Schedule'!H$28)</f>
        <v>450000</v>
      </c>
      <c r="J91" s="13">
        <f>IF(4&gt;=INDEX(Assumptions!$D$100:$F$100,1,2),0,'Acquisition Schedule'!H$28)</f>
        <v>450000</v>
      </c>
      <c r="K91" s="13">
        <f>IF(5&gt;=INDEX(Assumptions!$D$100:$F$100,1,2),0,'Acquisition Schedule'!H$28)</f>
        <v>0</v>
      </c>
      <c r="L91" s="13">
        <f>IF(6&gt;=INDEX(Assumptions!$D$100:$F$100,1,2),0,'Acquisition Schedule'!H$28)</f>
        <v>0</v>
      </c>
      <c r="M91" s="13">
        <f>IF(7&gt;=INDEX(Assumptions!$D$100:$F$100,1,2),0,'Acquisition Schedule'!H$28)</f>
        <v>0</v>
      </c>
      <c r="N91" s="13">
        <f>IF(8&gt;=INDEX(Assumptions!$D$100:$F$100,1,2),0,'Acquisition Schedule'!H$28)</f>
        <v>0</v>
      </c>
      <c r="O91" s="2"/>
    </row>
    <row r="92" spans="1:15" ht="15" customHeight="1" x14ac:dyDescent="0.3">
      <c r="A92" s="6" t="s">
        <v>1359</v>
      </c>
      <c r="B92" s="6" t="s">
        <v>218</v>
      </c>
      <c r="C92" s="6" t="s">
        <v>211</v>
      </c>
      <c r="D92" s="63">
        <f>0</f>
        <v>0</v>
      </c>
      <c r="E92" s="63">
        <f>0</f>
        <v>0</v>
      </c>
      <c r="F92" s="63">
        <f>0</f>
        <v>0</v>
      </c>
      <c r="G92" s="13">
        <f>IF(0&gt;=INDEX(Assumptions!$D$100:$F$100,1,2),0,'Acquisition Schedule'!I$28)</f>
        <v>1575000</v>
      </c>
      <c r="H92" s="13">
        <f>IF(1&gt;=INDEX(Assumptions!$D$100:$F$100,1,2),0,'Acquisition Schedule'!I$28)</f>
        <v>1575000</v>
      </c>
      <c r="I92" s="13">
        <f>IF(2&gt;=INDEX(Assumptions!$D$100:$F$100,1,2),0,'Acquisition Schedule'!I$28)</f>
        <v>1575000</v>
      </c>
      <c r="J92" s="13">
        <f>IF(3&gt;=INDEX(Assumptions!$D$100:$F$100,1,2),0,'Acquisition Schedule'!I$28)</f>
        <v>1575000</v>
      </c>
      <c r="K92" s="13">
        <f>IF(4&gt;=INDEX(Assumptions!$D$100:$F$100,1,2),0,'Acquisition Schedule'!I$28)</f>
        <v>1575000</v>
      </c>
      <c r="L92" s="13">
        <f>IF(5&gt;=INDEX(Assumptions!$D$100:$F$100,1,2),0,'Acquisition Schedule'!I$28)</f>
        <v>0</v>
      </c>
      <c r="M92" s="13">
        <f>IF(6&gt;=INDEX(Assumptions!$D$100:$F$100,1,2),0,'Acquisition Schedule'!I$28)</f>
        <v>0</v>
      </c>
      <c r="N92" s="13">
        <f>IF(7&gt;=INDEX(Assumptions!$D$100:$F$100,1,2),0,'Acquisition Schedule'!I$28)</f>
        <v>0</v>
      </c>
      <c r="O92" s="2"/>
    </row>
    <row r="93" spans="1:15" ht="15" customHeight="1" x14ac:dyDescent="0.3">
      <c r="A93" s="6" t="s">
        <v>1360</v>
      </c>
      <c r="B93" s="6" t="s">
        <v>218</v>
      </c>
      <c r="C93" s="6" t="s">
        <v>211</v>
      </c>
      <c r="D93" s="63">
        <f>0</f>
        <v>0</v>
      </c>
      <c r="E93" s="63">
        <f>0</f>
        <v>0</v>
      </c>
      <c r="F93" s="63">
        <f>0</f>
        <v>0</v>
      </c>
      <c r="G93" s="63">
        <f>0</f>
        <v>0</v>
      </c>
      <c r="H93" s="13">
        <f>IF(0&gt;=INDEX(Assumptions!$D$100:$F$100,1,2),0,'Acquisition Schedule'!J$28)</f>
        <v>450000</v>
      </c>
      <c r="I93" s="13">
        <f>IF(1&gt;=INDEX(Assumptions!$D$100:$F$100,1,2),0,'Acquisition Schedule'!J$28)</f>
        <v>450000</v>
      </c>
      <c r="J93" s="13">
        <f>IF(2&gt;=INDEX(Assumptions!$D$100:$F$100,1,2),0,'Acquisition Schedule'!J$28)</f>
        <v>450000</v>
      </c>
      <c r="K93" s="13">
        <f>IF(3&gt;=INDEX(Assumptions!$D$100:$F$100,1,2),0,'Acquisition Schedule'!J$28)</f>
        <v>450000</v>
      </c>
      <c r="L93" s="13">
        <f>IF(4&gt;=INDEX(Assumptions!$D$100:$F$100,1,2),0,'Acquisition Schedule'!J$28)</f>
        <v>450000</v>
      </c>
      <c r="M93" s="13">
        <f>IF(5&gt;=INDEX(Assumptions!$D$100:$F$100,1,2),0,'Acquisition Schedule'!J$28)</f>
        <v>0</v>
      </c>
      <c r="N93" s="13">
        <f>IF(6&gt;=INDEX(Assumptions!$D$100:$F$100,1,2),0,'Acquisition Schedule'!J$28)</f>
        <v>0</v>
      </c>
      <c r="O93" s="2"/>
    </row>
    <row r="94" spans="1:15" ht="15" customHeight="1" x14ac:dyDescent="0.3">
      <c r="A94" s="6" t="s">
        <v>1361</v>
      </c>
      <c r="B94" s="6" t="s">
        <v>218</v>
      </c>
      <c r="C94" s="6" t="s">
        <v>211</v>
      </c>
      <c r="D94" s="63">
        <f>0</f>
        <v>0</v>
      </c>
      <c r="E94" s="63">
        <f>0</f>
        <v>0</v>
      </c>
      <c r="F94" s="63">
        <f>0</f>
        <v>0</v>
      </c>
      <c r="G94" s="63">
        <f>0</f>
        <v>0</v>
      </c>
      <c r="H94" s="63">
        <f>0</f>
        <v>0</v>
      </c>
      <c r="I94" s="13">
        <f>IF(0&gt;=INDEX(Assumptions!$D$100:$F$100,1,2),0,'Acquisition Schedule'!K$28)</f>
        <v>450000</v>
      </c>
      <c r="J94" s="13">
        <f>IF(1&gt;=INDEX(Assumptions!$D$100:$F$100,1,2),0,'Acquisition Schedule'!K$28)</f>
        <v>450000</v>
      </c>
      <c r="K94" s="13">
        <f>IF(2&gt;=INDEX(Assumptions!$D$100:$F$100,1,2),0,'Acquisition Schedule'!K$28)</f>
        <v>450000</v>
      </c>
      <c r="L94" s="13">
        <f>IF(3&gt;=INDEX(Assumptions!$D$100:$F$100,1,2),0,'Acquisition Schedule'!K$28)</f>
        <v>450000</v>
      </c>
      <c r="M94" s="13">
        <f>IF(4&gt;=INDEX(Assumptions!$D$100:$F$100,1,2),0,'Acquisition Schedule'!K$28)</f>
        <v>450000</v>
      </c>
      <c r="N94" s="13">
        <f>IF(5&gt;=INDEX(Assumptions!$D$100:$F$100,1,2),0,'Acquisition Schedule'!K$28)</f>
        <v>0</v>
      </c>
      <c r="O94" s="2"/>
    </row>
    <row r="95" spans="1:15" ht="15" customHeight="1" x14ac:dyDescent="0.3">
      <c r="A95" s="6" t="s">
        <v>1362</v>
      </c>
      <c r="B95" s="6" t="s">
        <v>218</v>
      </c>
      <c r="C95" s="6" t="s">
        <v>211</v>
      </c>
      <c r="D95" s="63">
        <f>0</f>
        <v>0</v>
      </c>
      <c r="E95" s="63">
        <f>0</f>
        <v>0</v>
      </c>
      <c r="F95" s="63">
        <f>0</f>
        <v>0</v>
      </c>
      <c r="G95" s="63">
        <f>0</f>
        <v>0</v>
      </c>
      <c r="H95" s="63">
        <f>0</f>
        <v>0</v>
      </c>
      <c r="I95" s="63">
        <f>0</f>
        <v>0</v>
      </c>
      <c r="J95" s="13">
        <f>IF(0&gt;=INDEX(Assumptions!$D$100:$F$100,1,2),0,'Acquisition Schedule'!L$28)</f>
        <v>450000</v>
      </c>
      <c r="K95" s="13">
        <f>IF(1&gt;=INDEX(Assumptions!$D$100:$F$100,1,2),0,'Acquisition Schedule'!L$28)</f>
        <v>450000</v>
      </c>
      <c r="L95" s="13">
        <f>IF(2&gt;=INDEX(Assumptions!$D$100:$F$100,1,2),0,'Acquisition Schedule'!L$28)</f>
        <v>450000</v>
      </c>
      <c r="M95" s="13">
        <f>IF(3&gt;=INDEX(Assumptions!$D$100:$F$100,1,2),0,'Acquisition Schedule'!L$28)</f>
        <v>450000</v>
      </c>
      <c r="N95" s="13">
        <f>IF(4&gt;=INDEX(Assumptions!$D$100:$F$100,1,2),0,'Acquisition Schedule'!L$28)</f>
        <v>450000</v>
      </c>
      <c r="O95" s="2"/>
    </row>
    <row r="96" spans="1:15" ht="15" customHeight="1" x14ac:dyDescent="0.3">
      <c r="A96" s="6" t="s">
        <v>1363</v>
      </c>
      <c r="B96" s="6" t="s">
        <v>218</v>
      </c>
      <c r="C96" s="6" t="s">
        <v>211</v>
      </c>
      <c r="D96" s="63">
        <f>0</f>
        <v>0</v>
      </c>
      <c r="E96" s="63">
        <f>0</f>
        <v>0</v>
      </c>
      <c r="F96" s="63">
        <f>0</f>
        <v>0</v>
      </c>
      <c r="G96" s="63">
        <f>0</f>
        <v>0</v>
      </c>
      <c r="H96" s="63">
        <f>0</f>
        <v>0</v>
      </c>
      <c r="I96" s="63">
        <f>0</f>
        <v>0</v>
      </c>
      <c r="J96" s="63">
        <f>0</f>
        <v>0</v>
      </c>
      <c r="K96" s="13">
        <f>IF(0&gt;=INDEX(Assumptions!$D$100:$F$100,1,2),0,'Acquisition Schedule'!M$28)</f>
        <v>450000</v>
      </c>
      <c r="L96" s="13">
        <f>IF(1&gt;=INDEX(Assumptions!$D$100:$F$100,1,2),0,'Acquisition Schedule'!M$28)</f>
        <v>450000</v>
      </c>
      <c r="M96" s="13">
        <f>IF(2&gt;=INDEX(Assumptions!$D$100:$F$100,1,2),0,'Acquisition Schedule'!M$28)</f>
        <v>450000</v>
      </c>
      <c r="N96" s="13">
        <f>IF(3&gt;=INDEX(Assumptions!$D$100:$F$100,1,2),0,'Acquisition Schedule'!M$28)</f>
        <v>450000</v>
      </c>
      <c r="O96" s="2"/>
    </row>
    <row r="97" spans="1:15" ht="15" customHeight="1" x14ac:dyDescent="0.3">
      <c r="A97" s="6" t="s">
        <v>1364</v>
      </c>
      <c r="B97" s="6" t="s">
        <v>218</v>
      </c>
      <c r="C97" s="6" t="s">
        <v>211</v>
      </c>
      <c r="D97" s="63">
        <f>0</f>
        <v>0</v>
      </c>
      <c r="E97" s="63">
        <f>0</f>
        <v>0</v>
      </c>
      <c r="F97" s="63">
        <f>0</f>
        <v>0</v>
      </c>
      <c r="G97" s="63">
        <f>0</f>
        <v>0</v>
      </c>
      <c r="H97" s="63">
        <f>0</f>
        <v>0</v>
      </c>
      <c r="I97" s="63">
        <f>0</f>
        <v>0</v>
      </c>
      <c r="J97" s="63">
        <f>0</f>
        <v>0</v>
      </c>
      <c r="K97" s="63">
        <f>0</f>
        <v>0</v>
      </c>
      <c r="L97" s="13">
        <f>IF(0&gt;=INDEX(Assumptions!$D$100:$F$100,1,2),0,'Acquisition Schedule'!N$28)</f>
        <v>0</v>
      </c>
      <c r="M97" s="13">
        <f>IF(1&gt;=INDEX(Assumptions!$D$100:$F$100,1,2),0,'Acquisition Schedule'!N$28)</f>
        <v>0</v>
      </c>
      <c r="N97" s="13">
        <f>IF(2&gt;=INDEX(Assumptions!$D$100:$F$100,1,2),0,'Acquisition Schedule'!N$28)</f>
        <v>0</v>
      </c>
      <c r="O97" s="2"/>
    </row>
    <row r="98" spans="1:15" ht="15" customHeight="1" x14ac:dyDescent="0.3">
      <c r="A98" s="6" t="s">
        <v>1365</v>
      </c>
      <c r="B98" s="6" t="s">
        <v>218</v>
      </c>
      <c r="C98" s="6" t="s">
        <v>211</v>
      </c>
      <c r="D98" s="63">
        <f>0</f>
        <v>0</v>
      </c>
      <c r="E98" s="63">
        <f>0</f>
        <v>0</v>
      </c>
      <c r="F98" s="63">
        <f>0</f>
        <v>0</v>
      </c>
      <c r="G98" s="63">
        <f>0</f>
        <v>0</v>
      </c>
      <c r="H98" s="63">
        <f>0</f>
        <v>0</v>
      </c>
      <c r="I98" s="63">
        <f>0</f>
        <v>0</v>
      </c>
      <c r="J98" s="63">
        <f>0</f>
        <v>0</v>
      </c>
      <c r="K98" s="63">
        <f>0</f>
        <v>0</v>
      </c>
      <c r="L98" s="63">
        <f>0</f>
        <v>0</v>
      </c>
      <c r="M98" s="13">
        <f>IF(0&gt;=INDEX(Assumptions!$D$100:$F$100,1,2),0,'Acquisition Schedule'!O$28)</f>
        <v>0</v>
      </c>
      <c r="N98" s="13">
        <f>IF(1&gt;=INDEX(Assumptions!$D$100:$F$100,1,2),0,'Acquisition Schedule'!O$28)</f>
        <v>0</v>
      </c>
      <c r="O98" s="2"/>
    </row>
    <row r="99" spans="1:15" ht="15" customHeight="1" x14ac:dyDescent="0.3">
      <c r="A99" s="6" t="s">
        <v>1366</v>
      </c>
      <c r="B99" s="6" t="s">
        <v>218</v>
      </c>
      <c r="C99" s="6" t="s">
        <v>211</v>
      </c>
      <c r="D99" s="63">
        <f>0</f>
        <v>0</v>
      </c>
      <c r="E99" s="63">
        <f>0</f>
        <v>0</v>
      </c>
      <c r="F99" s="63">
        <f>0</f>
        <v>0</v>
      </c>
      <c r="G99" s="63">
        <f>0</f>
        <v>0</v>
      </c>
      <c r="H99" s="63">
        <f>0</f>
        <v>0</v>
      </c>
      <c r="I99" s="63">
        <f>0</f>
        <v>0</v>
      </c>
      <c r="J99" s="63">
        <f>0</f>
        <v>0</v>
      </c>
      <c r="K99" s="63">
        <f>0</f>
        <v>0</v>
      </c>
      <c r="L99" s="63">
        <f>0</f>
        <v>0</v>
      </c>
      <c r="M99" s="63">
        <f>0</f>
        <v>0</v>
      </c>
      <c r="N99" s="13">
        <f>IF(0&gt;=INDEX(Assumptions!$D$100:$F$100,1,2),0,'Acquisition Schedule'!P$28)</f>
        <v>0</v>
      </c>
      <c r="O99" s="2"/>
    </row>
    <row r="100" spans="1:15" ht="15" customHeight="1" x14ac:dyDescent="0.3">
      <c r="A100" s="1" t="s">
        <v>1367</v>
      </c>
      <c r="B100" s="6" t="s">
        <v>218</v>
      </c>
      <c r="C100" s="6" t="s">
        <v>211</v>
      </c>
      <c r="D100" s="40">
        <f t="shared" ref="D100:N100" si="20">SUM(D89:D99)</f>
        <v>900000</v>
      </c>
      <c r="E100" s="40">
        <f t="shared" si="20"/>
        <v>1350000</v>
      </c>
      <c r="F100" s="40">
        <f t="shared" si="20"/>
        <v>1800000</v>
      </c>
      <c r="G100" s="40">
        <f t="shared" si="20"/>
        <v>3375000</v>
      </c>
      <c r="H100" s="40">
        <f t="shared" si="20"/>
        <v>3825000</v>
      </c>
      <c r="I100" s="40">
        <f t="shared" si="20"/>
        <v>3375000</v>
      </c>
      <c r="J100" s="40">
        <f t="shared" si="20"/>
        <v>3375000</v>
      </c>
      <c r="K100" s="40">
        <f t="shared" si="20"/>
        <v>3375000</v>
      </c>
      <c r="L100" s="40">
        <f t="shared" si="20"/>
        <v>1800000</v>
      </c>
      <c r="M100" s="40">
        <f t="shared" si="20"/>
        <v>1350000</v>
      </c>
      <c r="N100" s="40">
        <f t="shared" si="20"/>
        <v>900000</v>
      </c>
      <c r="O100" s="2"/>
    </row>
    <row r="101" spans="1:15" ht="15" customHeight="1" x14ac:dyDescent="0.3">
      <c r="A101" s="6" t="s">
        <v>757</v>
      </c>
      <c r="B101" s="6" t="s">
        <v>218</v>
      </c>
      <c r="C101" s="6" t="s">
        <v>245</v>
      </c>
      <c r="D101" s="13">
        <f>'Acquisition Schedule'!F$28</f>
        <v>900000</v>
      </c>
      <c r="E101" s="13">
        <f>'Acquisition Schedule'!G$28</f>
        <v>450000</v>
      </c>
      <c r="F101" s="13">
        <f>'Acquisition Schedule'!H$28</f>
        <v>450000</v>
      </c>
      <c r="G101" s="13">
        <f>'Acquisition Schedule'!I$28</f>
        <v>1575000</v>
      </c>
      <c r="H101" s="13">
        <f>'Acquisition Schedule'!J$28</f>
        <v>450000</v>
      </c>
      <c r="I101" s="13">
        <f>'Acquisition Schedule'!K$28</f>
        <v>450000</v>
      </c>
      <c r="J101" s="13">
        <f>'Acquisition Schedule'!L$28</f>
        <v>450000</v>
      </c>
      <c r="K101" s="13">
        <f>'Acquisition Schedule'!M$28</f>
        <v>450000</v>
      </c>
      <c r="L101" s="13">
        <f>'Acquisition Schedule'!N$28</f>
        <v>0</v>
      </c>
      <c r="M101" s="13">
        <f>'Acquisition Schedule'!O$28</f>
        <v>0</v>
      </c>
      <c r="N101" s="13">
        <f>'Acquisition Schedule'!P$28</f>
        <v>0</v>
      </c>
      <c r="O101" s="2"/>
    </row>
    <row r="102" spans="1:15" ht="15" customHeight="1" x14ac:dyDescent="0.3">
      <c r="A102" s="6" t="s">
        <v>1368</v>
      </c>
      <c r="B102" s="6" t="s">
        <v>218</v>
      </c>
      <c r="C102" s="6" t="s">
        <v>211</v>
      </c>
      <c r="D102" s="63">
        <f>0</f>
        <v>0</v>
      </c>
      <c r="E102" s="63">
        <f t="shared" ref="E102:N102" si="21">-MAX(0,D100+E101-E100)</f>
        <v>0</v>
      </c>
      <c r="F102" s="63">
        <f t="shared" si="21"/>
        <v>0</v>
      </c>
      <c r="G102" s="63">
        <f t="shared" si="21"/>
        <v>0</v>
      </c>
      <c r="H102" s="63">
        <f t="shared" si="21"/>
        <v>0</v>
      </c>
      <c r="I102" s="63">
        <f t="shared" si="21"/>
        <v>-900000</v>
      </c>
      <c r="J102" s="63">
        <f t="shared" si="21"/>
        <v>-450000</v>
      </c>
      <c r="K102" s="63">
        <f t="shared" si="21"/>
        <v>-450000</v>
      </c>
      <c r="L102" s="63">
        <f t="shared" si="21"/>
        <v>-1575000</v>
      </c>
      <c r="M102" s="63">
        <f t="shared" si="21"/>
        <v>-450000</v>
      </c>
      <c r="N102" s="63">
        <f t="shared" si="21"/>
        <v>-450000</v>
      </c>
      <c r="O102" s="2"/>
    </row>
    <row r="103" spans="1:15" ht="15" customHeight="1" x14ac:dyDescent="0.3">
      <c r="A103" s="6" t="s">
        <v>1369</v>
      </c>
      <c r="B103" s="6" t="s">
        <v>218</v>
      </c>
      <c r="C103" s="6" t="s">
        <v>222</v>
      </c>
      <c r="D103" s="63">
        <f>0</f>
        <v>0</v>
      </c>
      <c r="E103" s="13">
        <f>-(D100+E100)/2*INDEX(Assumptions!$D$99:$F$99,1,2)</f>
        <v>-78750.000000000015</v>
      </c>
      <c r="F103" s="13">
        <f>-(E100+F100)/2*INDEX(Assumptions!$D$99:$F$99,1,2)</f>
        <v>-110250.00000000001</v>
      </c>
      <c r="G103" s="13">
        <f>-(F100+G100)/2*INDEX(Assumptions!$D$99:$F$99,1,2)</f>
        <v>-181125.00000000003</v>
      </c>
      <c r="H103" s="13">
        <f>-(G100+H100)/2*INDEX(Assumptions!$D$99:$F$99,1,2)</f>
        <v>-252000.00000000003</v>
      </c>
      <c r="I103" s="13">
        <f>-(H100+I100)/2*INDEX(Assumptions!$D$99:$F$99,1,2)</f>
        <v>-252000.00000000003</v>
      </c>
      <c r="J103" s="13">
        <f>-(I100+J100)/2*INDEX(Assumptions!$D$99:$F$99,1,2)</f>
        <v>-236250.00000000003</v>
      </c>
      <c r="K103" s="13">
        <f>-(J100+K100)/2*INDEX(Assumptions!$D$99:$F$99,1,2)</f>
        <v>-236250.00000000003</v>
      </c>
      <c r="L103" s="13">
        <f>-(K100+L100)/2*INDEX(Assumptions!$D$99:$F$99,1,2)</f>
        <v>-181125.00000000003</v>
      </c>
      <c r="M103" s="13">
        <f>-(L100+M100)/2*INDEX(Assumptions!$D$99:$F$99,1,2)</f>
        <v>-110250.00000000001</v>
      </c>
      <c r="N103" s="13">
        <f>-(M100+N100)/2*INDEX(Assumptions!$D$99:$F$99,1,2)</f>
        <v>-78750.000000000015</v>
      </c>
      <c r="O103" s="2"/>
    </row>
    <row r="104" spans="1:15" ht="15" customHeight="1" x14ac:dyDescent="0.3">
      <c r="A104" s="6" t="s">
        <v>18</v>
      </c>
      <c r="B104" s="6" t="s">
        <v>218</v>
      </c>
      <c r="C104" s="6" t="s">
        <v>211</v>
      </c>
      <c r="D104" s="13">
        <f>'Operating Case'!D$79</f>
        <v>-2562538.5500947256</v>
      </c>
      <c r="E104" s="13">
        <f>'Operating Case'!E$79</f>
        <v>-2666125.2168344129</v>
      </c>
      <c r="F104" s="13">
        <f>'Operating Case'!F$79</f>
        <v>-1823555.7063347653</v>
      </c>
      <c r="G104" s="13">
        <f>'Operating Case'!G$79</f>
        <v>-645223.16864592896</v>
      </c>
      <c r="H104" s="13">
        <f>'Operating Case'!H$79</f>
        <v>740483.35542136035</v>
      </c>
      <c r="I104" s="13">
        <f>'Operating Case'!I$79</f>
        <v>1989260.3968526518</v>
      </c>
      <c r="J104" s="13">
        <f>'Operating Case'!J$79</f>
        <v>2515068.5594999553</v>
      </c>
      <c r="K104" s="13">
        <f>'Operating Case'!K$79</f>
        <v>2910357.7800856186</v>
      </c>
      <c r="L104" s="13">
        <f>'Operating Case'!L$79</f>
        <v>3438275.5931596989</v>
      </c>
      <c r="M104" s="13">
        <f>'Operating Case'!M$79</f>
        <v>2566364.8786106259</v>
      </c>
      <c r="N104" s="13">
        <f>'Operating Case'!N$79</f>
        <v>1641331.6297399232</v>
      </c>
      <c r="O104" s="2"/>
    </row>
    <row r="105" spans="1:15" ht="15" customHeight="1" x14ac:dyDescent="0.3">
      <c r="A105" s="6" t="s">
        <v>1370</v>
      </c>
      <c r="B105" s="6" t="s">
        <v>218</v>
      </c>
      <c r="C105" s="6" t="s">
        <v>211</v>
      </c>
      <c r="D105" s="13">
        <f>D104+D88+D103+'Operating Case'!D$81</f>
        <v>-2746132.3000947256</v>
      </c>
      <c r="E105" s="13">
        <f>E104+E88+E103+'Operating Case'!E$81</f>
        <v>-2997316.6230844129</v>
      </c>
      <c r="F105" s="13">
        <f>F104+F88+F103+'Operating Case'!F$81</f>
        <v>-2349585.0515175406</v>
      </c>
      <c r="G105" s="13">
        <f>G104+G88+G103+'Operating Case'!G$81</f>
        <v>-1698496.8291228903</v>
      </c>
      <c r="H105" s="13">
        <f>H104+H88+H103+'Operating Case'!H$81</f>
        <v>-857824.26261769282</v>
      </c>
      <c r="I105" s="13">
        <f>I104+I88+I103+'Operating Case'!I$81</f>
        <v>163808.70785408211</v>
      </c>
      <c r="J105" s="13">
        <f>J104+J88+J103+'Operating Case'!J$81</f>
        <v>513412.80919984705</v>
      </c>
      <c r="K105" s="13">
        <f>K104+K88+K103+'Operating Case'!K$81</f>
        <v>872515.41444706544</v>
      </c>
      <c r="L105" s="13">
        <f>L104+L88+L103+'Operating Case'!L$81</f>
        <v>1479221.612182701</v>
      </c>
      <c r="M105" s="13">
        <f>M104+M88+M103+'Operating Case'!M$81</f>
        <v>756711.78229518281</v>
      </c>
      <c r="N105" s="13">
        <f>N104+N88+N103+'Operating Case'!N$81</f>
        <v>-58295.58191396459</v>
      </c>
      <c r="O105" s="2"/>
    </row>
    <row r="106" spans="1:15" ht="15" customHeight="1" x14ac:dyDescent="0.3">
      <c r="A106" s="6" t="s">
        <v>1371</v>
      </c>
      <c r="B106" s="6" t="s">
        <v>218</v>
      </c>
      <c r="C106" s="6" t="s">
        <v>211</v>
      </c>
      <c r="D106" s="63">
        <f>0</f>
        <v>0</v>
      </c>
      <c r="E106" s="63">
        <f t="shared" ref="E106:N106" si="22">D108</f>
        <v>2746132.3000947256</v>
      </c>
      <c r="F106" s="63">
        <f t="shared" si="22"/>
        <v>5743448.9231791385</v>
      </c>
      <c r="G106" s="63">
        <f t="shared" si="22"/>
        <v>8093033.974696679</v>
      </c>
      <c r="H106" s="63">
        <f t="shared" si="22"/>
        <v>9791530.8038195688</v>
      </c>
      <c r="I106" s="63">
        <f t="shared" si="22"/>
        <v>10649355.066437261</v>
      </c>
      <c r="J106" s="63">
        <f t="shared" si="22"/>
        <v>10485546.358583178</v>
      </c>
      <c r="K106" s="63">
        <f t="shared" si="22"/>
        <v>9972133.5493833311</v>
      </c>
      <c r="L106" s="63">
        <f t="shared" si="22"/>
        <v>9099618.1349362656</v>
      </c>
      <c r="M106" s="63">
        <f t="shared" si="22"/>
        <v>7620396.5227535646</v>
      </c>
      <c r="N106" s="63">
        <f t="shared" si="22"/>
        <v>6863684.7404583823</v>
      </c>
      <c r="O106" s="2"/>
    </row>
    <row r="107" spans="1:15" ht="15" customHeight="1" x14ac:dyDescent="0.3">
      <c r="A107" s="6" t="s">
        <v>1372</v>
      </c>
      <c r="B107" s="6" t="s">
        <v>218</v>
      </c>
      <c r="C107" s="6" t="s">
        <v>211</v>
      </c>
      <c r="D107" s="63">
        <f t="shared" ref="D107:N107" si="23">-MIN(D106,MAX(0,D105))</f>
        <v>0</v>
      </c>
      <c r="E107" s="63">
        <f t="shared" si="23"/>
        <v>0</v>
      </c>
      <c r="F107" s="63">
        <f t="shared" si="23"/>
        <v>0</v>
      </c>
      <c r="G107" s="63">
        <f t="shared" si="23"/>
        <v>0</v>
      </c>
      <c r="H107" s="63">
        <f t="shared" si="23"/>
        <v>0</v>
      </c>
      <c r="I107" s="63">
        <f t="shared" si="23"/>
        <v>-163808.70785408211</v>
      </c>
      <c r="J107" s="63">
        <f t="shared" si="23"/>
        <v>-513412.80919984705</v>
      </c>
      <c r="K107" s="63">
        <f t="shared" si="23"/>
        <v>-872515.41444706544</v>
      </c>
      <c r="L107" s="63">
        <f t="shared" si="23"/>
        <v>-1479221.612182701</v>
      </c>
      <c r="M107" s="63">
        <f t="shared" si="23"/>
        <v>-756711.78229518281</v>
      </c>
      <c r="N107" s="63">
        <f t="shared" si="23"/>
        <v>0</v>
      </c>
      <c r="O107" s="2"/>
    </row>
    <row r="108" spans="1:15" ht="15" customHeight="1" x14ac:dyDescent="0.3">
      <c r="A108" s="6" t="s">
        <v>1373</v>
      </c>
      <c r="B108" s="6" t="s">
        <v>218</v>
      </c>
      <c r="C108" s="6" t="s">
        <v>211</v>
      </c>
      <c r="D108" s="63">
        <f t="shared" ref="D108:N108" si="24">D106+D107+MAX(0,-D105)</f>
        <v>2746132.3000947256</v>
      </c>
      <c r="E108" s="63">
        <f t="shared" si="24"/>
        <v>5743448.9231791385</v>
      </c>
      <c r="F108" s="63">
        <f t="shared" si="24"/>
        <v>8093033.974696679</v>
      </c>
      <c r="G108" s="63">
        <f t="shared" si="24"/>
        <v>9791530.8038195688</v>
      </c>
      <c r="H108" s="63">
        <f t="shared" si="24"/>
        <v>10649355.066437261</v>
      </c>
      <c r="I108" s="63">
        <f t="shared" si="24"/>
        <v>10485546.358583178</v>
      </c>
      <c r="J108" s="63">
        <f t="shared" si="24"/>
        <v>9972133.5493833311</v>
      </c>
      <c r="K108" s="63">
        <f t="shared" si="24"/>
        <v>9099618.1349362656</v>
      </c>
      <c r="L108" s="63">
        <f t="shared" si="24"/>
        <v>7620396.5227535646</v>
      </c>
      <c r="M108" s="63">
        <f t="shared" si="24"/>
        <v>6863684.7404583823</v>
      </c>
      <c r="N108" s="63">
        <f t="shared" si="24"/>
        <v>6921980.3223723471</v>
      </c>
      <c r="O108" s="2"/>
    </row>
    <row r="109" spans="1:15" ht="15" customHeight="1" x14ac:dyDescent="0.3">
      <c r="A109" s="6" t="s">
        <v>1374</v>
      </c>
      <c r="B109" s="6" t="s">
        <v>218</v>
      </c>
      <c r="C109" s="6" t="s">
        <v>222</v>
      </c>
      <c r="D109" s="13">
        <f>-MAX(0,D105+D107)*INDEX(Assumptions!$D$102:$F$102,1,2)</f>
        <v>0</v>
      </c>
      <c r="E109" s="13">
        <f>-MAX(0,E105+E107)*INDEX(Assumptions!$D$102:$F$102,1,2)</f>
        <v>0</v>
      </c>
      <c r="F109" s="13">
        <f>-MAX(0,F105+F107)*INDEX(Assumptions!$D$102:$F$102,1,2)</f>
        <v>0</v>
      </c>
      <c r="G109" s="13">
        <f>-MAX(0,G105+G107)*INDEX(Assumptions!$D$102:$F$102,1,2)</f>
        <v>0</v>
      </c>
      <c r="H109" s="13">
        <f>-MAX(0,H105+H107)*INDEX(Assumptions!$D$102:$F$102,1,2)</f>
        <v>0</v>
      </c>
      <c r="I109" s="13">
        <f>-MAX(0,I105+I107)*INDEX(Assumptions!$D$102:$F$102,1,2)</f>
        <v>0</v>
      </c>
      <c r="J109" s="13">
        <f>-MAX(0,J105+J107)*INDEX(Assumptions!$D$102:$F$102,1,2)</f>
        <v>0</v>
      </c>
      <c r="K109" s="13">
        <f>-MAX(0,K105+K107)*INDEX(Assumptions!$D$102:$F$102,1,2)</f>
        <v>0</v>
      </c>
      <c r="L109" s="13">
        <f>-MAX(0,L105+L107)*INDEX(Assumptions!$D$102:$F$102,1,2)</f>
        <v>0</v>
      </c>
      <c r="M109" s="13">
        <f>-MAX(0,M105+M107)*INDEX(Assumptions!$D$102:$F$102,1,2)</f>
        <v>0</v>
      </c>
      <c r="N109" s="13">
        <f>-MAX(0,N105+N107)*INDEX(Assumptions!$D$102:$F$102,1,2)</f>
        <v>0</v>
      </c>
      <c r="O109" s="2"/>
    </row>
    <row r="110" spans="1:15" ht="15" customHeight="1" x14ac:dyDescent="0.3">
      <c r="A110" s="6" t="s">
        <v>259</v>
      </c>
      <c r="B110" s="6" t="s">
        <v>218</v>
      </c>
      <c r="C110" s="6" t="s">
        <v>211</v>
      </c>
      <c r="D110" s="63">
        <f t="shared" ref="D110:N110" si="25">-(D67-D73-D101)</f>
        <v>-5100000</v>
      </c>
      <c r="E110" s="63">
        <f t="shared" si="25"/>
        <v>-2550000</v>
      </c>
      <c r="F110" s="63">
        <f t="shared" si="25"/>
        <v>-2159117.4040468307</v>
      </c>
      <c r="G110" s="63">
        <f t="shared" si="25"/>
        <v>-5250000</v>
      </c>
      <c r="H110" s="63">
        <f t="shared" si="25"/>
        <v>-1500000</v>
      </c>
      <c r="I110" s="63">
        <f t="shared" si="25"/>
        <v>-1500000</v>
      </c>
      <c r="J110" s="63">
        <f t="shared" si="25"/>
        <v>-1500000</v>
      </c>
      <c r="K110" s="63">
        <f t="shared" si="25"/>
        <v>-1500000</v>
      </c>
      <c r="L110" s="63">
        <f t="shared" si="25"/>
        <v>0</v>
      </c>
      <c r="M110" s="63">
        <f t="shared" si="25"/>
        <v>0</v>
      </c>
      <c r="N110" s="63">
        <f t="shared" si="25"/>
        <v>0</v>
      </c>
      <c r="O110" s="2"/>
    </row>
    <row r="111" spans="1:15" ht="15" customHeight="1" x14ac:dyDescent="0.3">
      <c r="A111" s="6" t="s">
        <v>260</v>
      </c>
      <c r="B111" s="6" t="s">
        <v>218</v>
      </c>
      <c r="C111" s="6" t="s">
        <v>222</v>
      </c>
      <c r="D111" s="13">
        <f>-('Acquisition Schedule'!F$30+'Acquisition Schedule'!F$29)</f>
        <v>-430000</v>
      </c>
      <c r="E111" s="13">
        <f>-('Acquisition Schedule'!G$30+'Acquisition Schedule'!G$29)</f>
        <v>-340000</v>
      </c>
      <c r="F111" s="13">
        <f>-('Acquisition Schedule'!H$30+'Acquisition Schedule'!H$29)</f>
        <v>-340000</v>
      </c>
      <c r="G111" s="13">
        <f>-('Acquisition Schedule'!I$30+'Acquisition Schedule'!I$29)</f>
        <v>-815000</v>
      </c>
      <c r="H111" s="13">
        <f>-('Acquisition Schedule'!J$30+'Acquisition Schedule'!J$29)</f>
        <v>-340000</v>
      </c>
      <c r="I111" s="13">
        <f>-('Acquisition Schedule'!K$30+'Acquisition Schedule'!K$29)</f>
        <v>-340000</v>
      </c>
      <c r="J111" s="13">
        <f>-('Acquisition Schedule'!L$30+'Acquisition Schedule'!L$29)</f>
        <v>-340000</v>
      </c>
      <c r="K111" s="13">
        <f>-('Acquisition Schedule'!M$30+'Acquisition Schedule'!M$29)</f>
        <v>-340000</v>
      </c>
      <c r="L111" s="13">
        <f>-('Acquisition Schedule'!N$30+'Acquisition Schedule'!N$29)</f>
        <v>0</v>
      </c>
      <c r="M111" s="13">
        <f>-('Acquisition Schedule'!O$30+'Acquisition Schedule'!O$29)</f>
        <v>0</v>
      </c>
      <c r="N111" s="13">
        <f>-('Acquisition Schedule'!P$30+'Acquisition Schedule'!P$29)</f>
        <v>0</v>
      </c>
      <c r="O111" s="2"/>
    </row>
    <row r="112" spans="1:15" ht="15" customHeight="1" x14ac:dyDescent="0.3">
      <c r="A112" s="6" t="s">
        <v>1375</v>
      </c>
      <c r="B112" s="6" t="s">
        <v>218</v>
      </c>
      <c r="C112" s="6" t="s">
        <v>211</v>
      </c>
      <c r="D112" s="13">
        <f>INDEX(Assumptions!$D$101:$F$101,1,2)</f>
        <v>1500000</v>
      </c>
      <c r="E112" s="63">
        <f t="shared" ref="E112:N112" si="26">D115</f>
        <v>1500000</v>
      </c>
      <c r="F112" s="63">
        <f t="shared" si="26"/>
        <v>1500000</v>
      </c>
      <c r="G112" s="63">
        <f t="shared" si="26"/>
        <v>1500000</v>
      </c>
      <c r="H112" s="63">
        <f t="shared" si="26"/>
        <v>1500000</v>
      </c>
      <c r="I112" s="63">
        <f t="shared" si="26"/>
        <v>1500000</v>
      </c>
      <c r="J112" s="63">
        <f t="shared" si="26"/>
        <v>1500000</v>
      </c>
      <c r="K112" s="63">
        <f t="shared" si="26"/>
        <v>1500000</v>
      </c>
      <c r="L112" s="63">
        <f t="shared" si="26"/>
        <v>1500000</v>
      </c>
      <c r="M112" s="63">
        <f t="shared" si="26"/>
        <v>1500000</v>
      </c>
      <c r="N112" s="63">
        <f t="shared" si="26"/>
        <v>1500000</v>
      </c>
      <c r="O112" s="2"/>
    </row>
    <row r="113" spans="1:15" ht="15" customHeight="1" x14ac:dyDescent="0.3">
      <c r="A113" s="6" t="s">
        <v>1376</v>
      </c>
      <c r="B113" s="6" t="s">
        <v>218</v>
      </c>
      <c r="C113" s="6" t="s">
        <v>211</v>
      </c>
      <c r="D113" s="13">
        <f>D112+D104+D88+D103+D109+'Operating Case'!D$81+'Operating Case'!D$83+D110+D111+D87+D102</f>
        <v>-6937694.8000947256</v>
      </c>
      <c r="E113" s="13">
        <f>E112+E104+E88+E103+E109+'Operating Case'!E$81+'Operating Case'!E$83+E110+E111+E87+E102</f>
        <v>-4447902.5605844129</v>
      </c>
      <c r="F113" s="13">
        <f>F112+F104+F88+F103+F109+'Operating Case'!F$81+'Operating Case'!F$83+F110+F111+F87+F102</f>
        <v>-3476100.9493143717</v>
      </c>
      <c r="G113" s="13">
        <f>G112+G104+G88+G103+G109+'Operating Case'!G$81+'Operating Case'!G$83+G110+G111+G87+G102</f>
        <v>-6535870.0829173326</v>
      </c>
      <c r="H113" s="13">
        <f>H112+H104+H88+H103+H109+'Operating Case'!H$81+'Operating Case'!H$83+H110+H111+H87+H102</f>
        <v>-1842796.6833698195</v>
      </c>
      <c r="I113" s="13">
        <f>I112+I104+I88+I103+I109+'Operating Case'!I$81+'Operating Case'!I$83+I110+I111+I87+I102</f>
        <v>-1738266.1126877773</v>
      </c>
      <c r="J113" s="13">
        <f>J112+J104+J88+J103+J109+'Operating Case'!J$81+'Operating Case'!J$83+J110+J111+J87+J102</f>
        <v>-1021472.8028429928</v>
      </c>
      <c r="K113" s="13">
        <f>K112+K104+K88+K103+K109+'Operating Case'!K$81+'Operating Case'!K$83+K110+K111+K87+K102</f>
        <v>-639072.84514825046</v>
      </c>
      <c r="L113" s="13">
        <f>L112+L104+L88+L103+L109+'Operating Case'!L$81+'Operating Case'!L$83+L110+L111+L87+L102</f>
        <v>577633.35258738324</v>
      </c>
      <c r="M113" s="13">
        <f>M112+M104+M88+M103+M109+'Operating Case'!M$81+'Operating Case'!M$83+M110+M111+M87+M102</f>
        <v>980123.52269986598</v>
      </c>
      <c r="N113" s="13">
        <f>N112+N104+N88+N103+N109+'Operating Case'!N$81+'Operating Case'!N$83+N110+N111+N87+N102</f>
        <v>165116.15849071881</v>
      </c>
      <c r="O113" s="2"/>
    </row>
    <row r="114" spans="1:15" ht="15" customHeight="1" x14ac:dyDescent="0.3">
      <c r="A114" s="1" t="s">
        <v>1377</v>
      </c>
      <c r="B114" s="6" t="s">
        <v>218</v>
      </c>
      <c r="C114" s="6" t="s">
        <v>211</v>
      </c>
      <c r="D114" s="39">
        <f>MAX(0,INDEX(Assumptions!$D$101:$F$101,1,2)-D113)</f>
        <v>8437694.8000947256</v>
      </c>
      <c r="E114" s="39">
        <f>MAX(0,INDEX(Assumptions!$D$101:$F$101,1,2)-E113)</f>
        <v>5947902.5605844129</v>
      </c>
      <c r="F114" s="39">
        <f>MAX(0,INDEX(Assumptions!$D$101:$F$101,1,2)-F113)</f>
        <v>4976100.9493143717</v>
      </c>
      <c r="G114" s="39">
        <f>MAX(0,INDEX(Assumptions!$D$101:$F$101,1,2)-G113)</f>
        <v>8035870.0829173326</v>
      </c>
      <c r="H114" s="39">
        <f>MAX(0,INDEX(Assumptions!$D$101:$F$101,1,2)-H113)</f>
        <v>3342796.6833698195</v>
      </c>
      <c r="I114" s="39">
        <f>MAX(0,INDEX(Assumptions!$D$101:$F$101,1,2)-I113)</f>
        <v>3238266.1126877773</v>
      </c>
      <c r="J114" s="39">
        <f>MAX(0,INDEX(Assumptions!$D$101:$F$101,1,2)-J113)</f>
        <v>2521472.8028429928</v>
      </c>
      <c r="K114" s="39">
        <f>MAX(0,INDEX(Assumptions!$D$101:$F$101,1,2)-K113)</f>
        <v>2139072.8451482505</v>
      </c>
      <c r="L114" s="39">
        <f>MAX(0,INDEX(Assumptions!$D$101:$F$101,1,2)-L113)</f>
        <v>922366.64741261676</v>
      </c>
      <c r="M114" s="39">
        <f>MAX(0,INDEX(Assumptions!$D$101:$F$101,1,2)-M113)</f>
        <v>519876.47730013402</v>
      </c>
      <c r="N114" s="39">
        <f>MAX(0,INDEX(Assumptions!$D$101:$F$101,1,2)-N113)</f>
        <v>1334883.8415092812</v>
      </c>
      <c r="O114" s="2"/>
    </row>
    <row r="115" spans="1:15" ht="15" customHeight="1" x14ac:dyDescent="0.3">
      <c r="A115" s="1" t="s">
        <v>1378</v>
      </c>
      <c r="B115" s="6" t="s">
        <v>218</v>
      </c>
      <c r="C115" s="6" t="s">
        <v>211</v>
      </c>
      <c r="D115" s="61">
        <f t="shared" ref="D115:N115" si="27">D113+D114</f>
        <v>1500000</v>
      </c>
      <c r="E115" s="61">
        <f t="shared" si="27"/>
        <v>1500000</v>
      </c>
      <c r="F115" s="61">
        <f t="shared" si="27"/>
        <v>1500000</v>
      </c>
      <c r="G115" s="61">
        <f t="shared" si="27"/>
        <v>1500000</v>
      </c>
      <c r="H115" s="61">
        <f t="shared" si="27"/>
        <v>1500000</v>
      </c>
      <c r="I115" s="61">
        <f t="shared" si="27"/>
        <v>1500000</v>
      </c>
      <c r="J115" s="61">
        <f t="shared" si="27"/>
        <v>1500000</v>
      </c>
      <c r="K115" s="61">
        <f t="shared" si="27"/>
        <v>1500000</v>
      </c>
      <c r="L115" s="61">
        <f t="shared" si="27"/>
        <v>1500000</v>
      </c>
      <c r="M115" s="61">
        <f t="shared" si="27"/>
        <v>1500000</v>
      </c>
      <c r="N115" s="61">
        <f t="shared" si="27"/>
        <v>1500000</v>
      </c>
      <c r="O115" s="2"/>
    </row>
    <row r="116" spans="1:15" ht="15" customHeight="1" x14ac:dyDescent="0.3">
      <c r="A116" s="6" t="s">
        <v>40</v>
      </c>
      <c r="B116" s="6" t="s">
        <v>218</v>
      </c>
      <c r="C116" s="6" t="s">
        <v>211</v>
      </c>
      <c r="D116" s="63">
        <f>D114</f>
        <v>8437694.8000947256</v>
      </c>
      <c r="E116" s="63">
        <f t="shared" ref="E116:N116" si="28">D116+E114</f>
        <v>14385597.360679138</v>
      </c>
      <c r="F116" s="63">
        <f t="shared" si="28"/>
        <v>19361698.309993509</v>
      </c>
      <c r="G116" s="63">
        <f t="shared" si="28"/>
        <v>27397568.392910842</v>
      </c>
      <c r="H116" s="63">
        <f t="shared" si="28"/>
        <v>30740365.076280661</v>
      </c>
      <c r="I116" s="63">
        <f t="shared" si="28"/>
        <v>33978631.188968435</v>
      </c>
      <c r="J116" s="63">
        <f t="shared" si="28"/>
        <v>36500103.991811424</v>
      </c>
      <c r="K116" s="63">
        <f t="shared" si="28"/>
        <v>38639176.836959675</v>
      </c>
      <c r="L116" s="63">
        <f t="shared" si="28"/>
        <v>39561543.484372288</v>
      </c>
      <c r="M116" s="63">
        <f t="shared" si="28"/>
        <v>40081419.961672425</v>
      </c>
      <c r="N116" s="63">
        <f t="shared" si="28"/>
        <v>41416303.803181708</v>
      </c>
      <c r="O116" s="2"/>
    </row>
    <row r="117" spans="1:15" ht="15" customHeight="1" x14ac:dyDescent="0.3">
      <c r="A117" s="6" t="s">
        <v>223</v>
      </c>
      <c r="B117" s="6" t="s">
        <v>218</v>
      </c>
      <c r="C117" s="6" t="s">
        <v>211</v>
      </c>
      <c r="D117" s="63">
        <f t="shared" ref="D117:N117" si="29">D86+D100-D115</f>
        <v>-600000</v>
      </c>
      <c r="E117" s="63">
        <f t="shared" si="29"/>
        <v>-150000</v>
      </c>
      <c r="F117" s="63">
        <f t="shared" si="29"/>
        <v>690882.59595316928</v>
      </c>
      <c r="G117" s="63">
        <f t="shared" si="29"/>
        <v>5901794.3363578524</v>
      </c>
      <c r="H117" s="63">
        <f t="shared" si="29"/>
        <v>6995206.0767625347</v>
      </c>
      <c r="I117" s="63">
        <f t="shared" si="29"/>
        <v>7083617.8171672188</v>
      </c>
      <c r="J117" s="63">
        <f t="shared" si="29"/>
        <v>7517029.557571901</v>
      </c>
      <c r="K117" s="63">
        <f t="shared" si="29"/>
        <v>7845441.2979765851</v>
      </c>
      <c r="L117" s="63">
        <f t="shared" si="29"/>
        <v>5443853.0383812673</v>
      </c>
      <c r="M117" s="63">
        <f t="shared" si="29"/>
        <v>4167264.7787859505</v>
      </c>
      <c r="N117" s="63">
        <f t="shared" si="29"/>
        <v>2890676.5191906337</v>
      </c>
      <c r="O117" s="2"/>
    </row>
    <row r="118" spans="1:15" ht="15" customHeight="1" x14ac:dyDescent="0.3">
      <c r="A118" s="6" t="s">
        <v>1379</v>
      </c>
      <c r="B118" s="6" t="s">
        <v>265</v>
      </c>
      <c r="C118" s="6" t="s">
        <v>211</v>
      </c>
      <c r="D118" s="80">
        <f>0</f>
        <v>0</v>
      </c>
      <c r="E118" s="80">
        <f t="shared" ref="E118:N118" si="30">IF((E88+E87)=0,0,E66/-(E88+E87))</f>
        <v>0</v>
      </c>
      <c r="F118" s="80">
        <f t="shared" si="30"/>
        <v>5.1315789473684212</v>
      </c>
      <c r="G118" s="80">
        <f t="shared" si="30"/>
        <v>4.0099577334209284</v>
      </c>
      <c r="H118" s="80">
        <f t="shared" si="30"/>
        <v>2.6932827539863897</v>
      </c>
      <c r="I118" s="80">
        <f t="shared" si="30"/>
        <v>3.5454724469729637</v>
      </c>
      <c r="J118" s="80">
        <f t="shared" si="30"/>
        <v>3.5234458618344711</v>
      </c>
      <c r="K118" s="80">
        <f t="shared" si="30"/>
        <v>3.6332326147223477</v>
      </c>
      <c r="L118" s="80">
        <f t="shared" si="30"/>
        <v>3.89247920683122</v>
      </c>
      <c r="M118" s="80">
        <f t="shared" si="30"/>
        <v>3.5459647372879242</v>
      </c>
      <c r="N118" s="80">
        <f t="shared" si="30"/>
        <v>3.1143324526792076</v>
      </c>
      <c r="O118" s="2"/>
    </row>
    <row r="119" spans="1:15" ht="15" customHeight="1" x14ac:dyDescent="0.3">
      <c r="A119" s="6" t="s">
        <v>1380</v>
      </c>
      <c r="B119" s="6" t="s">
        <v>265</v>
      </c>
      <c r="C119" s="6" t="s">
        <v>211</v>
      </c>
      <c r="D119" s="80">
        <f t="shared" ref="D119:N119" si="31">IF(D65&lt;=0,0,D86/D65)</f>
        <v>0</v>
      </c>
      <c r="E119" s="80">
        <f t="shared" si="31"/>
        <v>0</v>
      </c>
      <c r="F119" s="80">
        <f t="shared" si="31"/>
        <v>0.63056915145355996</v>
      </c>
      <c r="G119" s="80">
        <f t="shared" si="31"/>
        <v>2.1263214055341195</v>
      </c>
      <c r="H119" s="80">
        <f t="shared" si="31"/>
        <v>1.3820216696101972</v>
      </c>
      <c r="I119" s="80">
        <f t="shared" si="31"/>
        <v>1.1006738159972376</v>
      </c>
      <c r="J119" s="80">
        <f t="shared" si="31"/>
        <v>1.0512804139350265</v>
      </c>
      <c r="K119" s="80">
        <f t="shared" si="31"/>
        <v>1.0161136438240945</v>
      </c>
      <c r="L119" s="80">
        <f t="shared" si="31"/>
        <v>0.78864056574157315</v>
      </c>
      <c r="M119" s="80">
        <f t="shared" si="31"/>
        <v>0.74762746548967329</v>
      </c>
      <c r="N119" s="80">
        <f t="shared" si="31"/>
        <v>0.70103681416168306</v>
      </c>
      <c r="O119" s="2"/>
    </row>
    <row r="120" spans="1:15" ht="15" customHeight="1" x14ac:dyDescent="0.3">
      <c r="A120" s="6" t="s">
        <v>1381</v>
      </c>
      <c r="B120" s="6" t="s">
        <v>265</v>
      </c>
      <c r="C120" s="6" t="s">
        <v>211</v>
      </c>
      <c r="D120" s="12">
        <f>IF((D$88+D$87+D$103+D$102)=0,0,('Operating Case'!D$79+'Operating Case'!D$81)/-(D$88+D$87+D$103+D$102))</f>
        <v>0</v>
      </c>
      <c r="E120" s="12">
        <f>IF((E$88+E$87+E$103+E$102)=0,0,('Operating Case'!E$79+'Operating Case'!E$81)/-(E$88+E$87+E$103+E$102))</f>
        <v>-37.061163467738567</v>
      </c>
      <c r="F120" s="12">
        <f>IF((F$88+F$87+F$103+F$102)=0,0,('Operating Case'!F$79+'Operating Case'!F$81)/-(F$88+F$87+F$103+F$102))</f>
        <v>-17.239723408886267</v>
      </c>
      <c r="G120" s="12">
        <f>IF((G$88+G$87+G$103+G$102)=0,0,('Operating Case'!G$79+'Operating Case'!G$81)/-(G$88+G$87+G$103+G$102))</f>
        <v>-3.0403983617762171</v>
      </c>
      <c r="H120" s="12">
        <f>IF((H$88+H$87+H$103+H$102)=0,0,('Operating Case'!H$79+'Operating Case'!H$81)/-(H$88+H$87+H$103+H$102))</f>
        <v>-0.17982411308459237</v>
      </c>
      <c r="I120" s="12">
        <f>IF((I$88+I$87+I$103+I$102)=0,0,('Operating Case'!I$79+'Operating Case'!I$81)/-(I$88+I$87+I$103+I$102))</f>
        <v>0.41496596032318983</v>
      </c>
      <c r="J120" s="12">
        <f>IF((J$88+J$87+J$103+J$102)=0,0,('Operating Case'!J$79+'Operating Case'!J$81)/-(J$88+J$87+J$103+J$102))</f>
        <v>0.69576390881260985</v>
      </c>
      <c r="K120" s="12">
        <f>IF((K$88+K$87+K$103+K$102)=0,0,('Operating Case'!K$79+'Operating Case'!K$81)/-(K$88+K$87+K$103+K$102))</f>
        <v>0.84736747435875437</v>
      </c>
      <c r="L120" s="12">
        <f>IF((L$88+L$87+L$103+L$102)=0,0,('Operating Case'!L$79+'Operating Case'!L$81)/-(L$88+L$87+L$103+L$102))</f>
        <v>0.70348031818570245</v>
      </c>
      <c r="M120" s="12">
        <f>IF((M$88+M$87+M$103+M$102)=0,0,('Operating Case'!M$79+'Operating Case'!M$81)/-(M$88+M$87+M$103+M$102))</f>
        <v>0.71688009551321774</v>
      </c>
      <c r="N120" s="12">
        <f>IF((N$88+N$87+N$103+N$102)=0,0,('Operating Case'!N$79+'Operating Case'!N$81)/-(N$88+N$87+N$103+N$102))</f>
        <v>0.22669917878602347</v>
      </c>
      <c r="O120" s="2"/>
    </row>
    <row r="121" spans="1:15" ht="15" customHeight="1" x14ac:dyDescent="0.3">
      <c r="A121" s="21" t="s">
        <v>874</v>
      </c>
      <c r="B121" s="10"/>
      <c r="C121" s="10"/>
      <c r="D121" s="10"/>
      <c r="E121" s="10"/>
      <c r="F121" s="10"/>
      <c r="G121" s="10"/>
      <c r="H121" s="10"/>
      <c r="I121" s="10"/>
      <c r="J121" s="10"/>
      <c r="K121" s="10"/>
      <c r="L121" s="10"/>
      <c r="M121" s="10"/>
      <c r="N121" s="10"/>
      <c r="O121" s="2"/>
    </row>
    <row r="122" spans="1:15" ht="15" customHeight="1" x14ac:dyDescent="0.3">
      <c r="A122" s="21" t="s">
        <v>202</v>
      </c>
      <c r="B122" s="10"/>
      <c r="C122" s="10"/>
      <c r="D122" s="21" t="s">
        <v>203</v>
      </c>
      <c r="E122" s="21" t="s">
        <v>204</v>
      </c>
      <c r="F122" s="21" t="s">
        <v>205</v>
      </c>
      <c r="G122" s="21" t="s">
        <v>9</v>
      </c>
      <c r="H122" s="21" t="s">
        <v>206</v>
      </c>
      <c r="I122" s="21" t="s">
        <v>10</v>
      </c>
      <c r="J122" s="21" t="s">
        <v>207</v>
      </c>
      <c r="K122" s="21" t="s">
        <v>11</v>
      </c>
      <c r="L122" s="21" t="s">
        <v>208</v>
      </c>
      <c r="M122" s="21" t="s">
        <v>209</v>
      </c>
      <c r="N122" s="21" t="s">
        <v>12</v>
      </c>
      <c r="O122" s="2"/>
    </row>
    <row r="123" spans="1:15" ht="15" customHeight="1" x14ac:dyDescent="0.3">
      <c r="A123" s="6" t="s">
        <v>1333</v>
      </c>
      <c r="B123" s="6" t="s">
        <v>218</v>
      </c>
      <c r="C123" s="6" t="s">
        <v>211</v>
      </c>
      <c r="D123" s="13">
        <f>'Operating Case'!D$119</f>
        <v>-332083.3490678051</v>
      </c>
      <c r="E123" s="13">
        <f>'Operating Case'!E$119</f>
        <v>-98961.126461944776</v>
      </c>
      <c r="F123" s="13">
        <f>'Operating Case'!F$119</f>
        <v>1157314.6565578016</v>
      </c>
      <c r="G123" s="13">
        <f>'Operating Case'!G$119</f>
        <v>2748885.907228875</v>
      </c>
      <c r="H123" s="13">
        <f>'Operating Case'!H$119</f>
        <v>5011779.1338411942</v>
      </c>
      <c r="I123" s="13">
        <f>'Operating Case'!I$119</f>
        <v>6291977.8213462206</v>
      </c>
      <c r="J123" s="13">
        <f>'Operating Case'!J$119</f>
        <v>7002516.5871968726</v>
      </c>
      <c r="K123" s="13">
        <f>'Operating Case'!K$119</f>
        <v>7659162.51442964</v>
      </c>
      <c r="L123" s="13">
        <f>'Operating Case'!L$119</f>
        <v>8431451.2773561571</v>
      </c>
      <c r="M123" s="13">
        <f>'Operating Case'!M$119</f>
        <v>7934863.0784675768</v>
      </c>
      <c r="N123" s="13">
        <f>'Operating Case'!N$119</f>
        <v>7306313.228928823</v>
      </c>
      <c r="O123" s="2"/>
    </row>
    <row r="124" spans="1:15" ht="15" customHeight="1" x14ac:dyDescent="0.3">
      <c r="A124" s="6" t="s">
        <v>1334</v>
      </c>
      <c r="B124" s="6" t="s">
        <v>218</v>
      </c>
      <c r="C124" s="6" t="s">
        <v>211</v>
      </c>
      <c r="D124" s="13">
        <f>'Operating Case'!D$119+'Operating Case'!D$124+'Operating Case'!D$126</f>
        <v>-632083.3490678051</v>
      </c>
      <c r="E124" s="13">
        <f>'Operating Case'!E$119+'Operating Case'!E$124+'Operating Case'!E$126</f>
        <v>-376461.12646194478</v>
      </c>
      <c r="F124" s="13">
        <f>'Operating Case'!F$119+'Operating Case'!F$124+'Operating Case'!F$126</f>
        <v>674626.65655780165</v>
      </c>
      <c r="G124" s="13">
        <f>'Operating Case'!G$119+'Operating Case'!G$124+'Operating Case'!G$126</f>
        <v>1911726.2039988751</v>
      </c>
      <c r="H124" s="13">
        <f>'Operating Case'!H$119+'Operating Case'!H$124+'Operating Case'!H$126</f>
        <v>3887373.0637424411</v>
      </c>
      <c r="I124" s="13">
        <f>'Operating Case'!I$119+'Operating Case'!I$124+'Operating Case'!I$126</f>
        <v>5028385.414919734</v>
      </c>
      <c r="J124" s="13">
        <f>'Operating Case'!J$119+'Operating Case'!J$124+'Operating Case'!J$126</f>
        <v>5902516.5871968726</v>
      </c>
      <c r="K124" s="13">
        <f>'Operating Case'!K$119+'Operating Case'!K$124+'Operating Case'!K$126</f>
        <v>6559162.51442964</v>
      </c>
      <c r="L124" s="13">
        <f>'Operating Case'!L$119+'Operating Case'!L$124+'Operating Case'!L$126</f>
        <v>7331451.2773561571</v>
      </c>
      <c r="M124" s="13">
        <f>'Operating Case'!M$119+'Operating Case'!M$124+'Operating Case'!M$126</f>
        <v>6834863.0784675768</v>
      </c>
      <c r="N124" s="13">
        <f>'Operating Case'!N$119+'Operating Case'!N$124+'Operating Case'!N$126</f>
        <v>6206313.228928823</v>
      </c>
      <c r="O124" s="2"/>
    </row>
    <row r="125" spans="1:15" ht="15" customHeight="1" x14ac:dyDescent="0.3">
      <c r="A125" s="6" t="s">
        <v>755</v>
      </c>
      <c r="B125" s="6" t="s">
        <v>218</v>
      </c>
      <c r="C125" s="6" t="s">
        <v>245</v>
      </c>
      <c r="D125" s="13">
        <f>'Acquisition Schedule'!F$26</f>
        <v>6000000</v>
      </c>
      <c r="E125" s="13">
        <f>'Acquisition Schedule'!G$26</f>
        <v>3000000</v>
      </c>
      <c r="F125" s="13">
        <f>'Acquisition Schedule'!H$26</f>
        <v>3000000</v>
      </c>
      <c r="G125" s="13">
        <f>'Acquisition Schedule'!I$26</f>
        <v>10500000</v>
      </c>
      <c r="H125" s="13">
        <f>'Acquisition Schedule'!J$26</f>
        <v>3000000</v>
      </c>
      <c r="I125" s="13">
        <f>'Acquisition Schedule'!K$26</f>
        <v>3000000</v>
      </c>
      <c r="J125" s="13">
        <f>'Acquisition Schedule'!L$26</f>
        <v>3000000</v>
      </c>
      <c r="K125" s="13">
        <f>'Acquisition Schedule'!M$26</f>
        <v>3000000</v>
      </c>
      <c r="L125" s="13">
        <f>'Acquisition Schedule'!N$26</f>
        <v>0</v>
      </c>
      <c r="M125" s="13">
        <f>'Acquisition Schedule'!O$26</f>
        <v>0</v>
      </c>
      <c r="N125" s="13">
        <f>'Acquisition Schedule'!P$26</f>
        <v>0</v>
      </c>
      <c r="O125" s="2"/>
    </row>
    <row r="126" spans="1:15" ht="15" customHeight="1" x14ac:dyDescent="0.3">
      <c r="A126" s="6" t="s">
        <v>1335</v>
      </c>
      <c r="B126" s="6" t="s">
        <v>218</v>
      </c>
      <c r="C126" s="6" t="s">
        <v>245</v>
      </c>
      <c r="D126" s="13">
        <f>'Acquisition Schedule'!F$27</f>
        <v>2100000</v>
      </c>
      <c r="E126" s="13">
        <f>'Acquisition Schedule'!G$27</f>
        <v>1050000</v>
      </c>
      <c r="F126" s="13">
        <f>'Acquisition Schedule'!H$27</f>
        <v>1050000</v>
      </c>
      <c r="G126" s="13">
        <f>'Acquisition Schedule'!I$27</f>
        <v>3675000</v>
      </c>
      <c r="H126" s="13">
        <f>'Acquisition Schedule'!J$27</f>
        <v>1050000</v>
      </c>
      <c r="I126" s="13">
        <f>'Acquisition Schedule'!K$27</f>
        <v>1050000</v>
      </c>
      <c r="J126" s="13">
        <f>'Acquisition Schedule'!L$27</f>
        <v>1050000</v>
      </c>
      <c r="K126" s="13">
        <f>'Acquisition Schedule'!M$27</f>
        <v>1050000</v>
      </c>
      <c r="L126" s="13">
        <f>'Acquisition Schedule'!N$27</f>
        <v>0</v>
      </c>
      <c r="M126" s="13">
        <f>'Acquisition Schedule'!O$27</f>
        <v>0</v>
      </c>
      <c r="N126" s="13">
        <f>'Acquisition Schedule'!P$27</f>
        <v>0</v>
      </c>
      <c r="O126" s="2"/>
    </row>
    <row r="127" spans="1:15" ht="15" customHeight="1" x14ac:dyDescent="0.3">
      <c r="A127" s="6" t="s">
        <v>1336</v>
      </c>
      <c r="B127" s="6" t="s">
        <v>218</v>
      </c>
      <c r="C127" s="6" t="s">
        <v>222</v>
      </c>
      <c r="D127" s="13">
        <f>MAX(0,'Acquisition Schedule'!F$20*INDEX(Assumptions!$D$93:$F$93,1,3))</f>
        <v>3150000</v>
      </c>
      <c r="E127" s="13">
        <f>MAX(0,E123*INDEX(Assumptions!$D$93:$F$93,1,3)-D144)</f>
        <v>0</v>
      </c>
      <c r="F127" s="13">
        <f>MAX(0,F123*INDEX(Assumptions!$D$93:$F$93,1,3)-E144)</f>
        <v>3645541.1681570751</v>
      </c>
      <c r="G127" s="13">
        <f>MAX(0,G123*INDEX(Assumptions!$D$93:$F$93,1,3)-F144)</f>
        <v>7608990.6077709552</v>
      </c>
      <c r="H127" s="13">
        <f>MAX(0,H123*INDEX(Assumptions!$D$93:$F$93,1,3)-G144)</f>
        <v>11167104.271599762</v>
      </c>
      <c r="I127" s="13">
        <f>MAX(0,I123*INDEX(Assumptions!$D$93:$F$93,1,3)-H144)</f>
        <v>14622230.137240592</v>
      </c>
      <c r="J127" s="13">
        <f>MAX(0,J123*INDEX(Assumptions!$D$93:$F$93,1,3)-I144)</f>
        <v>16387927.249670148</v>
      </c>
      <c r="K127" s="13">
        <f>MAX(0,K123*INDEX(Assumptions!$D$93:$F$93,1,3)-J144)</f>
        <v>18088861.920453366</v>
      </c>
      <c r="L127" s="13">
        <f>MAX(0,L123*INDEX(Assumptions!$D$93:$F$93,1,3)-K144)</f>
        <v>20259071.523671895</v>
      </c>
      <c r="M127" s="13">
        <f>MAX(0,M123*INDEX(Assumptions!$D$93:$F$93,1,3)-L144)</f>
        <v>19587318.697172865</v>
      </c>
      <c r="N127" s="13">
        <f>MAX(0,N123*INDEX(Assumptions!$D$93:$F$93,1,3)-M144)</f>
        <v>18499886.671125792</v>
      </c>
      <c r="O127" s="2"/>
    </row>
    <row r="128" spans="1:15" ht="15" customHeight="1" x14ac:dyDescent="0.3">
      <c r="A128" s="6" t="s">
        <v>1337</v>
      </c>
      <c r="B128" s="6" t="s">
        <v>218</v>
      </c>
      <c r="C128" s="6" t="s">
        <v>222</v>
      </c>
      <c r="D128" s="13">
        <f>MAX(0,D124/INDEX(Assumptions!$D$94:$F$94,1,3))</f>
        <v>0</v>
      </c>
      <c r="E128" s="13">
        <f>MAX(0,E124/INDEX(Assumptions!$D$94:$F$94,1,3))</f>
        <v>0</v>
      </c>
      <c r="F128" s="13">
        <f>MAX(0,F124/INDEX(Assumptions!$D$94:$F$94,1,3))</f>
        <v>571717.50555745908</v>
      </c>
      <c r="G128" s="13">
        <f>MAX(0,G124/INDEX(Assumptions!$D$94:$F$94,1,3))</f>
        <v>1620106.9525414198</v>
      </c>
      <c r="H128" s="13">
        <f>MAX(0,H124/INDEX(Assumptions!$D$94:$F$94,1,3))</f>
        <v>3294383.9523241026</v>
      </c>
      <c r="I128" s="13">
        <f>MAX(0,I124/INDEX(Assumptions!$D$94:$F$94,1,3))</f>
        <v>4261343.571965876</v>
      </c>
      <c r="J128" s="13">
        <f>MAX(0,J124/INDEX(Assumptions!$D$94:$F$94,1,3))</f>
        <v>5002132.7010142989</v>
      </c>
      <c r="K128" s="13">
        <f>MAX(0,K124/INDEX(Assumptions!$D$94:$F$94,1,3))</f>
        <v>5558612.3003641022</v>
      </c>
      <c r="L128" s="13">
        <f>MAX(0,L124/INDEX(Assumptions!$D$94:$F$94,1,3))</f>
        <v>6213094.3028442012</v>
      </c>
      <c r="M128" s="13">
        <f>MAX(0,M124/INDEX(Assumptions!$D$94:$F$94,1,3))</f>
        <v>5792256.8461589636</v>
      </c>
      <c r="N128" s="13">
        <f>MAX(0,N124/INDEX(Assumptions!$D$94:$F$94,1,3))</f>
        <v>5259587.4821430705</v>
      </c>
      <c r="O128" s="2"/>
    </row>
    <row r="129" spans="1:15" ht="15" customHeight="1" x14ac:dyDescent="0.3">
      <c r="A129" s="6" t="s">
        <v>1338</v>
      </c>
      <c r="B129" s="6" t="s">
        <v>218</v>
      </c>
      <c r="C129" s="6" t="s">
        <v>222</v>
      </c>
      <c r="D129" s="63">
        <f>0</f>
        <v>0</v>
      </c>
      <c r="E129" s="13">
        <f>D144*(INDEX(Assumptions!$D$96:$F$96,1,3)+INDEX(Assumptions!$D$97:$F$97,1,3))</f>
        <v>0</v>
      </c>
      <c r="F129" s="13">
        <f>E144*(INDEX(Assumptions!$D$96:$F$96,1,3)+INDEX(Assumptions!$D$97:$F$97,1,3))</f>
        <v>0</v>
      </c>
      <c r="G129" s="13">
        <f>F144*(INDEX(Assumptions!$D$96:$F$96,1,3)+INDEX(Assumptions!$D$97:$F$97,1,3))</f>
        <v>196350</v>
      </c>
      <c r="H129" s="13">
        <f>G144*(INDEX(Assumptions!$D$96:$F$96,1,3)+INDEX(Assumptions!$D$97:$F$97,1,3))</f>
        <v>863940</v>
      </c>
      <c r="I129" s="13">
        <f>H144*(INDEX(Assumptions!$D$96:$F$96,1,3)+INDEX(Assumptions!$D$97:$F$97,1,3))</f>
        <v>971932.5</v>
      </c>
      <c r="J129" s="13">
        <f>I144*(INDEX(Assumptions!$D$96:$F$96,1,3)+INDEX(Assumptions!$D$97:$F$97,1,3))</f>
        <v>1060290</v>
      </c>
      <c r="K129" s="13">
        <f>J144*(INDEX(Assumptions!$D$96:$F$96,1,3)+INDEX(Assumptions!$D$97:$F$97,1,3))</f>
        <v>1129012.5</v>
      </c>
      <c r="L129" s="13">
        <f>K144*(INDEX(Assumptions!$D$96:$F$96,1,3)+INDEX(Assumptions!$D$97:$F$97,1,3))</f>
        <v>1178100</v>
      </c>
      <c r="M129" s="13">
        <f>L144*(INDEX(Assumptions!$D$96:$F$96,1,3)+INDEX(Assumptions!$D$97:$F$97,1,3))</f>
        <v>1011202.5</v>
      </c>
      <c r="N129" s="13">
        <f>M144*(INDEX(Assumptions!$D$96:$F$96,1,3)+INDEX(Assumptions!$D$97:$F$97,1,3))</f>
        <v>844305</v>
      </c>
      <c r="O129" s="2"/>
    </row>
    <row r="130" spans="1:15" ht="15" customHeight="1" x14ac:dyDescent="0.3">
      <c r="A130" s="6" t="s">
        <v>1339</v>
      </c>
      <c r="B130" s="6" t="s">
        <v>218</v>
      </c>
      <c r="C130" s="6" t="s">
        <v>222</v>
      </c>
      <c r="D130" s="13">
        <f>MAX(0,(D128-D129)/(INDEX(Assumptions!$D$96:$F$96,1,3)+INDEX(Assumptions!$D$97:$F$97,1,3)))</f>
        <v>0</v>
      </c>
      <c r="E130" s="13">
        <f>MAX(0,(E128-E129)/(INDEX(Assumptions!$D$96:$F$96,1,3)+INDEX(Assumptions!$D$97:$F$97,1,3)))</f>
        <v>0</v>
      </c>
      <c r="F130" s="13">
        <f>MAX(0,(F128-F129)/(INDEX(Assumptions!$D$96:$F$96,1,3)+INDEX(Assumptions!$D$97:$F$97,1,3)))</f>
        <v>3057312.8639436313</v>
      </c>
      <c r="G130" s="13">
        <f>MAX(0,(G128-G129)/(INDEX(Assumptions!$D$96:$F$96,1,3)+INDEX(Assumptions!$D$97:$F$97,1,3)))</f>
        <v>7613673.543002245</v>
      </c>
      <c r="H130" s="13">
        <f>MAX(0,(H128-H129)/(INDEX(Assumptions!$D$96:$F$96,1,3)+INDEX(Assumptions!$D$97:$F$97,1,3)))</f>
        <v>12997026.483016592</v>
      </c>
      <c r="I130" s="13">
        <f>MAX(0,(I128-I129)/(INDEX(Assumptions!$D$96:$F$96,1,3)+INDEX(Assumptions!$D$97:$F$97,1,3)))</f>
        <v>17590433.539924473</v>
      </c>
      <c r="J130" s="13">
        <f>MAX(0,(J128-J129)/(INDEX(Assumptions!$D$96:$F$96,1,3)+INDEX(Assumptions!$D$97:$F$97,1,3)))</f>
        <v>21079372.732696787</v>
      </c>
      <c r="K130" s="13">
        <f>MAX(0,(K128-K129)/(INDEX(Assumptions!$D$96:$F$96,1,3)+INDEX(Assumptions!$D$97:$F$97,1,3)))</f>
        <v>23687699.467187714</v>
      </c>
      <c r="L130" s="13">
        <f>MAX(0,(L128-L129)/(INDEX(Assumptions!$D$96:$F$96,1,3)+INDEX(Assumptions!$D$97:$F$97,1,3)))</f>
        <v>26925103.223765783</v>
      </c>
      <c r="M130" s="13">
        <f>MAX(0,(M128-M129)/(INDEX(Assumptions!$D$96:$F$96,1,3)+INDEX(Assumptions!$D$97:$F$97,1,3)))</f>
        <v>25567135.540957026</v>
      </c>
      <c r="N130" s="13">
        <f>MAX(0,(N128-N129)/(INDEX(Assumptions!$D$96:$F$96,1,3)+INDEX(Assumptions!$D$97:$F$97,1,3)))</f>
        <v>23611136.268144764</v>
      </c>
      <c r="O130" s="2"/>
    </row>
    <row r="131" spans="1:15" ht="15" customHeight="1" x14ac:dyDescent="0.3">
      <c r="A131" s="1" t="s">
        <v>1340</v>
      </c>
      <c r="B131" s="6" t="s">
        <v>218</v>
      </c>
      <c r="C131" s="6" t="s">
        <v>211</v>
      </c>
      <c r="D131" s="40">
        <f t="shared" ref="D131:N131" si="32">MIN(D126,MAX(0,D127),MAX(0,D130))</f>
        <v>0</v>
      </c>
      <c r="E131" s="40">
        <f t="shared" si="32"/>
        <v>0</v>
      </c>
      <c r="F131" s="40">
        <f t="shared" si="32"/>
        <v>1050000</v>
      </c>
      <c r="G131" s="40">
        <f t="shared" si="32"/>
        <v>3675000</v>
      </c>
      <c r="H131" s="40">
        <f t="shared" si="32"/>
        <v>1050000</v>
      </c>
      <c r="I131" s="40">
        <f t="shared" si="32"/>
        <v>1050000</v>
      </c>
      <c r="J131" s="40">
        <f t="shared" si="32"/>
        <v>1050000</v>
      </c>
      <c r="K131" s="40">
        <f t="shared" si="32"/>
        <v>1050000</v>
      </c>
      <c r="L131" s="40">
        <f t="shared" si="32"/>
        <v>0</v>
      </c>
      <c r="M131" s="40">
        <f t="shared" si="32"/>
        <v>0</v>
      </c>
      <c r="N131" s="40">
        <f t="shared" si="32"/>
        <v>0</v>
      </c>
      <c r="O131" s="2"/>
    </row>
    <row r="132" spans="1:15" ht="15" customHeight="1" x14ac:dyDescent="0.3">
      <c r="A132" s="6" t="s">
        <v>1341</v>
      </c>
      <c r="B132" s="6" t="s">
        <v>218</v>
      </c>
      <c r="C132" s="6" t="s">
        <v>211</v>
      </c>
      <c r="D132" s="63">
        <f t="shared" ref="D132:N132" si="33">D126-D131</f>
        <v>2100000</v>
      </c>
      <c r="E132" s="63">
        <f t="shared" si="33"/>
        <v>1050000</v>
      </c>
      <c r="F132" s="63">
        <f t="shared" si="33"/>
        <v>0</v>
      </c>
      <c r="G132" s="63">
        <f t="shared" si="33"/>
        <v>0</v>
      </c>
      <c r="H132" s="63">
        <f t="shared" si="33"/>
        <v>0</v>
      </c>
      <c r="I132" s="63">
        <f t="shared" si="33"/>
        <v>0</v>
      </c>
      <c r="J132" s="63">
        <f t="shared" si="33"/>
        <v>0</v>
      </c>
      <c r="K132" s="63">
        <f t="shared" si="33"/>
        <v>0</v>
      </c>
      <c r="L132" s="63">
        <f t="shared" si="33"/>
        <v>0</v>
      </c>
      <c r="M132" s="63">
        <f t="shared" si="33"/>
        <v>0</v>
      </c>
      <c r="N132" s="63">
        <f t="shared" si="33"/>
        <v>0</v>
      </c>
      <c r="O132" s="2"/>
    </row>
    <row r="133" spans="1:15" ht="15" customHeight="1" x14ac:dyDescent="0.3">
      <c r="A133" s="6" t="s">
        <v>1342</v>
      </c>
      <c r="B133" s="6" t="s">
        <v>218</v>
      </c>
      <c r="C133" s="6" t="s">
        <v>211</v>
      </c>
      <c r="D133" s="63">
        <f>D131</f>
        <v>0</v>
      </c>
      <c r="E133" s="13">
        <f>MAX(0,$D$131*(1-INDEX(Assumptions!$D$97:$F$97,1,3)*1))</f>
        <v>0</v>
      </c>
      <c r="F133" s="13">
        <f>MAX(0,$D$131*(1-INDEX(Assumptions!$D$97:$F$97,1,3)*2))</f>
        <v>0</v>
      </c>
      <c r="G133" s="13">
        <f>MAX(0,$D$131*(1-INDEX(Assumptions!$D$97:$F$97,1,3)*3))</f>
        <v>0</v>
      </c>
      <c r="H133" s="13">
        <f>MAX(0,$D$131*(1-INDEX(Assumptions!$D$97:$F$97,1,3)*4))</f>
        <v>0</v>
      </c>
      <c r="I133" s="13">
        <f>MAX(0,$D$131*(1-INDEX(Assumptions!$D$97:$F$97,1,3)*5))</f>
        <v>0</v>
      </c>
      <c r="J133" s="13">
        <f>MAX(0,$D$131*(1-INDEX(Assumptions!$D$97:$F$97,1,3)*6))</f>
        <v>0</v>
      </c>
      <c r="K133" s="13">
        <f>MAX(0,$D$131*(1-INDEX(Assumptions!$D$97:$F$97,1,3)*7))</f>
        <v>0</v>
      </c>
      <c r="L133" s="13">
        <f>MAX(0,$D$131*(1-INDEX(Assumptions!$D$97:$F$97,1,3)*8))</f>
        <v>0</v>
      </c>
      <c r="M133" s="13">
        <f>MAX(0,$D$131*(1-INDEX(Assumptions!$D$97:$F$97,1,3)*9))</f>
        <v>0</v>
      </c>
      <c r="N133" s="13">
        <f>MAX(0,$D$131*(1-INDEX(Assumptions!$D$97:$F$97,1,3)*10))</f>
        <v>0</v>
      </c>
      <c r="O133" s="2"/>
    </row>
    <row r="134" spans="1:15" ht="15" customHeight="1" x14ac:dyDescent="0.3">
      <c r="A134" s="6" t="s">
        <v>1343</v>
      </c>
      <c r="B134" s="6" t="s">
        <v>218</v>
      </c>
      <c r="C134" s="6" t="s">
        <v>211</v>
      </c>
      <c r="D134" s="63">
        <f>0</f>
        <v>0</v>
      </c>
      <c r="E134" s="63">
        <f>E131</f>
        <v>0</v>
      </c>
      <c r="F134" s="13">
        <f>MAX(0,$E$131*(1-INDEX(Assumptions!$D$97:$F$97,1,3)*1))</f>
        <v>0</v>
      </c>
      <c r="G134" s="13">
        <f>MAX(0,$E$131*(1-INDEX(Assumptions!$D$97:$F$97,1,3)*2))</f>
        <v>0</v>
      </c>
      <c r="H134" s="13">
        <f>MAX(0,$E$131*(1-INDEX(Assumptions!$D$97:$F$97,1,3)*3))</f>
        <v>0</v>
      </c>
      <c r="I134" s="13">
        <f>MAX(0,$E$131*(1-INDEX(Assumptions!$D$97:$F$97,1,3)*4))</f>
        <v>0</v>
      </c>
      <c r="J134" s="13">
        <f>MAX(0,$E$131*(1-INDEX(Assumptions!$D$97:$F$97,1,3)*5))</f>
        <v>0</v>
      </c>
      <c r="K134" s="13">
        <f>MAX(0,$E$131*(1-INDEX(Assumptions!$D$97:$F$97,1,3)*6))</f>
        <v>0</v>
      </c>
      <c r="L134" s="13">
        <f>MAX(0,$E$131*(1-INDEX(Assumptions!$D$97:$F$97,1,3)*7))</f>
        <v>0</v>
      </c>
      <c r="M134" s="13">
        <f>MAX(0,$E$131*(1-INDEX(Assumptions!$D$97:$F$97,1,3)*8))</f>
        <v>0</v>
      </c>
      <c r="N134" s="13">
        <f>MAX(0,$E$131*(1-INDEX(Assumptions!$D$97:$F$97,1,3)*9))</f>
        <v>0</v>
      </c>
      <c r="O134" s="2"/>
    </row>
    <row r="135" spans="1:15" ht="15" customHeight="1" x14ac:dyDescent="0.3">
      <c r="A135" s="6" t="s">
        <v>1344</v>
      </c>
      <c r="B135" s="6" t="s">
        <v>218</v>
      </c>
      <c r="C135" s="6" t="s">
        <v>211</v>
      </c>
      <c r="D135" s="63">
        <f>0</f>
        <v>0</v>
      </c>
      <c r="E135" s="63">
        <f>0</f>
        <v>0</v>
      </c>
      <c r="F135" s="63">
        <f>F131</f>
        <v>1050000</v>
      </c>
      <c r="G135" s="13">
        <f>MAX(0,$F$131*(1-INDEX(Assumptions!$D$97:$F$97,1,3)*1))</f>
        <v>945000</v>
      </c>
      <c r="H135" s="13">
        <f>MAX(0,$F$131*(1-INDEX(Assumptions!$D$97:$F$97,1,3)*2))</f>
        <v>840000</v>
      </c>
      <c r="I135" s="13">
        <f>MAX(0,$F$131*(1-INDEX(Assumptions!$D$97:$F$97,1,3)*3))</f>
        <v>735000</v>
      </c>
      <c r="J135" s="13">
        <f>MAX(0,$F$131*(1-INDEX(Assumptions!$D$97:$F$97,1,3)*4))</f>
        <v>630000</v>
      </c>
      <c r="K135" s="13">
        <f>MAX(0,$F$131*(1-INDEX(Assumptions!$D$97:$F$97,1,3)*5))</f>
        <v>525000</v>
      </c>
      <c r="L135" s="13">
        <f>MAX(0,$F$131*(1-INDEX(Assumptions!$D$97:$F$97,1,3)*6))</f>
        <v>419999.99999999988</v>
      </c>
      <c r="M135" s="13">
        <f>MAX(0,$F$131*(1-INDEX(Assumptions!$D$97:$F$97,1,3)*7))</f>
        <v>314999.99999999994</v>
      </c>
      <c r="N135" s="13">
        <f>MAX(0,$F$131*(1-INDEX(Assumptions!$D$97:$F$97,1,3)*8))</f>
        <v>209999.99999999994</v>
      </c>
      <c r="O135" s="2"/>
    </row>
    <row r="136" spans="1:15" ht="15" customHeight="1" x14ac:dyDescent="0.3">
      <c r="A136" s="6" t="s">
        <v>1345</v>
      </c>
      <c r="B136" s="6" t="s">
        <v>218</v>
      </c>
      <c r="C136" s="6" t="s">
        <v>211</v>
      </c>
      <c r="D136" s="63">
        <f>0</f>
        <v>0</v>
      </c>
      <c r="E136" s="63">
        <f>0</f>
        <v>0</v>
      </c>
      <c r="F136" s="63">
        <f>0</f>
        <v>0</v>
      </c>
      <c r="G136" s="63">
        <f>G131</f>
        <v>3675000</v>
      </c>
      <c r="H136" s="13">
        <f>MAX(0,$G$131*(1-INDEX(Assumptions!$D$97:$F$97,1,3)*1))</f>
        <v>3307500</v>
      </c>
      <c r="I136" s="13">
        <f>MAX(0,$G$131*(1-INDEX(Assumptions!$D$97:$F$97,1,3)*2))</f>
        <v>2940000</v>
      </c>
      <c r="J136" s="13">
        <f>MAX(0,$G$131*(1-INDEX(Assumptions!$D$97:$F$97,1,3)*3))</f>
        <v>2572500</v>
      </c>
      <c r="K136" s="13">
        <f>MAX(0,$G$131*(1-INDEX(Assumptions!$D$97:$F$97,1,3)*4))</f>
        <v>2205000</v>
      </c>
      <c r="L136" s="13">
        <f>MAX(0,$G$131*(1-INDEX(Assumptions!$D$97:$F$97,1,3)*5))</f>
        <v>1837500</v>
      </c>
      <c r="M136" s="13">
        <f>MAX(0,$G$131*(1-INDEX(Assumptions!$D$97:$F$97,1,3)*6))</f>
        <v>1469999.9999999998</v>
      </c>
      <c r="N136" s="13">
        <f>MAX(0,$G$131*(1-INDEX(Assumptions!$D$97:$F$97,1,3)*7))</f>
        <v>1102499.9999999998</v>
      </c>
      <c r="O136" s="2"/>
    </row>
    <row r="137" spans="1:15" ht="15" customHeight="1" x14ac:dyDescent="0.3">
      <c r="A137" s="6" t="s">
        <v>1346</v>
      </c>
      <c r="B137" s="6" t="s">
        <v>218</v>
      </c>
      <c r="C137" s="6" t="s">
        <v>211</v>
      </c>
      <c r="D137" s="63">
        <f>0</f>
        <v>0</v>
      </c>
      <c r="E137" s="63">
        <f>0</f>
        <v>0</v>
      </c>
      <c r="F137" s="63">
        <f>0</f>
        <v>0</v>
      </c>
      <c r="G137" s="63">
        <f>0</f>
        <v>0</v>
      </c>
      <c r="H137" s="63">
        <f>H131</f>
        <v>1050000</v>
      </c>
      <c r="I137" s="13">
        <f>MAX(0,$H$131*(1-INDEX(Assumptions!$D$97:$F$97,1,3)*1))</f>
        <v>945000</v>
      </c>
      <c r="J137" s="13">
        <f>MAX(0,$H$131*(1-INDEX(Assumptions!$D$97:$F$97,1,3)*2))</f>
        <v>840000</v>
      </c>
      <c r="K137" s="13">
        <f>MAX(0,$H$131*(1-INDEX(Assumptions!$D$97:$F$97,1,3)*3))</f>
        <v>735000</v>
      </c>
      <c r="L137" s="13">
        <f>MAX(0,$H$131*(1-INDEX(Assumptions!$D$97:$F$97,1,3)*4))</f>
        <v>630000</v>
      </c>
      <c r="M137" s="13">
        <f>MAX(0,$H$131*(1-INDEX(Assumptions!$D$97:$F$97,1,3)*5))</f>
        <v>525000</v>
      </c>
      <c r="N137" s="13">
        <f>MAX(0,$H$131*(1-INDEX(Assumptions!$D$97:$F$97,1,3)*6))</f>
        <v>419999.99999999988</v>
      </c>
      <c r="O137" s="2"/>
    </row>
    <row r="138" spans="1:15" ht="15" customHeight="1" x14ac:dyDescent="0.3">
      <c r="A138" s="6" t="s">
        <v>1347</v>
      </c>
      <c r="B138" s="6" t="s">
        <v>218</v>
      </c>
      <c r="C138" s="6" t="s">
        <v>211</v>
      </c>
      <c r="D138" s="63">
        <f>0</f>
        <v>0</v>
      </c>
      <c r="E138" s="63">
        <f>0</f>
        <v>0</v>
      </c>
      <c r="F138" s="63">
        <f>0</f>
        <v>0</v>
      </c>
      <c r="G138" s="63">
        <f>0</f>
        <v>0</v>
      </c>
      <c r="H138" s="63">
        <f>0</f>
        <v>0</v>
      </c>
      <c r="I138" s="63">
        <f>I131</f>
        <v>1050000</v>
      </c>
      <c r="J138" s="13">
        <f>MAX(0,$I$131*(1-INDEX(Assumptions!$D$97:$F$97,1,3)*1))</f>
        <v>945000</v>
      </c>
      <c r="K138" s="13">
        <f>MAX(0,$I$131*(1-INDEX(Assumptions!$D$97:$F$97,1,3)*2))</f>
        <v>840000</v>
      </c>
      <c r="L138" s="13">
        <f>MAX(0,$I$131*(1-INDEX(Assumptions!$D$97:$F$97,1,3)*3))</f>
        <v>735000</v>
      </c>
      <c r="M138" s="13">
        <f>MAX(0,$I$131*(1-INDEX(Assumptions!$D$97:$F$97,1,3)*4))</f>
        <v>630000</v>
      </c>
      <c r="N138" s="13">
        <f>MAX(0,$I$131*(1-INDEX(Assumptions!$D$97:$F$97,1,3)*5))</f>
        <v>525000</v>
      </c>
      <c r="O138" s="2"/>
    </row>
    <row r="139" spans="1:15" ht="15" customHeight="1" x14ac:dyDescent="0.3">
      <c r="A139" s="6" t="s">
        <v>1348</v>
      </c>
      <c r="B139" s="6" t="s">
        <v>218</v>
      </c>
      <c r="C139" s="6" t="s">
        <v>211</v>
      </c>
      <c r="D139" s="63">
        <f>0</f>
        <v>0</v>
      </c>
      <c r="E139" s="63">
        <f>0</f>
        <v>0</v>
      </c>
      <c r="F139" s="63">
        <f>0</f>
        <v>0</v>
      </c>
      <c r="G139" s="63">
        <f>0</f>
        <v>0</v>
      </c>
      <c r="H139" s="63">
        <f>0</f>
        <v>0</v>
      </c>
      <c r="I139" s="63">
        <f>0</f>
        <v>0</v>
      </c>
      <c r="J139" s="63">
        <f>J131</f>
        <v>1050000</v>
      </c>
      <c r="K139" s="13">
        <f>MAX(0,$J$131*(1-INDEX(Assumptions!$D$97:$F$97,1,3)*1))</f>
        <v>945000</v>
      </c>
      <c r="L139" s="13">
        <f>MAX(0,$J$131*(1-INDEX(Assumptions!$D$97:$F$97,1,3)*2))</f>
        <v>840000</v>
      </c>
      <c r="M139" s="13">
        <f>MAX(0,$J$131*(1-INDEX(Assumptions!$D$97:$F$97,1,3)*3))</f>
        <v>735000</v>
      </c>
      <c r="N139" s="13">
        <f>MAX(0,$J$131*(1-INDEX(Assumptions!$D$97:$F$97,1,3)*4))</f>
        <v>630000</v>
      </c>
      <c r="O139" s="2"/>
    </row>
    <row r="140" spans="1:15" ht="15" customHeight="1" x14ac:dyDescent="0.3">
      <c r="A140" s="6" t="s">
        <v>1349</v>
      </c>
      <c r="B140" s="6" t="s">
        <v>218</v>
      </c>
      <c r="C140" s="6" t="s">
        <v>211</v>
      </c>
      <c r="D140" s="63">
        <f>0</f>
        <v>0</v>
      </c>
      <c r="E140" s="63">
        <f>0</f>
        <v>0</v>
      </c>
      <c r="F140" s="63">
        <f>0</f>
        <v>0</v>
      </c>
      <c r="G140" s="63">
        <f>0</f>
        <v>0</v>
      </c>
      <c r="H140" s="63">
        <f>0</f>
        <v>0</v>
      </c>
      <c r="I140" s="63">
        <f>0</f>
        <v>0</v>
      </c>
      <c r="J140" s="63">
        <f>0</f>
        <v>0</v>
      </c>
      <c r="K140" s="63">
        <f>K131</f>
        <v>1050000</v>
      </c>
      <c r="L140" s="13">
        <f>MAX(0,$K$131*(1-INDEX(Assumptions!$D$97:$F$97,1,3)*1))</f>
        <v>945000</v>
      </c>
      <c r="M140" s="13">
        <f>MAX(0,$K$131*(1-INDEX(Assumptions!$D$97:$F$97,1,3)*2))</f>
        <v>840000</v>
      </c>
      <c r="N140" s="13">
        <f>MAX(0,$K$131*(1-INDEX(Assumptions!$D$97:$F$97,1,3)*3))</f>
        <v>735000</v>
      </c>
      <c r="O140" s="2"/>
    </row>
    <row r="141" spans="1:15" ht="15" customHeight="1" x14ac:dyDescent="0.3">
      <c r="A141" s="6" t="s">
        <v>1350</v>
      </c>
      <c r="B141" s="6" t="s">
        <v>218</v>
      </c>
      <c r="C141" s="6" t="s">
        <v>211</v>
      </c>
      <c r="D141" s="63">
        <f>0</f>
        <v>0</v>
      </c>
      <c r="E141" s="63">
        <f>0</f>
        <v>0</v>
      </c>
      <c r="F141" s="63">
        <f>0</f>
        <v>0</v>
      </c>
      <c r="G141" s="63">
        <f>0</f>
        <v>0</v>
      </c>
      <c r="H141" s="63">
        <f>0</f>
        <v>0</v>
      </c>
      <c r="I141" s="63">
        <f>0</f>
        <v>0</v>
      </c>
      <c r="J141" s="63">
        <f>0</f>
        <v>0</v>
      </c>
      <c r="K141" s="63">
        <f>0</f>
        <v>0</v>
      </c>
      <c r="L141" s="63">
        <f>L131</f>
        <v>0</v>
      </c>
      <c r="M141" s="13">
        <f>MAX(0,$L$131*(1-INDEX(Assumptions!$D$97:$F$97,1,3)*1))</f>
        <v>0</v>
      </c>
      <c r="N141" s="13">
        <f>MAX(0,$L$131*(1-INDEX(Assumptions!$D$97:$F$97,1,3)*2))</f>
        <v>0</v>
      </c>
      <c r="O141" s="2"/>
    </row>
    <row r="142" spans="1:15" ht="15" customHeight="1" x14ac:dyDescent="0.3">
      <c r="A142" s="6" t="s">
        <v>1351</v>
      </c>
      <c r="B142" s="6" t="s">
        <v>218</v>
      </c>
      <c r="C142" s="6" t="s">
        <v>211</v>
      </c>
      <c r="D142" s="63">
        <f>0</f>
        <v>0</v>
      </c>
      <c r="E142" s="63">
        <f>0</f>
        <v>0</v>
      </c>
      <c r="F142" s="63">
        <f>0</f>
        <v>0</v>
      </c>
      <c r="G142" s="63">
        <f>0</f>
        <v>0</v>
      </c>
      <c r="H142" s="63">
        <f>0</f>
        <v>0</v>
      </c>
      <c r="I142" s="63">
        <f>0</f>
        <v>0</v>
      </c>
      <c r="J142" s="63">
        <f>0</f>
        <v>0</v>
      </c>
      <c r="K142" s="63">
        <f>0</f>
        <v>0</v>
      </c>
      <c r="L142" s="63">
        <f>0</f>
        <v>0</v>
      </c>
      <c r="M142" s="63">
        <f>M131</f>
        <v>0</v>
      </c>
      <c r="N142" s="13">
        <f>MAX(0,$M$131*(1-INDEX(Assumptions!$D$97:$F$97,1,3)*1))</f>
        <v>0</v>
      </c>
      <c r="O142" s="2"/>
    </row>
    <row r="143" spans="1:15" ht="15" customHeight="1" x14ac:dyDescent="0.3">
      <c r="A143" s="6" t="s">
        <v>1352</v>
      </c>
      <c r="B143" s="6" t="s">
        <v>218</v>
      </c>
      <c r="C143" s="6" t="s">
        <v>211</v>
      </c>
      <c r="D143" s="63">
        <f>0</f>
        <v>0</v>
      </c>
      <c r="E143" s="63">
        <f>0</f>
        <v>0</v>
      </c>
      <c r="F143" s="63">
        <f>0</f>
        <v>0</v>
      </c>
      <c r="G143" s="63">
        <f>0</f>
        <v>0</v>
      </c>
      <c r="H143" s="63">
        <f>0</f>
        <v>0</v>
      </c>
      <c r="I143" s="63">
        <f>0</f>
        <v>0</v>
      </c>
      <c r="J143" s="63">
        <f>0</f>
        <v>0</v>
      </c>
      <c r="K143" s="63">
        <f>0</f>
        <v>0</v>
      </c>
      <c r="L143" s="63">
        <f>0</f>
        <v>0</v>
      </c>
      <c r="M143" s="63">
        <f>0</f>
        <v>0</v>
      </c>
      <c r="N143" s="63">
        <f>N131</f>
        <v>0</v>
      </c>
      <c r="O143" s="2"/>
    </row>
    <row r="144" spans="1:15" ht="15" customHeight="1" x14ac:dyDescent="0.3">
      <c r="A144" s="1" t="s">
        <v>1353</v>
      </c>
      <c r="B144" s="6" t="s">
        <v>218</v>
      </c>
      <c r="C144" s="6" t="s">
        <v>211</v>
      </c>
      <c r="D144" s="40">
        <f t="shared" ref="D144:N144" si="34">SUM(D133:D143)</f>
        <v>0</v>
      </c>
      <c r="E144" s="40">
        <f t="shared" si="34"/>
        <v>0</v>
      </c>
      <c r="F144" s="40">
        <f t="shared" si="34"/>
        <v>1050000</v>
      </c>
      <c r="G144" s="40">
        <f t="shared" si="34"/>
        <v>4620000</v>
      </c>
      <c r="H144" s="40">
        <f t="shared" si="34"/>
        <v>5197500</v>
      </c>
      <c r="I144" s="40">
        <f t="shared" si="34"/>
        <v>5670000</v>
      </c>
      <c r="J144" s="40">
        <f t="shared" si="34"/>
        <v>6037500</v>
      </c>
      <c r="K144" s="40">
        <f t="shared" si="34"/>
        <v>6300000</v>
      </c>
      <c r="L144" s="40">
        <f t="shared" si="34"/>
        <v>5407500</v>
      </c>
      <c r="M144" s="40">
        <f t="shared" si="34"/>
        <v>4515000</v>
      </c>
      <c r="N144" s="40">
        <f t="shared" si="34"/>
        <v>3622499.9999999995</v>
      </c>
      <c r="O144" s="2"/>
    </row>
    <row r="145" spans="1:15" ht="15" customHeight="1" x14ac:dyDescent="0.3">
      <c r="A145" s="6" t="s">
        <v>1354</v>
      </c>
      <c r="B145" s="6" t="s">
        <v>218</v>
      </c>
      <c r="C145" s="6" t="s">
        <v>211</v>
      </c>
      <c r="D145" s="63">
        <f>0</f>
        <v>0</v>
      </c>
      <c r="E145" s="63">
        <f t="shared" ref="E145:N145" si="35">-MAX(0,D144+E131-E144)</f>
        <v>0</v>
      </c>
      <c r="F145" s="63">
        <f t="shared" si="35"/>
        <v>0</v>
      </c>
      <c r="G145" s="63">
        <f t="shared" si="35"/>
        <v>-105000</v>
      </c>
      <c r="H145" s="63">
        <f t="shared" si="35"/>
        <v>-472500</v>
      </c>
      <c r="I145" s="63">
        <f t="shared" si="35"/>
        <v>-577500</v>
      </c>
      <c r="J145" s="63">
        <f t="shared" si="35"/>
        <v>-682500</v>
      </c>
      <c r="K145" s="63">
        <f t="shared" si="35"/>
        <v>-787500</v>
      </c>
      <c r="L145" s="63">
        <f t="shared" si="35"/>
        <v>-892500</v>
      </c>
      <c r="M145" s="63">
        <f t="shared" si="35"/>
        <v>-892500</v>
      </c>
      <c r="N145" s="63">
        <f t="shared" si="35"/>
        <v>-892500.00000000047</v>
      </c>
      <c r="O145" s="2"/>
    </row>
    <row r="146" spans="1:15" ht="15" customHeight="1" x14ac:dyDescent="0.3">
      <c r="A146" s="6" t="s">
        <v>1355</v>
      </c>
      <c r="B146" s="6" t="s">
        <v>218</v>
      </c>
      <c r="C146" s="6" t="s">
        <v>222</v>
      </c>
      <c r="D146" s="63">
        <f>0</f>
        <v>0</v>
      </c>
      <c r="E146" s="13">
        <f>-(D144+E144)/2*INDEX(Assumptions!$D$96:$F$96,1,3)</f>
        <v>0</v>
      </c>
      <c r="F146" s="13">
        <f>-(E144+F144)/2*INDEX(Assumptions!$D$96:$F$96,1,3)</f>
        <v>-45675</v>
      </c>
      <c r="G146" s="13">
        <f>-(F144+G144)/2*INDEX(Assumptions!$D$96:$F$96,1,3)</f>
        <v>-246644.99999999997</v>
      </c>
      <c r="H146" s="13">
        <f>-(G144+H144)/2*INDEX(Assumptions!$D$96:$F$96,1,3)</f>
        <v>-427061.24999999994</v>
      </c>
      <c r="I146" s="13">
        <f>-(H144+I144)/2*INDEX(Assumptions!$D$96:$F$96,1,3)</f>
        <v>-472736.24999999994</v>
      </c>
      <c r="J146" s="13">
        <f>-(I144+J144)/2*INDEX(Assumptions!$D$96:$F$96,1,3)</f>
        <v>-509276.24999999994</v>
      </c>
      <c r="K146" s="13">
        <f>-(J144+K144)/2*INDEX(Assumptions!$D$96:$F$96,1,3)</f>
        <v>-536681.25</v>
      </c>
      <c r="L146" s="13">
        <f>-(K144+L144)/2*INDEX(Assumptions!$D$96:$F$96,1,3)</f>
        <v>-509276.24999999994</v>
      </c>
      <c r="M146" s="13">
        <f>-(L144+M144)/2*INDEX(Assumptions!$D$96:$F$96,1,3)</f>
        <v>-431628.74999999994</v>
      </c>
      <c r="N146" s="13">
        <f>-(M144+N144)/2*INDEX(Assumptions!$D$96:$F$96,1,3)</f>
        <v>-353981.25</v>
      </c>
      <c r="O146" s="2"/>
    </row>
    <row r="147" spans="1:15" ht="15" customHeight="1" x14ac:dyDescent="0.3">
      <c r="A147" s="6" t="s">
        <v>1356</v>
      </c>
      <c r="B147" s="6" t="s">
        <v>218</v>
      </c>
      <c r="C147" s="6" t="s">
        <v>211</v>
      </c>
      <c r="D147" s="13">
        <f>IF(0&gt;=INDEX(Assumptions!$D$100:$F$100,1,3),0,'Acquisition Schedule'!F$28)</f>
        <v>900000</v>
      </c>
      <c r="E147" s="13">
        <f>IF(1&gt;=INDEX(Assumptions!$D$100:$F$100,1,3),0,'Acquisition Schedule'!F$28)</f>
        <v>900000</v>
      </c>
      <c r="F147" s="13">
        <f>IF(2&gt;=INDEX(Assumptions!$D$100:$F$100,1,3),0,'Acquisition Schedule'!F$28)</f>
        <v>900000</v>
      </c>
      <c r="G147" s="13">
        <f>IF(3&gt;=INDEX(Assumptions!$D$100:$F$100,1,3),0,'Acquisition Schedule'!F$28)</f>
        <v>900000</v>
      </c>
      <c r="H147" s="13">
        <f>IF(4&gt;=INDEX(Assumptions!$D$100:$F$100,1,3),0,'Acquisition Schedule'!F$28)</f>
        <v>900000</v>
      </c>
      <c r="I147" s="13">
        <f>IF(5&gt;=INDEX(Assumptions!$D$100:$F$100,1,3),0,'Acquisition Schedule'!F$28)</f>
        <v>0</v>
      </c>
      <c r="J147" s="13">
        <f>IF(6&gt;=INDEX(Assumptions!$D$100:$F$100,1,3),0,'Acquisition Schedule'!F$28)</f>
        <v>0</v>
      </c>
      <c r="K147" s="13">
        <f>IF(7&gt;=INDEX(Assumptions!$D$100:$F$100,1,3),0,'Acquisition Schedule'!F$28)</f>
        <v>0</v>
      </c>
      <c r="L147" s="13">
        <f>IF(8&gt;=INDEX(Assumptions!$D$100:$F$100,1,3),0,'Acquisition Schedule'!F$28)</f>
        <v>0</v>
      </c>
      <c r="M147" s="13">
        <f>IF(9&gt;=INDEX(Assumptions!$D$100:$F$100,1,3),0,'Acquisition Schedule'!F$28)</f>
        <v>0</v>
      </c>
      <c r="N147" s="13">
        <f>IF(10&gt;=INDEX(Assumptions!$D$100:$F$100,1,3),0,'Acquisition Schedule'!F$28)</f>
        <v>0</v>
      </c>
      <c r="O147" s="2"/>
    </row>
    <row r="148" spans="1:15" ht="15" customHeight="1" x14ac:dyDescent="0.3">
      <c r="A148" s="6" t="s">
        <v>1357</v>
      </c>
      <c r="B148" s="6" t="s">
        <v>218</v>
      </c>
      <c r="C148" s="6" t="s">
        <v>211</v>
      </c>
      <c r="D148" s="63">
        <f>0</f>
        <v>0</v>
      </c>
      <c r="E148" s="13">
        <f>IF(0&gt;=INDEX(Assumptions!$D$100:$F$100,1,3),0,'Acquisition Schedule'!G$28)</f>
        <v>450000</v>
      </c>
      <c r="F148" s="13">
        <f>IF(1&gt;=INDEX(Assumptions!$D$100:$F$100,1,3),0,'Acquisition Schedule'!G$28)</f>
        <v>450000</v>
      </c>
      <c r="G148" s="13">
        <f>IF(2&gt;=INDEX(Assumptions!$D$100:$F$100,1,3),0,'Acquisition Schedule'!G$28)</f>
        <v>450000</v>
      </c>
      <c r="H148" s="13">
        <f>IF(3&gt;=INDEX(Assumptions!$D$100:$F$100,1,3),0,'Acquisition Schedule'!G$28)</f>
        <v>450000</v>
      </c>
      <c r="I148" s="13">
        <f>IF(4&gt;=INDEX(Assumptions!$D$100:$F$100,1,3),0,'Acquisition Schedule'!G$28)</f>
        <v>450000</v>
      </c>
      <c r="J148" s="13">
        <f>IF(5&gt;=INDEX(Assumptions!$D$100:$F$100,1,3),0,'Acquisition Schedule'!G$28)</f>
        <v>0</v>
      </c>
      <c r="K148" s="13">
        <f>IF(6&gt;=INDEX(Assumptions!$D$100:$F$100,1,3),0,'Acquisition Schedule'!G$28)</f>
        <v>0</v>
      </c>
      <c r="L148" s="13">
        <f>IF(7&gt;=INDEX(Assumptions!$D$100:$F$100,1,3),0,'Acquisition Schedule'!G$28)</f>
        <v>0</v>
      </c>
      <c r="M148" s="13">
        <f>IF(8&gt;=INDEX(Assumptions!$D$100:$F$100,1,3),0,'Acquisition Schedule'!G$28)</f>
        <v>0</v>
      </c>
      <c r="N148" s="13">
        <f>IF(9&gt;=INDEX(Assumptions!$D$100:$F$100,1,3),0,'Acquisition Schedule'!G$28)</f>
        <v>0</v>
      </c>
      <c r="O148" s="2"/>
    </row>
    <row r="149" spans="1:15" ht="15" customHeight="1" x14ac:dyDescent="0.3">
      <c r="A149" s="6" t="s">
        <v>1358</v>
      </c>
      <c r="B149" s="6" t="s">
        <v>218</v>
      </c>
      <c r="C149" s="6" t="s">
        <v>211</v>
      </c>
      <c r="D149" s="63">
        <f>0</f>
        <v>0</v>
      </c>
      <c r="E149" s="63">
        <f>0</f>
        <v>0</v>
      </c>
      <c r="F149" s="13">
        <f>IF(0&gt;=INDEX(Assumptions!$D$100:$F$100,1,3),0,'Acquisition Schedule'!H$28)</f>
        <v>450000</v>
      </c>
      <c r="G149" s="13">
        <f>IF(1&gt;=INDEX(Assumptions!$D$100:$F$100,1,3),0,'Acquisition Schedule'!H$28)</f>
        <v>450000</v>
      </c>
      <c r="H149" s="13">
        <f>IF(2&gt;=INDEX(Assumptions!$D$100:$F$100,1,3),0,'Acquisition Schedule'!H$28)</f>
        <v>450000</v>
      </c>
      <c r="I149" s="13">
        <f>IF(3&gt;=INDEX(Assumptions!$D$100:$F$100,1,3),0,'Acquisition Schedule'!H$28)</f>
        <v>450000</v>
      </c>
      <c r="J149" s="13">
        <f>IF(4&gt;=INDEX(Assumptions!$D$100:$F$100,1,3),0,'Acquisition Schedule'!H$28)</f>
        <v>450000</v>
      </c>
      <c r="K149" s="13">
        <f>IF(5&gt;=INDEX(Assumptions!$D$100:$F$100,1,3),0,'Acquisition Schedule'!H$28)</f>
        <v>0</v>
      </c>
      <c r="L149" s="13">
        <f>IF(6&gt;=INDEX(Assumptions!$D$100:$F$100,1,3),0,'Acquisition Schedule'!H$28)</f>
        <v>0</v>
      </c>
      <c r="M149" s="13">
        <f>IF(7&gt;=INDEX(Assumptions!$D$100:$F$100,1,3),0,'Acquisition Schedule'!H$28)</f>
        <v>0</v>
      </c>
      <c r="N149" s="13">
        <f>IF(8&gt;=INDEX(Assumptions!$D$100:$F$100,1,3),0,'Acquisition Schedule'!H$28)</f>
        <v>0</v>
      </c>
      <c r="O149" s="2"/>
    </row>
    <row r="150" spans="1:15" ht="15" customHeight="1" x14ac:dyDescent="0.3">
      <c r="A150" s="6" t="s">
        <v>1359</v>
      </c>
      <c r="B150" s="6" t="s">
        <v>218</v>
      </c>
      <c r="C150" s="6" t="s">
        <v>211</v>
      </c>
      <c r="D150" s="63">
        <f>0</f>
        <v>0</v>
      </c>
      <c r="E150" s="63">
        <f>0</f>
        <v>0</v>
      </c>
      <c r="F150" s="63">
        <f>0</f>
        <v>0</v>
      </c>
      <c r="G150" s="13">
        <f>IF(0&gt;=INDEX(Assumptions!$D$100:$F$100,1,3),0,'Acquisition Schedule'!I$28)</f>
        <v>1575000</v>
      </c>
      <c r="H150" s="13">
        <f>IF(1&gt;=INDEX(Assumptions!$D$100:$F$100,1,3),0,'Acquisition Schedule'!I$28)</f>
        <v>1575000</v>
      </c>
      <c r="I150" s="13">
        <f>IF(2&gt;=INDEX(Assumptions!$D$100:$F$100,1,3),0,'Acquisition Schedule'!I$28)</f>
        <v>1575000</v>
      </c>
      <c r="J150" s="13">
        <f>IF(3&gt;=INDEX(Assumptions!$D$100:$F$100,1,3),0,'Acquisition Schedule'!I$28)</f>
        <v>1575000</v>
      </c>
      <c r="K150" s="13">
        <f>IF(4&gt;=INDEX(Assumptions!$D$100:$F$100,1,3),0,'Acquisition Schedule'!I$28)</f>
        <v>1575000</v>
      </c>
      <c r="L150" s="13">
        <f>IF(5&gt;=INDEX(Assumptions!$D$100:$F$100,1,3),0,'Acquisition Schedule'!I$28)</f>
        <v>0</v>
      </c>
      <c r="M150" s="13">
        <f>IF(6&gt;=INDEX(Assumptions!$D$100:$F$100,1,3),0,'Acquisition Schedule'!I$28)</f>
        <v>0</v>
      </c>
      <c r="N150" s="13">
        <f>IF(7&gt;=INDEX(Assumptions!$D$100:$F$100,1,3),0,'Acquisition Schedule'!I$28)</f>
        <v>0</v>
      </c>
      <c r="O150" s="2"/>
    </row>
    <row r="151" spans="1:15" ht="15" customHeight="1" x14ac:dyDescent="0.3">
      <c r="A151" s="6" t="s">
        <v>1360</v>
      </c>
      <c r="B151" s="6" t="s">
        <v>218</v>
      </c>
      <c r="C151" s="6" t="s">
        <v>211</v>
      </c>
      <c r="D151" s="63">
        <f>0</f>
        <v>0</v>
      </c>
      <c r="E151" s="63">
        <f>0</f>
        <v>0</v>
      </c>
      <c r="F151" s="63">
        <f>0</f>
        <v>0</v>
      </c>
      <c r="G151" s="63">
        <f>0</f>
        <v>0</v>
      </c>
      <c r="H151" s="13">
        <f>IF(0&gt;=INDEX(Assumptions!$D$100:$F$100,1,3),0,'Acquisition Schedule'!J$28)</f>
        <v>450000</v>
      </c>
      <c r="I151" s="13">
        <f>IF(1&gt;=INDEX(Assumptions!$D$100:$F$100,1,3),0,'Acquisition Schedule'!J$28)</f>
        <v>450000</v>
      </c>
      <c r="J151" s="13">
        <f>IF(2&gt;=INDEX(Assumptions!$D$100:$F$100,1,3),0,'Acquisition Schedule'!J$28)</f>
        <v>450000</v>
      </c>
      <c r="K151" s="13">
        <f>IF(3&gt;=INDEX(Assumptions!$D$100:$F$100,1,3),0,'Acquisition Schedule'!J$28)</f>
        <v>450000</v>
      </c>
      <c r="L151" s="13">
        <f>IF(4&gt;=INDEX(Assumptions!$D$100:$F$100,1,3),0,'Acquisition Schedule'!J$28)</f>
        <v>450000</v>
      </c>
      <c r="M151" s="13">
        <f>IF(5&gt;=INDEX(Assumptions!$D$100:$F$100,1,3),0,'Acquisition Schedule'!J$28)</f>
        <v>0</v>
      </c>
      <c r="N151" s="13">
        <f>IF(6&gt;=INDEX(Assumptions!$D$100:$F$100,1,3),0,'Acquisition Schedule'!J$28)</f>
        <v>0</v>
      </c>
      <c r="O151" s="2"/>
    </row>
    <row r="152" spans="1:15" ht="15" customHeight="1" x14ac:dyDescent="0.3">
      <c r="A152" s="6" t="s">
        <v>1361</v>
      </c>
      <c r="B152" s="6" t="s">
        <v>218</v>
      </c>
      <c r="C152" s="6" t="s">
        <v>211</v>
      </c>
      <c r="D152" s="63">
        <f>0</f>
        <v>0</v>
      </c>
      <c r="E152" s="63">
        <f>0</f>
        <v>0</v>
      </c>
      <c r="F152" s="63">
        <f>0</f>
        <v>0</v>
      </c>
      <c r="G152" s="63">
        <f>0</f>
        <v>0</v>
      </c>
      <c r="H152" s="63">
        <f>0</f>
        <v>0</v>
      </c>
      <c r="I152" s="13">
        <f>IF(0&gt;=INDEX(Assumptions!$D$100:$F$100,1,3),0,'Acquisition Schedule'!K$28)</f>
        <v>450000</v>
      </c>
      <c r="J152" s="13">
        <f>IF(1&gt;=INDEX(Assumptions!$D$100:$F$100,1,3),0,'Acquisition Schedule'!K$28)</f>
        <v>450000</v>
      </c>
      <c r="K152" s="13">
        <f>IF(2&gt;=INDEX(Assumptions!$D$100:$F$100,1,3),0,'Acquisition Schedule'!K$28)</f>
        <v>450000</v>
      </c>
      <c r="L152" s="13">
        <f>IF(3&gt;=INDEX(Assumptions!$D$100:$F$100,1,3),0,'Acquisition Schedule'!K$28)</f>
        <v>450000</v>
      </c>
      <c r="M152" s="13">
        <f>IF(4&gt;=INDEX(Assumptions!$D$100:$F$100,1,3),0,'Acquisition Schedule'!K$28)</f>
        <v>450000</v>
      </c>
      <c r="N152" s="13">
        <f>IF(5&gt;=INDEX(Assumptions!$D$100:$F$100,1,3),0,'Acquisition Schedule'!K$28)</f>
        <v>0</v>
      </c>
      <c r="O152" s="2"/>
    </row>
    <row r="153" spans="1:15" ht="15" customHeight="1" x14ac:dyDescent="0.3">
      <c r="A153" s="6" t="s">
        <v>1362</v>
      </c>
      <c r="B153" s="6" t="s">
        <v>218</v>
      </c>
      <c r="C153" s="6" t="s">
        <v>211</v>
      </c>
      <c r="D153" s="63">
        <f>0</f>
        <v>0</v>
      </c>
      <c r="E153" s="63">
        <f>0</f>
        <v>0</v>
      </c>
      <c r="F153" s="63">
        <f>0</f>
        <v>0</v>
      </c>
      <c r="G153" s="63">
        <f>0</f>
        <v>0</v>
      </c>
      <c r="H153" s="63">
        <f>0</f>
        <v>0</v>
      </c>
      <c r="I153" s="63">
        <f>0</f>
        <v>0</v>
      </c>
      <c r="J153" s="13">
        <f>IF(0&gt;=INDEX(Assumptions!$D$100:$F$100,1,3),0,'Acquisition Schedule'!L$28)</f>
        <v>450000</v>
      </c>
      <c r="K153" s="13">
        <f>IF(1&gt;=INDEX(Assumptions!$D$100:$F$100,1,3),0,'Acquisition Schedule'!L$28)</f>
        <v>450000</v>
      </c>
      <c r="L153" s="13">
        <f>IF(2&gt;=INDEX(Assumptions!$D$100:$F$100,1,3),0,'Acquisition Schedule'!L$28)</f>
        <v>450000</v>
      </c>
      <c r="M153" s="13">
        <f>IF(3&gt;=INDEX(Assumptions!$D$100:$F$100,1,3),0,'Acquisition Schedule'!L$28)</f>
        <v>450000</v>
      </c>
      <c r="N153" s="13">
        <f>IF(4&gt;=INDEX(Assumptions!$D$100:$F$100,1,3),0,'Acquisition Schedule'!L$28)</f>
        <v>450000</v>
      </c>
      <c r="O153" s="2"/>
    </row>
    <row r="154" spans="1:15" ht="15" customHeight="1" x14ac:dyDescent="0.3">
      <c r="A154" s="6" t="s">
        <v>1363</v>
      </c>
      <c r="B154" s="6" t="s">
        <v>218</v>
      </c>
      <c r="C154" s="6" t="s">
        <v>211</v>
      </c>
      <c r="D154" s="63">
        <f>0</f>
        <v>0</v>
      </c>
      <c r="E154" s="63">
        <f>0</f>
        <v>0</v>
      </c>
      <c r="F154" s="63">
        <f>0</f>
        <v>0</v>
      </c>
      <c r="G154" s="63">
        <f>0</f>
        <v>0</v>
      </c>
      <c r="H154" s="63">
        <f>0</f>
        <v>0</v>
      </c>
      <c r="I154" s="63">
        <f>0</f>
        <v>0</v>
      </c>
      <c r="J154" s="63">
        <f>0</f>
        <v>0</v>
      </c>
      <c r="K154" s="13">
        <f>IF(0&gt;=INDEX(Assumptions!$D$100:$F$100,1,3),0,'Acquisition Schedule'!M$28)</f>
        <v>450000</v>
      </c>
      <c r="L154" s="13">
        <f>IF(1&gt;=INDEX(Assumptions!$D$100:$F$100,1,3),0,'Acquisition Schedule'!M$28)</f>
        <v>450000</v>
      </c>
      <c r="M154" s="13">
        <f>IF(2&gt;=INDEX(Assumptions!$D$100:$F$100,1,3),0,'Acquisition Schedule'!M$28)</f>
        <v>450000</v>
      </c>
      <c r="N154" s="13">
        <f>IF(3&gt;=INDEX(Assumptions!$D$100:$F$100,1,3),0,'Acquisition Schedule'!M$28)</f>
        <v>450000</v>
      </c>
      <c r="O154" s="2"/>
    </row>
    <row r="155" spans="1:15" ht="15" customHeight="1" x14ac:dyDescent="0.3">
      <c r="A155" s="6" t="s">
        <v>1364</v>
      </c>
      <c r="B155" s="6" t="s">
        <v>218</v>
      </c>
      <c r="C155" s="6" t="s">
        <v>211</v>
      </c>
      <c r="D155" s="63">
        <f>0</f>
        <v>0</v>
      </c>
      <c r="E155" s="63">
        <f>0</f>
        <v>0</v>
      </c>
      <c r="F155" s="63">
        <f>0</f>
        <v>0</v>
      </c>
      <c r="G155" s="63">
        <f>0</f>
        <v>0</v>
      </c>
      <c r="H155" s="63">
        <f>0</f>
        <v>0</v>
      </c>
      <c r="I155" s="63">
        <f>0</f>
        <v>0</v>
      </c>
      <c r="J155" s="63">
        <f>0</f>
        <v>0</v>
      </c>
      <c r="K155" s="63">
        <f>0</f>
        <v>0</v>
      </c>
      <c r="L155" s="13">
        <f>IF(0&gt;=INDEX(Assumptions!$D$100:$F$100,1,3),0,'Acquisition Schedule'!N$28)</f>
        <v>0</v>
      </c>
      <c r="M155" s="13">
        <f>IF(1&gt;=INDEX(Assumptions!$D$100:$F$100,1,3),0,'Acquisition Schedule'!N$28)</f>
        <v>0</v>
      </c>
      <c r="N155" s="13">
        <f>IF(2&gt;=INDEX(Assumptions!$D$100:$F$100,1,3),0,'Acquisition Schedule'!N$28)</f>
        <v>0</v>
      </c>
      <c r="O155" s="2"/>
    </row>
    <row r="156" spans="1:15" ht="15" customHeight="1" x14ac:dyDescent="0.3">
      <c r="A156" s="6" t="s">
        <v>1365</v>
      </c>
      <c r="B156" s="6" t="s">
        <v>218</v>
      </c>
      <c r="C156" s="6" t="s">
        <v>211</v>
      </c>
      <c r="D156" s="63">
        <f>0</f>
        <v>0</v>
      </c>
      <c r="E156" s="63">
        <f>0</f>
        <v>0</v>
      </c>
      <c r="F156" s="63">
        <f>0</f>
        <v>0</v>
      </c>
      <c r="G156" s="63">
        <f>0</f>
        <v>0</v>
      </c>
      <c r="H156" s="63">
        <f>0</f>
        <v>0</v>
      </c>
      <c r="I156" s="63">
        <f>0</f>
        <v>0</v>
      </c>
      <c r="J156" s="63">
        <f>0</f>
        <v>0</v>
      </c>
      <c r="K156" s="63">
        <f>0</f>
        <v>0</v>
      </c>
      <c r="L156" s="63">
        <f>0</f>
        <v>0</v>
      </c>
      <c r="M156" s="13">
        <f>IF(0&gt;=INDEX(Assumptions!$D$100:$F$100,1,3),0,'Acquisition Schedule'!O$28)</f>
        <v>0</v>
      </c>
      <c r="N156" s="13">
        <f>IF(1&gt;=INDEX(Assumptions!$D$100:$F$100,1,3),0,'Acquisition Schedule'!O$28)</f>
        <v>0</v>
      </c>
      <c r="O156" s="2"/>
    </row>
    <row r="157" spans="1:15" ht="15" customHeight="1" x14ac:dyDescent="0.3">
      <c r="A157" s="6" t="s">
        <v>1366</v>
      </c>
      <c r="B157" s="6" t="s">
        <v>218</v>
      </c>
      <c r="C157" s="6" t="s">
        <v>211</v>
      </c>
      <c r="D157" s="63">
        <f>0</f>
        <v>0</v>
      </c>
      <c r="E157" s="63">
        <f>0</f>
        <v>0</v>
      </c>
      <c r="F157" s="63">
        <f>0</f>
        <v>0</v>
      </c>
      <c r="G157" s="63">
        <f>0</f>
        <v>0</v>
      </c>
      <c r="H157" s="63">
        <f>0</f>
        <v>0</v>
      </c>
      <c r="I157" s="63">
        <f>0</f>
        <v>0</v>
      </c>
      <c r="J157" s="63">
        <f>0</f>
        <v>0</v>
      </c>
      <c r="K157" s="63">
        <f>0</f>
        <v>0</v>
      </c>
      <c r="L157" s="63">
        <f>0</f>
        <v>0</v>
      </c>
      <c r="M157" s="63">
        <f>0</f>
        <v>0</v>
      </c>
      <c r="N157" s="13">
        <f>IF(0&gt;=INDEX(Assumptions!$D$100:$F$100,1,3),0,'Acquisition Schedule'!P$28)</f>
        <v>0</v>
      </c>
      <c r="O157" s="2"/>
    </row>
    <row r="158" spans="1:15" ht="15" customHeight="1" x14ac:dyDescent="0.3">
      <c r="A158" s="1" t="s">
        <v>1367</v>
      </c>
      <c r="B158" s="6" t="s">
        <v>218</v>
      </c>
      <c r="C158" s="6" t="s">
        <v>211</v>
      </c>
      <c r="D158" s="40">
        <f t="shared" ref="D158:N158" si="36">SUM(D147:D157)</f>
        <v>900000</v>
      </c>
      <c r="E158" s="40">
        <f t="shared" si="36"/>
        <v>1350000</v>
      </c>
      <c r="F158" s="40">
        <f t="shared" si="36"/>
        <v>1800000</v>
      </c>
      <c r="G158" s="40">
        <f t="shared" si="36"/>
        <v>3375000</v>
      </c>
      <c r="H158" s="40">
        <f t="shared" si="36"/>
        <v>3825000</v>
      </c>
      <c r="I158" s="40">
        <f t="shared" si="36"/>
        <v>3375000</v>
      </c>
      <c r="J158" s="40">
        <f t="shared" si="36"/>
        <v>3375000</v>
      </c>
      <c r="K158" s="40">
        <f t="shared" si="36"/>
        <v>3375000</v>
      </c>
      <c r="L158" s="40">
        <f t="shared" si="36"/>
        <v>1800000</v>
      </c>
      <c r="M158" s="40">
        <f t="shared" si="36"/>
        <v>1350000</v>
      </c>
      <c r="N158" s="40">
        <f t="shared" si="36"/>
        <v>900000</v>
      </c>
      <c r="O158" s="2"/>
    </row>
    <row r="159" spans="1:15" ht="15" customHeight="1" x14ac:dyDescent="0.3">
      <c r="A159" s="6" t="s">
        <v>757</v>
      </c>
      <c r="B159" s="6" t="s">
        <v>218</v>
      </c>
      <c r="C159" s="6" t="s">
        <v>245</v>
      </c>
      <c r="D159" s="13">
        <f>'Acquisition Schedule'!F$28</f>
        <v>900000</v>
      </c>
      <c r="E159" s="13">
        <f>'Acquisition Schedule'!G$28</f>
        <v>450000</v>
      </c>
      <c r="F159" s="13">
        <f>'Acquisition Schedule'!H$28</f>
        <v>450000</v>
      </c>
      <c r="G159" s="13">
        <f>'Acquisition Schedule'!I$28</f>
        <v>1575000</v>
      </c>
      <c r="H159" s="13">
        <f>'Acquisition Schedule'!J$28</f>
        <v>450000</v>
      </c>
      <c r="I159" s="13">
        <f>'Acquisition Schedule'!K$28</f>
        <v>450000</v>
      </c>
      <c r="J159" s="13">
        <f>'Acquisition Schedule'!L$28</f>
        <v>450000</v>
      </c>
      <c r="K159" s="13">
        <f>'Acquisition Schedule'!M$28</f>
        <v>450000</v>
      </c>
      <c r="L159" s="13">
        <f>'Acquisition Schedule'!N$28</f>
        <v>0</v>
      </c>
      <c r="M159" s="13">
        <f>'Acquisition Schedule'!O$28</f>
        <v>0</v>
      </c>
      <c r="N159" s="13">
        <f>'Acquisition Schedule'!P$28</f>
        <v>0</v>
      </c>
      <c r="O159" s="2"/>
    </row>
    <row r="160" spans="1:15" ht="15" customHeight="1" x14ac:dyDescent="0.3">
      <c r="A160" s="6" t="s">
        <v>1368</v>
      </c>
      <c r="B160" s="6" t="s">
        <v>218</v>
      </c>
      <c r="C160" s="6" t="s">
        <v>211</v>
      </c>
      <c r="D160" s="63">
        <f>0</f>
        <v>0</v>
      </c>
      <c r="E160" s="63">
        <f t="shared" ref="E160:N160" si="37">-MAX(0,D158+E159-E158)</f>
        <v>0</v>
      </c>
      <c r="F160" s="63">
        <f t="shared" si="37"/>
        <v>0</v>
      </c>
      <c r="G160" s="63">
        <f t="shared" si="37"/>
        <v>0</v>
      </c>
      <c r="H160" s="63">
        <f t="shared" si="37"/>
        <v>0</v>
      </c>
      <c r="I160" s="63">
        <f t="shared" si="37"/>
        <v>-900000</v>
      </c>
      <c r="J160" s="63">
        <f t="shared" si="37"/>
        <v>-450000</v>
      </c>
      <c r="K160" s="63">
        <f t="shared" si="37"/>
        <v>-450000</v>
      </c>
      <c r="L160" s="63">
        <f t="shared" si="37"/>
        <v>-1575000</v>
      </c>
      <c r="M160" s="63">
        <f t="shared" si="37"/>
        <v>-450000</v>
      </c>
      <c r="N160" s="63">
        <f t="shared" si="37"/>
        <v>-450000</v>
      </c>
      <c r="O160" s="2"/>
    </row>
    <row r="161" spans="1:15" ht="15" customHeight="1" x14ac:dyDescent="0.3">
      <c r="A161" s="6" t="s">
        <v>1369</v>
      </c>
      <c r="B161" s="6" t="s">
        <v>218</v>
      </c>
      <c r="C161" s="6" t="s">
        <v>222</v>
      </c>
      <c r="D161" s="63">
        <f>0</f>
        <v>0</v>
      </c>
      <c r="E161" s="13">
        <f>-(D158+E158)/2*INDEX(Assumptions!$D$99:$F$99,1,3)</f>
        <v>-70875</v>
      </c>
      <c r="F161" s="13">
        <f>-(E158+F158)/2*INDEX(Assumptions!$D$99:$F$99,1,3)</f>
        <v>-99225</v>
      </c>
      <c r="G161" s="13">
        <f>-(F158+G158)/2*INDEX(Assumptions!$D$99:$F$99,1,3)</f>
        <v>-163012.5</v>
      </c>
      <c r="H161" s="13">
        <f>-(G158+H158)/2*INDEX(Assumptions!$D$99:$F$99,1,3)</f>
        <v>-226800</v>
      </c>
      <c r="I161" s="13">
        <f>-(H158+I158)/2*INDEX(Assumptions!$D$99:$F$99,1,3)</f>
        <v>-226800</v>
      </c>
      <c r="J161" s="13">
        <f>-(I158+J158)/2*INDEX(Assumptions!$D$99:$F$99,1,3)</f>
        <v>-212625</v>
      </c>
      <c r="K161" s="13">
        <f>-(J158+K158)/2*INDEX(Assumptions!$D$99:$F$99,1,3)</f>
        <v>-212625</v>
      </c>
      <c r="L161" s="13">
        <f>-(K158+L158)/2*INDEX(Assumptions!$D$99:$F$99,1,3)</f>
        <v>-163012.5</v>
      </c>
      <c r="M161" s="13">
        <f>-(L158+M158)/2*INDEX(Assumptions!$D$99:$F$99,1,3)</f>
        <v>-99225</v>
      </c>
      <c r="N161" s="13">
        <f>-(M158+N158)/2*INDEX(Assumptions!$D$99:$F$99,1,3)</f>
        <v>-70875</v>
      </c>
      <c r="O161" s="2"/>
    </row>
    <row r="162" spans="1:15" ht="15" customHeight="1" x14ac:dyDescent="0.3">
      <c r="A162" s="6" t="s">
        <v>18</v>
      </c>
      <c r="B162" s="6" t="s">
        <v>218</v>
      </c>
      <c r="C162" s="6" t="s">
        <v>211</v>
      </c>
      <c r="D162" s="13">
        <f>'Operating Case'!D$122</f>
        <v>-2388258.5635128049</v>
      </c>
      <c r="E162" s="13">
        <f>'Operating Case'!E$122</f>
        <v>-2360848.752406945</v>
      </c>
      <c r="F162" s="13">
        <f>'Operating Case'!F$122</f>
        <v>-1178022.0476617685</v>
      </c>
      <c r="G162" s="13">
        <f>'Operating Case'!G$122</f>
        <v>337458.44869959611</v>
      </c>
      <c r="H162" s="13">
        <f>'Operating Case'!H$122</f>
        <v>2521513.9613901535</v>
      </c>
      <c r="I162" s="13">
        <f>'Operating Case'!I$122</f>
        <v>3720018.1244114535</v>
      </c>
      <c r="J162" s="13">
        <f>'Operating Case'!J$122</f>
        <v>4345890.9266418014</v>
      </c>
      <c r="K162" s="13">
        <f>'Operating Case'!K$122</f>
        <v>4914779.8246251373</v>
      </c>
      <c r="L162" s="13">
        <f>'Operating Case'!L$122</f>
        <v>5596095.6374379862</v>
      </c>
      <c r="M162" s="13">
        <f>'Operating Case'!M$122</f>
        <v>5005188.2417238466</v>
      </c>
      <c r="N162" s="13">
        <f>'Operating Case'!N$122</f>
        <v>4278836.8987326836</v>
      </c>
      <c r="O162" s="2"/>
    </row>
    <row r="163" spans="1:15" ht="15" customHeight="1" x14ac:dyDescent="0.3">
      <c r="A163" s="6" t="s">
        <v>1370</v>
      </c>
      <c r="B163" s="6" t="s">
        <v>218</v>
      </c>
      <c r="C163" s="6" t="s">
        <v>211</v>
      </c>
      <c r="D163" s="13">
        <f>D162+D146+D161+'Operating Case'!D$124</f>
        <v>-2553258.5635128049</v>
      </c>
      <c r="E163" s="13">
        <f>E162+E146+E161+'Operating Case'!E$124</f>
        <v>-2658598.752406945</v>
      </c>
      <c r="F163" s="13">
        <f>F162+F146+F161+'Operating Case'!F$124</f>
        <v>-1690494.1976617686</v>
      </c>
      <c r="G163" s="13">
        <f>G162+G146+G161+'Operating Case'!G$124</f>
        <v>-698044.35557690391</v>
      </c>
      <c r="H163" s="13">
        <f>H162+H146+H161+'Operating Case'!H$124</f>
        <v>967598.98591141426</v>
      </c>
      <c r="I163" s="13">
        <f>I162+I146+I161+'Operating Case'!I$124</f>
        <v>1920481.8744114535</v>
      </c>
      <c r="J163" s="13">
        <f>J162+J146+J161+'Operating Case'!J$124</f>
        <v>2523989.6766418014</v>
      </c>
      <c r="K163" s="13">
        <f>K162+K146+K161+'Operating Case'!K$124</f>
        <v>3065473.5746251373</v>
      </c>
      <c r="L163" s="13">
        <f>L162+L146+L161+'Operating Case'!L$124</f>
        <v>3823806.8874379862</v>
      </c>
      <c r="M163" s="13">
        <f>M162+M146+M161+'Operating Case'!M$124</f>
        <v>3374334.4917238466</v>
      </c>
      <c r="N163" s="13">
        <f>N162+N146+N161+'Operating Case'!N$124</f>
        <v>2753980.6487326836</v>
      </c>
      <c r="O163" s="2"/>
    </row>
    <row r="164" spans="1:15" ht="15" customHeight="1" x14ac:dyDescent="0.3">
      <c r="A164" s="6" t="s">
        <v>1371</v>
      </c>
      <c r="B164" s="6" t="s">
        <v>218</v>
      </c>
      <c r="C164" s="6" t="s">
        <v>211</v>
      </c>
      <c r="D164" s="63">
        <f>0</f>
        <v>0</v>
      </c>
      <c r="E164" s="63">
        <f t="shared" ref="E164:N164" si="38">D166</f>
        <v>2553258.5635128049</v>
      </c>
      <c r="F164" s="63">
        <f t="shared" si="38"/>
        <v>5211857.3159197494</v>
      </c>
      <c r="G164" s="63">
        <f t="shared" si="38"/>
        <v>6902351.5135815181</v>
      </c>
      <c r="H164" s="63">
        <f t="shared" si="38"/>
        <v>7600395.8691584216</v>
      </c>
      <c r="I164" s="63">
        <f t="shared" si="38"/>
        <v>6632796.8832470076</v>
      </c>
      <c r="J164" s="63">
        <f t="shared" si="38"/>
        <v>4712315.0088355541</v>
      </c>
      <c r="K164" s="63">
        <f t="shared" si="38"/>
        <v>2188325.3321937528</v>
      </c>
      <c r="L164" s="63">
        <f t="shared" si="38"/>
        <v>0</v>
      </c>
      <c r="M164" s="63">
        <f t="shared" si="38"/>
        <v>0</v>
      </c>
      <c r="N164" s="63">
        <f t="shared" si="38"/>
        <v>0</v>
      </c>
      <c r="O164" s="2"/>
    </row>
    <row r="165" spans="1:15" ht="15" customHeight="1" x14ac:dyDescent="0.3">
      <c r="A165" s="6" t="s">
        <v>1372</v>
      </c>
      <c r="B165" s="6" t="s">
        <v>218</v>
      </c>
      <c r="C165" s="6" t="s">
        <v>211</v>
      </c>
      <c r="D165" s="63">
        <f t="shared" ref="D165:N165" si="39">-MIN(D164,MAX(0,D163))</f>
        <v>0</v>
      </c>
      <c r="E165" s="63">
        <f t="shared" si="39"/>
        <v>0</v>
      </c>
      <c r="F165" s="63">
        <f t="shared" si="39"/>
        <v>0</v>
      </c>
      <c r="G165" s="63">
        <f t="shared" si="39"/>
        <v>0</v>
      </c>
      <c r="H165" s="63">
        <f t="shared" si="39"/>
        <v>-967598.98591141426</v>
      </c>
      <c r="I165" s="63">
        <f t="shared" si="39"/>
        <v>-1920481.8744114535</v>
      </c>
      <c r="J165" s="63">
        <f t="shared" si="39"/>
        <v>-2523989.6766418014</v>
      </c>
      <c r="K165" s="63">
        <f t="shared" si="39"/>
        <v>-2188325.3321937528</v>
      </c>
      <c r="L165" s="63">
        <f t="shared" si="39"/>
        <v>0</v>
      </c>
      <c r="M165" s="63">
        <f t="shared" si="39"/>
        <v>0</v>
      </c>
      <c r="N165" s="63">
        <f t="shared" si="39"/>
        <v>0</v>
      </c>
      <c r="O165" s="2"/>
    </row>
    <row r="166" spans="1:15" ht="15" customHeight="1" x14ac:dyDescent="0.3">
      <c r="A166" s="6" t="s">
        <v>1373</v>
      </c>
      <c r="B166" s="6" t="s">
        <v>218</v>
      </c>
      <c r="C166" s="6" t="s">
        <v>211</v>
      </c>
      <c r="D166" s="63">
        <f t="shared" ref="D166:N166" si="40">D164+D165+MAX(0,-D163)</f>
        <v>2553258.5635128049</v>
      </c>
      <c r="E166" s="63">
        <f t="shared" si="40"/>
        <v>5211857.3159197494</v>
      </c>
      <c r="F166" s="63">
        <f t="shared" si="40"/>
        <v>6902351.5135815181</v>
      </c>
      <c r="G166" s="63">
        <f t="shared" si="40"/>
        <v>7600395.8691584216</v>
      </c>
      <c r="H166" s="63">
        <f t="shared" si="40"/>
        <v>6632796.8832470076</v>
      </c>
      <c r="I166" s="63">
        <f t="shared" si="40"/>
        <v>4712315.0088355541</v>
      </c>
      <c r="J166" s="63">
        <f t="shared" si="40"/>
        <v>2188325.3321937528</v>
      </c>
      <c r="K166" s="63">
        <f t="shared" si="40"/>
        <v>0</v>
      </c>
      <c r="L166" s="63">
        <f t="shared" si="40"/>
        <v>0</v>
      </c>
      <c r="M166" s="63">
        <f t="shared" si="40"/>
        <v>0</v>
      </c>
      <c r="N166" s="63">
        <f t="shared" si="40"/>
        <v>0</v>
      </c>
      <c r="O166" s="2"/>
    </row>
    <row r="167" spans="1:15" ht="15" customHeight="1" x14ac:dyDescent="0.3">
      <c r="A167" s="6" t="s">
        <v>1374</v>
      </c>
      <c r="B167" s="6" t="s">
        <v>218</v>
      </c>
      <c r="C167" s="6" t="s">
        <v>222</v>
      </c>
      <c r="D167" s="13">
        <f>-MAX(0,D163+D165)*INDEX(Assumptions!$D$102:$F$102,1,3)</f>
        <v>0</v>
      </c>
      <c r="E167" s="13">
        <f>-MAX(0,E163+E165)*INDEX(Assumptions!$D$102:$F$102,1,3)</f>
        <v>0</v>
      </c>
      <c r="F167" s="13">
        <f>-MAX(0,F163+F165)*INDEX(Assumptions!$D$102:$F$102,1,3)</f>
        <v>0</v>
      </c>
      <c r="G167" s="13">
        <f>-MAX(0,G163+G165)*INDEX(Assumptions!$D$102:$F$102,1,3)</f>
        <v>0</v>
      </c>
      <c r="H167" s="13">
        <f>-MAX(0,H163+H165)*INDEX(Assumptions!$D$102:$F$102,1,3)</f>
        <v>0</v>
      </c>
      <c r="I167" s="13">
        <f>-MAX(0,I163+I165)*INDEX(Assumptions!$D$102:$F$102,1,3)</f>
        <v>0</v>
      </c>
      <c r="J167" s="13">
        <f>-MAX(0,J163+J165)*INDEX(Assumptions!$D$102:$F$102,1,3)</f>
        <v>0</v>
      </c>
      <c r="K167" s="13">
        <f>-MAX(0,K163+K165)*INDEX(Assumptions!$D$102:$F$102,1,3)</f>
        <v>-228058.54303215997</v>
      </c>
      <c r="L167" s="13">
        <f>-MAX(0,L163+L165)*INDEX(Assumptions!$D$102:$F$102,1,3)</f>
        <v>-994189.79073387641</v>
      </c>
      <c r="M167" s="13">
        <f>-MAX(0,M163+M165)*INDEX(Assumptions!$D$102:$F$102,1,3)</f>
        <v>-877326.96784820012</v>
      </c>
      <c r="N167" s="13">
        <f>-MAX(0,N163+N165)*INDEX(Assumptions!$D$102:$F$102,1,3)</f>
        <v>-716034.96867049776</v>
      </c>
      <c r="O167" s="2"/>
    </row>
    <row r="168" spans="1:15" ht="15" customHeight="1" x14ac:dyDescent="0.3">
      <c r="A168" s="6" t="s">
        <v>259</v>
      </c>
      <c r="B168" s="6" t="s">
        <v>218</v>
      </c>
      <c r="C168" s="6" t="s">
        <v>211</v>
      </c>
      <c r="D168" s="63">
        <f t="shared" ref="D168:N168" si="41">-(D125-D131-D159)</f>
        <v>-5100000</v>
      </c>
      <c r="E168" s="63">
        <f t="shared" si="41"/>
        <v>-2550000</v>
      </c>
      <c r="F168" s="63">
        <f t="shared" si="41"/>
        <v>-1500000</v>
      </c>
      <c r="G168" s="63">
        <f t="shared" si="41"/>
        <v>-5250000</v>
      </c>
      <c r="H168" s="63">
        <f t="shared" si="41"/>
        <v>-1500000</v>
      </c>
      <c r="I168" s="63">
        <f t="shared" si="41"/>
        <v>-1500000</v>
      </c>
      <c r="J168" s="63">
        <f t="shared" si="41"/>
        <v>-1500000</v>
      </c>
      <c r="K168" s="63">
        <f t="shared" si="41"/>
        <v>-1500000</v>
      </c>
      <c r="L168" s="63">
        <f t="shared" si="41"/>
        <v>0</v>
      </c>
      <c r="M168" s="63">
        <f t="shared" si="41"/>
        <v>0</v>
      </c>
      <c r="N168" s="63">
        <f t="shared" si="41"/>
        <v>0</v>
      </c>
      <c r="O168" s="2"/>
    </row>
    <row r="169" spans="1:15" ht="15" customHeight="1" x14ac:dyDescent="0.3">
      <c r="A169" s="6" t="s">
        <v>260</v>
      </c>
      <c r="B169" s="6" t="s">
        <v>218</v>
      </c>
      <c r="C169" s="6" t="s">
        <v>222</v>
      </c>
      <c r="D169" s="13">
        <f>-('Acquisition Schedule'!F$30+'Acquisition Schedule'!F$29)</f>
        <v>-430000</v>
      </c>
      <c r="E169" s="13">
        <f>-('Acquisition Schedule'!G$30+'Acquisition Schedule'!G$29)</f>
        <v>-340000</v>
      </c>
      <c r="F169" s="13">
        <f>-('Acquisition Schedule'!H$30+'Acquisition Schedule'!H$29)</f>
        <v>-340000</v>
      </c>
      <c r="G169" s="13">
        <f>-('Acquisition Schedule'!I$30+'Acquisition Schedule'!I$29)</f>
        <v>-815000</v>
      </c>
      <c r="H169" s="13">
        <f>-('Acquisition Schedule'!J$30+'Acquisition Schedule'!J$29)</f>
        <v>-340000</v>
      </c>
      <c r="I169" s="13">
        <f>-('Acquisition Schedule'!K$30+'Acquisition Schedule'!K$29)</f>
        <v>-340000</v>
      </c>
      <c r="J169" s="13">
        <f>-('Acquisition Schedule'!L$30+'Acquisition Schedule'!L$29)</f>
        <v>-340000</v>
      </c>
      <c r="K169" s="13">
        <f>-('Acquisition Schedule'!M$30+'Acquisition Schedule'!M$29)</f>
        <v>-340000</v>
      </c>
      <c r="L169" s="13">
        <f>-('Acquisition Schedule'!N$30+'Acquisition Schedule'!N$29)</f>
        <v>0</v>
      </c>
      <c r="M169" s="13">
        <f>-('Acquisition Schedule'!O$30+'Acquisition Schedule'!O$29)</f>
        <v>0</v>
      </c>
      <c r="N169" s="13">
        <f>-('Acquisition Schedule'!P$30+'Acquisition Schedule'!P$29)</f>
        <v>0</v>
      </c>
      <c r="O169" s="2"/>
    </row>
    <row r="170" spans="1:15" ht="15" customHeight="1" x14ac:dyDescent="0.3">
      <c r="A170" s="6" t="s">
        <v>1375</v>
      </c>
      <c r="B170" s="6" t="s">
        <v>218</v>
      </c>
      <c r="C170" s="6" t="s">
        <v>211</v>
      </c>
      <c r="D170" s="13">
        <f>INDEX(Assumptions!$D$101:$F$101,1,3)</f>
        <v>1500000</v>
      </c>
      <c r="E170" s="63">
        <f t="shared" ref="E170:N170" si="42">D173</f>
        <v>1500000</v>
      </c>
      <c r="F170" s="63">
        <f t="shared" si="42"/>
        <v>1500000.0000000005</v>
      </c>
      <c r="G170" s="63">
        <f t="shared" si="42"/>
        <v>1500000</v>
      </c>
      <c r="H170" s="63">
        <f t="shared" si="42"/>
        <v>1500000</v>
      </c>
      <c r="I170" s="63">
        <f t="shared" si="42"/>
        <v>1500000</v>
      </c>
      <c r="J170" s="63">
        <f t="shared" si="42"/>
        <v>1500000</v>
      </c>
      <c r="K170" s="63">
        <f t="shared" si="42"/>
        <v>1500000</v>
      </c>
      <c r="L170" s="63">
        <f t="shared" si="42"/>
        <v>1500000</v>
      </c>
      <c r="M170" s="63">
        <f t="shared" si="42"/>
        <v>1862117.0967041096</v>
      </c>
      <c r="N170" s="63">
        <f t="shared" si="42"/>
        <v>3016624.6205797559</v>
      </c>
      <c r="O170" s="2"/>
    </row>
    <row r="171" spans="1:15" ht="15" customHeight="1" x14ac:dyDescent="0.3">
      <c r="A171" s="6" t="s">
        <v>1376</v>
      </c>
      <c r="B171" s="6" t="s">
        <v>218</v>
      </c>
      <c r="C171" s="6" t="s">
        <v>211</v>
      </c>
      <c r="D171" s="13">
        <f>D170+D162+D146+D161+D167+'Operating Case'!D$124+'Operating Case'!D$126+D168+D169+D145+D160</f>
        <v>-6718258.5635128049</v>
      </c>
      <c r="E171" s="13">
        <f>E170+E162+E146+E161+E167+'Operating Case'!E$124+'Operating Case'!E$126+E168+E169+E145+E160</f>
        <v>-4099223.752406945</v>
      </c>
      <c r="F171" s="13">
        <f>F170+F162+F146+F161+F167+'Operating Case'!F$124+'Operating Case'!F$126+F168+F169+F145+F160</f>
        <v>-2145610.0476617683</v>
      </c>
      <c r="G171" s="13">
        <f>G170+G162+G146+G161+G167+'Operating Case'!G$124+'Operating Case'!G$126+G168+G169+G145+G160</f>
        <v>-5579358.7545304038</v>
      </c>
      <c r="H171" s="13">
        <f>H170+H162+H146+H161+H167+'Operating Case'!H$124+'Operating Case'!H$126+H168+H169+H145+H160</f>
        <v>-69253.358708599582</v>
      </c>
      <c r="I171" s="13">
        <f>I170+I162+I146+I161+I167+'Operating Case'!I$124+'Operating Case'!I$126+I168+I169+I145+I160</f>
        <v>-60610.532015032601</v>
      </c>
      <c r="J171" s="13">
        <f>J170+J162+J146+J161+J167+'Operating Case'!J$124+'Operating Case'!J$126+J168+J169+J145+J160</f>
        <v>1051489.6766418014</v>
      </c>
      <c r="K171" s="13">
        <f>K170+K162+K146+K161+K167+'Operating Case'!K$124+'Operating Case'!K$126+K168+K169+K145+K160</f>
        <v>1259915.0315929772</v>
      </c>
      <c r="L171" s="13">
        <f>L170+L162+L146+L161+L167+'Operating Case'!L$124+'Operating Case'!L$126+L168+L169+L145+L160</f>
        <v>1862117.0967041096</v>
      </c>
      <c r="M171" s="13">
        <f>M170+M162+M146+M161+M167+'Operating Case'!M$124+'Operating Case'!M$126+M168+M169+M145+M160</f>
        <v>3016624.6205797559</v>
      </c>
      <c r="N171" s="13">
        <f>N170+N162+N146+N161+N167+'Operating Case'!N$124+'Operating Case'!N$126+N168+N169+N145+N160</f>
        <v>3712070.3006419414</v>
      </c>
      <c r="O171" s="2"/>
    </row>
    <row r="172" spans="1:15" ht="15" customHeight="1" x14ac:dyDescent="0.3">
      <c r="A172" s="1" t="s">
        <v>1377</v>
      </c>
      <c r="B172" s="6" t="s">
        <v>218</v>
      </c>
      <c r="C172" s="6" t="s">
        <v>211</v>
      </c>
      <c r="D172" s="39">
        <f>MAX(0,INDEX(Assumptions!$D$101:$F$101,1,3)-D171)</f>
        <v>8218258.5635128049</v>
      </c>
      <c r="E172" s="39">
        <f>MAX(0,INDEX(Assumptions!$D$101:$F$101,1,3)-E171)</f>
        <v>5599223.7524069455</v>
      </c>
      <c r="F172" s="39">
        <f>MAX(0,INDEX(Assumptions!$D$101:$F$101,1,3)-F171)</f>
        <v>3645610.0476617683</v>
      </c>
      <c r="G172" s="39">
        <f>MAX(0,INDEX(Assumptions!$D$101:$F$101,1,3)-G171)</f>
        <v>7079358.7545304038</v>
      </c>
      <c r="H172" s="39">
        <f>MAX(0,INDEX(Assumptions!$D$101:$F$101,1,3)-H171)</f>
        <v>1569253.3587085996</v>
      </c>
      <c r="I172" s="39">
        <f>MAX(0,INDEX(Assumptions!$D$101:$F$101,1,3)-I171)</f>
        <v>1560610.5320150326</v>
      </c>
      <c r="J172" s="39">
        <f>MAX(0,INDEX(Assumptions!$D$101:$F$101,1,3)-J171)</f>
        <v>448510.32335819863</v>
      </c>
      <c r="K172" s="39">
        <f>MAX(0,INDEX(Assumptions!$D$101:$F$101,1,3)-K171)</f>
        <v>240084.96840702277</v>
      </c>
      <c r="L172" s="39">
        <f>MAX(0,INDEX(Assumptions!$D$101:$F$101,1,3)-L171)</f>
        <v>0</v>
      </c>
      <c r="M172" s="39">
        <f>MAX(0,INDEX(Assumptions!$D$101:$F$101,1,3)-M171)</f>
        <v>0</v>
      </c>
      <c r="N172" s="39">
        <f>MAX(0,INDEX(Assumptions!$D$101:$F$101,1,3)-N171)</f>
        <v>0</v>
      </c>
      <c r="O172" s="2"/>
    </row>
    <row r="173" spans="1:15" ht="15" customHeight="1" x14ac:dyDescent="0.3">
      <c r="A173" s="1" t="s">
        <v>1378</v>
      </c>
      <c r="B173" s="6" t="s">
        <v>218</v>
      </c>
      <c r="C173" s="6" t="s">
        <v>211</v>
      </c>
      <c r="D173" s="61">
        <f t="shared" ref="D173:N173" si="43">D171+D172</f>
        <v>1500000</v>
      </c>
      <c r="E173" s="61">
        <f t="shared" si="43"/>
        <v>1500000.0000000005</v>
      </c>
      <c r="F173" s="61">
        <f t="shared" si="43"/>
        <v>1500000</v>
      </c>
      <c r="G173" s="61">
        <f t="shared" si="43"/>
        <v>1500000</v>
      </c>
      <c r="H173" s="61">
        <f t="shared" si="43"/>
        <v>1500000</v>
      </c>
      <c r="I173" s="61">
        <f t="shared" si="43"/>
        <v>1500000</v>
      </c>
      <c r="J173" s="61">
        <f t="shared" si="43"/>
        <v>1500000</v>
      </c>
      <c r="K173" s="61">
        <f t="shared" si="43"/>
        <v>1500000</v>
      </c>
      <c r="L173" s="61">
        <f t="shared" si="43"/>
        <v>1862117.0967041096</v>
      </c>
      <c r="M173" s="61">
        <f t="shared" si="43"/>
        <v>3016624.6205797559</v>
      </c>
      <c r="N173" s="61">
        <f t="shared" si="43"/>
        <v>3712070.3006419414</v>
      </c>
      <c r="O173" s="2"/>
    </row>
    <row r="174" spans="1:15" ht="15" customHeight="1" x14ac:dyDescent="0.3">
      <c r="A174" s="6" t="s">
        <v>40</v>
      </c>
      <c r="B174" s="6" t="s">
        <v>218</v>
      </c>
      <c r="C174" s="6" t="s">
        <v>211</v>
      </c>
      <c r="D174" s="63">
        <f>D172</f>
        <v>8218258.5635128049</v>
      </c>
      <c r="E174" s="63">
        <f t="shared" ref="E174:N174" si="44">D174+E172</f>
        <v>13817482.315919749</v>
      </c>
      <c r="F174" s="63">
        <f t="shared" si="44"/>
        <v>17463092.363581516</v>
      </c>
      <c r="G174" s="63">
        <f t="shared" si="44"/>
        <v>24542451.11811192</v>
      </c>
      <c r="H174" s="63">
        <f t="shared" si="44"/>
        <v>26111704.476820521</v>
      </c>
      <c r="I174" s="63">
        <f t="shared" si="44"/>
        <v>27672315.008835554</v>
      </c>
      <c r="J174" s="63">
        <f t="shared" si="44"/>
        <v>28120825.332193755</v>
      </c>
      <c r="K174" s="63">
        <f t="shared" si="44"/>
        <v>28360910.300600778</v>
      </c>
      <c r="L174" s="63">
        <f t="shared" si="44"/>
        <v>28360910.300600778</v>
      </c>
      <c r="M174" s="63">
        <f t="shared" si="44"/>
        <v>28360910.300600778</v>
      </c>
      <c r="N174" s="63">
        <f t="shared" si="44"/>
        <v>28360910.300600778</v>
      </c>
      <c r="O174" s="2"/>
    </row>
    <row r="175" spans="1:15" ht="15" customHeight="1" x14ac:dyDescent="0.3">
      <c r="A175" s="6" t="s">
        <v>223</v>
      </c>
      <c r="B175" s="6" t="s">
        <v>218</v>
      </c>
      <c r="C175" s="6" t="s">
        <v>211</v>
      </c>
      <c r="D175" s="63">
        <f t="shared" ref="D175:N175" si="45">D144+D158-D173</f>
        <v>-600000</v>
      </c>
      <c r="E175" s="63">
        <f t="shared" si="45"/>
        <v>-150000.00000000047</v>
      </c>
      <c r="F175" s="63">
        <f t="shared" si="45"/>
        <v>1350000</v>
      </c>
      <c r="G175" s="63">
        <f t="shared" si="45"/>
        <v>6495000</v>
      </c>
      <c r="H175" s="63">
        <f t="shared" si="45"/>
        <v>7522500</v>
      </c>
      <c r="I175" s="63">
        <f t="shared" si="45"/>
        <v>7545000</v>
      </c>
      <c r="J175" s="63">
        <f t="shared" si="45"/>
        <v>7912500</v>
      </c>
      <c r="K175" s="63">
        <f t="shared" si="45"/>
        <v>8175000</v>
      </c>
      <c r="L175" s="63">
        <f t="shared" si="45"/>
        <v>5345382.9032958904</v>
      </c>
      <c r="M175" s="63">
        <f t="shared" si="45"/>
        <v>2848375.3794202441</v>
      </c>
      <c r="N175" s="63">
        <f t="shared" si="45"/>
        <v>810429.69935805863</v>
      </c>
      <c r="O175" s="2"/>
    </row>
    <row r="176" spans="1:15" ht="15" customHeight="1" x14ac:dyDescent="0.3">
      <c r="A176" s="6" t="s">
        <v>1379</v>
      </c>
      <c r="B176" s="6" t="s">
        <v>265</v>
      </c>
      <c r="C176" s="6" t="s">
        <v>211</v>
      </c>
      <c r="D176" s="80">
        <f>0</f>
        <v>0</v>
      </c>
      <c r="E176" s="80">
        <f t="shared" ref="E176:N176" si="46">IF((E146+E145)=0,0,E124/-(E146+E145))</f>
        <v>0</v>
      </c>
      <c r="F176" s="80">
        <f t="shared" si="46"/>
        <v>14.770151210898778</v>
      </c>
      <c r="G176" s="80">
        <f t="shared" si="46"/>
        <v>5.4365232094836413</v>
      </c>
      <c r="H176" s="80">
        <f t="shared" si="46"/>
        <v>4.3214100915779126</v>
      </c>
      <c r="I176" s="80">
        <f t="shared" si="46"/>
        <v>4.7878612216248815</v>
      </c>
      <c r="J176" s="80">
        <f t="shared" si="46"/>
        <v>4.9527053313882305</v>
      </c>
      <c r="K176" s="80">
        <f t="shared" si="46"/>
        <v>4.95337214178923</v>
      </c>
      <c r="L176" s="80">
        <f t="shared" si="46"/>
        <v>5.2301152037325194</v>
      </c>
      <c r="M176" s="80">
        <f t="shared" si="46"/>
        <v>5.1617813437458988</v>
      </c>
      <c r="N176" s="80">
        <f t="shared" si="46"/>
        <v>4.979066655779075</v>
      </c>
      <c r="O176" s="2"/>
    </row>
    <row r="177" spans="1:15" ht="15" customHeight="1" x14ac:dyDescent="0.3">
      <c r="A177" s="6" t="s">
        <v>1380</v>
      </c>
      <c r="B177" s="6" t="s">
        <v>265</v>
      </c>
      <c r="C177" s="6" t="s">
        <v>211</v>
      </c>
      <c r="D177" s="80">
        <f t="shared" ref="D177:N177" si="47">IF(D123&lt;=0,0,D144/D123)</f>
        <v>0</v>
      </c>
      <c r="E177" s="80">
        <f t="shared" si="47"/>
        <v>0</v>
      </c>
      <c r="F177" s="80">
        <f t="shared" si="47"/>
        <v>0.90727270587154973</v>
      </c>
      <c r="G177" s="80">
        <f t="shared" si="47"/>
        <v>1.6806808852453889</v>
      </c>
      <c r="H177" s="80">
        <f t="shared" si="47"/>
        <v>1.0370568736568531</v>
      </c>
      <c r="I177" s="80">
        <f t="shared" si="47"/>
        <v>0.9011474866875574</v>
      </c>
      <c r="J177" s="80">
        <f t="shared" si="47"/>
        <v>0.8621900319434771</v>
      </c>
      <c r="K177" s="80">
        <f t="shared" si="47"/>
        <v>0.8225442387638312</v>
      </c>
      <c r="L177" s="80">
        <f t="shared" si="47"/>
        <v>0.64134866253957945</v>
      </c>
      <c r="M177" s="80">
        <f t="shared" si="47"/>
        <v>0.56900792809546008</v>
      </c>
      <c r="N177" s="80">
        <f t="shared" si="47"/>
        <v>0.49580409250139601</v>
      </c>
      <c r="O177" s="2"/>
    </row>
    <row r="178" spans="1:15" ht="15" customHeight="1" x14ac:dyDescent="0.3">
      <c r="A178" s="6" t="s">
        <v>1381</v>
      </c>
      <c r="B178" s="6" t="s">
        <v>265</v>
      </c>
      <c r="C178" s="6" t="s">
        <v>211</v>
      </c>
      <c r="D178" s="12">
        <f>IF((D$146+D$145+D$161+D$160)=0,0,('Operating Case'!D$122+'Operating Case'!D$124)/-(D$146+D$145+D$161+D$160))</f>
        <v>0</v>
      </c>
      <c r="E178" s="12">
        <f>IF((E$146+E$145+E$161+E$160)=0,0,('Operating Case'!E$122+'Operating Case'!E$124)/-(E$146+E$145+E$161+E$160))</f>
        <v>-36.511093508387233</v>
      </c>
      <c r="F178" s="12">
        <f>IF((F$146+F$145+F$161+F$160)=0,0,('Operating Case'!F$122+'Operating Case'!F$124)/-(F$146+F$145+F$161+F$160))</f>
        <v>-10.666626622924559</v>
      </c>
      <c r="G178" s="12">
        <f>IF((G$146+G$145+G$161+G$160)=0,0,('Operating Case'!G$122+'Operating Case'!G$124)/-(G$146+G$145+G$161+G$160))</f>
        <v>-0.56034713489437904</v>
      </c>
      <c r="H178" s="12">
        <f>IF((H$146+H$145+H$161+H$160)=0,0,('Operating Case'!H$122+'Operating Case'!H$124)/-(H$146+H$145+H$161+H$160))</f>
        <v>1.4395561245660877</v>
      </c>
      <c r="I178" s="12">
        <f>IF((I$146+I$145+I$161+I$160)=0,0,('Operating Case'!I$122+'Operating Case'!I$124)/-(I$146+I$145+I$161+I$160))</f>
        <v>1.2034793285649026</v>
      </c>
      <c r="J178" s="12">
        <f>IF((J$146+J$145+J$161+J$160)=0,0,('Operating Case'!J$122+'Operating Case'!J$124)/-(J$146+J$145+J$161+J$160))</f>
        <v>1.7503714078287003</v>
      </c>
      <c r="K178" s="12">
        <f>IF((K$146+K$145+K$161+K$160)=0,0,('Operating Case'!K$122+'Operating Case'!K$124)/-(K$146+K$145+K$161+K$160))</f>
        <v>1.9200562836084984</v>
      </c>
      <c r="L178" s="12">
        <f>IF((L$146+L$145+L$161+L$160)=0,0,('Operating Case'!L$122+'Operating Case'!L$124)/-(L$146+L$145+L$161+L$160))</f>
        <v>1.4319739305512149</v>
      </c>
      <c r="M178" s="12">
        <f>IF((M$146+M$145+M$161+M$160)=0,0,('Operating Case'!M$122+'Operating Case'!M$124)/-(M$146+M$145+M$161+M$160))</f>
        <v>2.0845973387161107</v>
      </c>
      <c r="N178" s="12">
        <f>IF((N$146+N$145+N$161+N$160)=0,0,('Operating Case'!N$122+'Operating Case'!N$124)/-(N$146+N$145+N$161+N$160))</f>
        <v>1.7986395774664461</v>
      </c>
      <c r="O178" s="2"/>
    </row>
    <row r="179" spans="1:15" ht="15" customHeight="1" x14ac:dyDescent="0.3">
      <c r="A179" s="21" t="s">
        <v>1382</v>
      </c>
      <c r="B179" s="10"/>
      <c r="C179" s="10"/>
      <c r="D179" s="10"/>
      <c r="E179" s="10"/>
      <c r="F179" s="10"/>
      <c r="G179" s="10"/>
      <c r="H179" s="10"/>
      <c r="I179" s="10"/>
      <c r="J179" s="10"/>
      <c r="K179" s="10"/>
      <c r="L179" s="10"/>
      <c r="M179" s="10"/>
      <c r="N179" s="10"/>
      <c r="O179" s="10"/>
    </row>
    <row r="180" spans="1:15" ht="15" customHeight="1" x14ac:dyDescent="0.3">
      <c r="A180" s="6" t="s">
        <v>1383</v>
      </c>
      <c r="B180" s="2"/>
      <c r="C180" s="2"/>
      <c r="D180" s="2"/>
      <c r="E180" s="2"/>
      <c r="F180" s="2"/>
      <c r="G180" s="2"/>
      <c r="H180" s="2"/>
      <c r="I180" s="2"/>
      <c r="J180" s="2"/>
      <c r="K180" s="2"/>
      <c r="L180" s="2"/>
      <c r="M180" s="2"/>
      <c r="N180" s="2"/>
      <c r="O180" s="2"/>
    </row>
    <row r="181" spans="1:15" ht="15" customHeight="1" x14ac:dyDescent="0.25">
      <c r="A181" s="1" t="s">
        <v>1384</v>
      </c>
      <c r="B181" s="1" t="s">
        <v>285</v>
      </c>
      <c r="C181" s="1" t="s">
        <v>286</v>
      </c>
      <c r="D181" s="21" t="s">
        <v>1385</v>
      </c>
      <c r="E181" s="21" t="s">
        <v>1386</v>
      </c>
      <c r="F181" s="21" t="s">
        <v>1387</v>
      </c>
      <c r="G181" s="21" t="s">
        <v>1388</v>
      </c>
      <c r="H181" s="21" t="s">
        <v>1389</v>
      </c>
      <c r="I181" s="21" t="s">
        <v>1390</v>
      </c>
      <c r="J181" s="21" t="s">
        <v>1391</v>
      </c>
      <c r="K181" s="21" t="s">
        <v>1392</v>
      </c>
      <c r="L181" s="21" t="s">
        <v>1393</v>
      </c>
      <c r="M181" s="21" t="s">
        <v>1394</v>
      </c>
      <c r="N181" s="21" t="s">
        <v>1395</v>
      </c>
      <c r="O181" s="21" t="s">
        <v>1396</v>
      </c>
    </row>
    <row r="182" spans="1:15" ht="15" customHeight="1" x14ac:dyDescent="0.3">
      <c r="A182" s="6" t="s">
        <v>1397</v>
      </c>
      <c r="B182" s="6" t="s">
        <v>218</v>
      </c>
      <c r="C182" s="6" t="s">
        <v>211</v>
      </c>
      <c r="D182" s="13">
        <f>'Operating Case'!E$79/4</f>
        <v>-666531.30420860322</v>
      </c>
      <c r="E182" s="13">
        <f>'Operating Case'!E$79/4</f>
        <v>-666531.30420860322</v>
      </c>
      <c r="F182" s="13">
        <f>'Operating Case'!E$79/4</f>
        <v>-666531.30420860322</v>
      </c>
      <c r="G182" s="13">
        <f>'Operating Case'!E$79/4</f>
        <v>-666531.30420860322</v>
      </c>
      <c r="H182" s="13">
        <f>'Operating Case'!F$79/4</f>
        <v>-455888.92658369133</v>
      </c>
      <c r="I182" s="13">
        <f>'Operating Case'!F$79/4</f>
        <v>-455888.92658369133</v>
      </c>
      <c r="J182" s="13">
        <f>'Operating Case'!F$79/4</f>
        <v>-455888.92658369133</v>
      </c>
      <c r="K182" s="13">
        <f>'Operating Case'!F$79/4</f>
        <v>-455888.92658369133</v>
      </c>
      <c r="L182" s="13">
        <f>'Operating Case'!G$79/4</f>
        <v>-161305.79216148224</v>
      </c>
      <c r="M182" s="13">
        <f>'Operating Case'!G$79/4</f>
        <v>-161305.79216148224</v>
      </c>
      <c r="N182" s="13">
        <f>'Operating Case'!G$79/4</f>
        <v>-161305.79216148224</v>
      </c>
      <c r="O182" s="13">
        <f>'Operating Case'!G$79/4</f>
        <v>-161305.79216148224</v>
      </c>
    </row>
    <row r="183" spans="1:15" ht="15" customHeight="1" x14ac:dyDescent="0.3">
      <c r="A183" s="6" t="s">
        <v>1398</v>
      </c>
      <c r="B183" s="6" t="s">
        <v>218</v>
      </c>
      <c r="C183" s="6" t="s">
        <v>211</v>
      </c>
      <c r="D183" s="13">
        <f>(E88+E103+E109+'Operating Case'!E$81+'Operating Case'!E$83)/4</f>
        <v>-97944.3359375</v>
      </c>
      <c r="E183" s="13">
        <f>(E88+E103+E109+'Operating Case'!E$81+'Operating Case'!E$83)/4</f>
        <v>-97944.3359375</v>
      </c>
      <c r="F183" s="13">
        <f>(E88+E103+E109+'Operating Case'!E$81+'Operating Case'!E$83)/4</f>
        <v>-97944.3359375</v>
      </c>
      <c r="G183" s="13">
        <f>(E88+E103+E109+'Operating Case'!E$81+'Operating Case'!E$83)/4</f>
        <v>-97944.3359375</v>
      </c>
      <c r="H183" s="13">
        <f>(F88+F103+F109+'Operating Case'!F$81+'Operating Case'!F$83)/4</f>
        <v>-163356.95973319389</v>
      </c>
      <c r="I183" s="13">
        <f>(F88+F103+F109+'Operating Case'!F$81+'Operating Case'!F$83)/4</f>
        <v>-163356.95973319389</v>
      </c>
      <c r="J183" s="13">
        <f>(F88+F103+F109+'Operating Case'!F$81+'Operating Case'!F$83)/4</f>
        <v>-163356.95973319389</v>
      </c>
      <c r="K183" s="13">
        <f>(F88+F103+F109+'Operating Case'!F$81+'Operating Case'!F$83)/4</f>
        <v>-163356.95973319389</v>
      </c>
      <c r="L183" s="13">
        <f>(G88+G103+G109+'Operating Case'!G$81+'Operating Case'!G$83)/4</f>
        <v>-321639.66366902157</v>
      </c>
      <c r="M183" s="13">
        <f>(G88+G103+G109+'Operating Case'!G$81+'Operating Case'!G$83)/4</f>
        <v>-321639.66366902157</v>
      </c>
      <c r="N183" s="13">
        <f>(G88+G103+G109+'Operating Case'!G$81+'Operating Case'!G$83)/4</f>
        <v>-321639.66366902157</v>
      </c>
      <c r="O183" s="13">
        <f>(G88+G103+G109+'Operating Case'!G$81+'Operating Case'!G$83)/4</f>
        <v>-321639.66366902157</v>
      </c>
    </row>
    <row r="184" spans="1:15" ht="15" customHeight="1" x14ac:dyDescent="0.3">
      <c r="A184" s="6" t="s">
        <v>1399</v>
      </c>
      <c r="B184" s="6" t="s">
        <v>218</v>
      </c>
      <c r="C184" s="6" t="s">
        <v>211</v>
      </c>
      <c r="D184" s="63">
        <f>IF(MOD(1-1,4)&lt;&gt;1,0,E110+E111)</f>
        <v>0</v>
      </c>
      <c r="E184" s="63">
        <f>IF(MOD(2-1,4)&lt;&gt;1,0,E110+E111)</f>
        <v>-2890000</v>
      </c>
      <c r="F184" s="63">
        <f>IF(MOD(3-1,4)&lt;&gt;1,0,E110+E111)</f>
        <v>0</v>
      </c>
      <c r="G184" s="63">
        <f>IF(MOD(4-1,4)&lt;&gt;1,0,E110+E111)</f>
        <v>0</v>
      </c>
      <c r="H184" s="63">
        <f>IF(MOD(5-1,4)&lt;&gt;1,0,F110+F111)</f>
        <v>0</v>
      </c>
      <c r="I184" s="63">
        <f>IF(MOD(6-1,4)&lt;&gt;1,0,F110+F111)</f>
        <v>-2499117.4040468307</v>
      </c>
      <c r="J184" s="63">
        <f>IF(MOD(7-1,4)&lt;&gt;1,0,F110+F111)</f>
        <v>0</v>
      </c>
      <c r="K184" s="63">
        <f>IF(MOD(8-1,4)&lt;&gt;1,0,F110+F111)</f>
        <v>0</v>
      </c>
      <c r="L184" s="63">
        <f>IF(MOD(9-1,4)&lt;&gt;1,0,G110+G111)</f>
        <v>0</v>
      </c>
      <c r="M184" s="63">
        <f>IF(MOD(10-1,4)&lt;&gt;1,0,G110+G111)</f>
        <v>-6065000</v>
      </c>
      <c r="N184" s="63">
        <f>IF(MOD(11-1,4)&lt;&gt;1,0,G110+G111)</f>
        <v>0</v>
      </c>
      <c r="O184" s="63">
        <f>IF(MOD(12-1,4)&lt;&gt;1,0,G110+G111)</f>
        <v>0</v>
      </c>
    </row>
    <row r="185" spans="1:15" ht="15" customHeight="1" x14ac:dyDescent="0.3">
      <c r="A185" s="6" t="s">
        <v>1400</v>
      </c>
      <c r="B185" s="6" t="s">
        <v>218</v>
      </c>
      <c r="C185" s="6" t="s">
        <v>211</v>
      </c>
      <c r="D185" s="63">
        <f>(E87+E102)/4</f>
        <v>0</v>
      </c>
      <c r="E185" s="63">
        <f>(E87+E102)/4</f>
        <v>0</v>
      </c>
      <c r="F185" s="63">
        <f>(E87+E102)/4</f>
        <v>0</v>
      </c>
      <c r="G185" s="63">
        <f>(E87+E102)/4</f>
        <v>0</v>
      </c>
      <c r="H185" s="63">
        <f>(F87+F102)/4</f>
        <v>0</v>
      </c>
      <c r="I185" s="63">
        <f>(F87+F102)/4</f>
        <v>0</v>
      </c>
      <c r="J185" s="63">
        <f>(F87+F102)/4</f>
        <v>0</v>
      </c>
      <c r="K185" s="63">
        <f>(F87+F102)/4</f>
        <v>0</v>
      </c>
      <c r="L185" s="63">
        <f>(G87+G102)/4</f>
        <v>-9772.0648988293251</v>
      </c>
      <c r="M185" s="63">
        <f>(G87+G102)/4</f>
        <v>-9772.0648988293251</v>
      </c>
      <c r="N185" s="63">
        <f>(G87+G102)/4</f>
        <v>-9772.0648988293251</v>
      </c>
      <c r="O185" s="63">
        <f>(G87+G102)/4</f>
        <v>-9772.0648988293251</v>
      </c>
    </row>
    <row r="186" spans="1:15" ht="15" customHeight="1" x14ac:dyDescent="0.3">
      <c r="A186" s="6" t="s">
        <v>1375</v>
      </c>
      <c r="B186" s="6" t="s">
        <v>218</v>
      </c>
      <c r="C186" s="6" t="s">
        <v>211</v>
      </c>
      <c r="D186" s="63">
        <f>D115</f>
        <v>1500000</v>
      </c>
      <c r="E186" s="63">
        <f t="shared" ref="E186:O186" si="48">D188</f>
        <v>764475.64014610322</v>
      </c>
      <c r="F186" s="63">
        <f t="shared" si="48"/>
        <v>4390000</v>
      </c>
      <c r="G186" s="63">
        <f t="shared" si="48"/>
        <v>0</v>
      </c>
      <c r="H186" s="63">
        <f t="shared" si="48"/>
        <v>2264475.6401461032</v>
      </c>
      <c r="I186" s="63">
        <f t="shared" si="48"/>
        <v>0</v>
      </c>
      <c r="J186" s="63">
        <f t="shared" si="48"/>
        <v>4618363.290363716</v>
      </c>
      <c r="K186" s="63">
        <f t="shared" si="48"/>
        <v>0</v>
      </c>
      <c r="L186" s="63">
        <f t="shared" si="48"/>
        <v>2119245.8863168852</v>
      </c>
      <c r="M186" s="63">
        <f t="shared" si="48"/>
        <v>0</v>
      </c>
      <c r="N186" s="63">
        <f t="shared" si="48"/>
        <v>8057717.5207293332</v>
      </c>
      <c r="O186" s="63">
        <f t="shared" si="48"/>
        <v>0</v>
      </c>
    </row>
    <row r="187" spans="1:15" ht="15" customHeight="1" x14ac:dyDescent="0.3">
      <c r="A187" s="6" t="s">
        <v>1376</v>
      </c>
      <c r="B187" s="6" t="s">
        <v>218</v>
      </c>
      <c r="C187" s="6" t="s">
        <v>211</v>
      </c>
      <c r="D187" s="63">
        <f t="shared" ref="D187:O187" si="49">D186+D182+D183+D184+D185</f>
        <v>735524.35985389678</v>
      </c>
      <c r="E187" s="63">
        <f t="shared" si="49"/>
        <v>-2890000</v>
      </c>
      <c r="F187" s="63">
        <f t="shared" si="49"/>
        <v>3625524.3598538968</v>
      </c>
      <c r="G187" s="63">
        <f t="shared" si="49"/>
        <v>-764475.64014610322</v>
      </c>
      <c r="H187" s="63">
        <f t="shared" si="49"/>
        <v>1645229.753829218</v>
      </c>
      <c r="I187" s="63">
        <f t="shared" si="49"/>
        <v>-3118363.290363716</v>
      </c>
      <c r="J187" s="63">
        <f t="shared" si="49"/>
        <v>3999117.4040468307</v>
      </c>
      <c r="K187" s="63">
        <f t="shared" si="49"/>
        <v>-619245.88631688524</v>
      </c>
      <c r="L187" s="63">
        <f t="shared" si="49"/>
        <v>1626528.3655875521</v>
      </c>
      <c r="M187" s="63">
        <f t="shared" si="49"/>
        <v>-6557717.5207293332</v>
      </c>
      <c r="N187" s="63">
        <f t="shared" si="49"/>
        <v>7565000</v>
      </c>
      <c r="O187" s="63">
        <f t="shared" si="49"/>
        <v>-492717.52072933316</v>
      </c>
    </row>
    <row r="188" spans="1:15" ht="15" customHeight="1" x14ac:dyDescent="0.3">
      <c r="A188" s="1" t="s">
        <v>1401</v>
      </c>
      <c r="B188" s="6" t="s">
        <v>218</v>
      </c>
      <c r="C188" s="6" t="s">
        <v>211</v>
      </c>
      <c r="D188" s="39">
        <f>MAX(0,INDEX(Assumptions!$D$101:$F$101,1,2)-D187)</f>
        <v>764475.64014610322</v>
      </c>
      <c r="E188" s="39">
        <f>MAX(0,INDEX(Assumptions!$D$101:$F$101,1,2)-E187)</f>
        <v>4390000</v>
      </c>
      <c r="F188" s="39">
        <f>MAX(0,INDEX(Assumptions!$D$101:$F$101,1,2)-F187)</f>
        <v>0</v>
      </c>
      <c r="G188" s="39">
        <f>MAX(0,INDEX(Assumptions!$D$101:$F$101,1,2)-G187)</f>
        <v>2264475.6401461032</v>
      </c>
      <c r="H188" s="39">
        <f>MAX(0,INDEX(Assumptions!$D$101:$F$101,1,2)-H187)</f>
        <v>0</v>
      </c>
      <c r="I188" s="39">
        <f>MAX(0,INDEX(Assumptions!$D$101:$F$101,1,2)-I187)</f>
        <v>4618363.290363716</v>
      </c>
      <c r="J188" s="39">
        <f>MAX(0,INDEX(Assumptions!$D$101:$F$101,1,2)-J187)</f>
        <v>0</v>
      </c>
      <c r="K188" s="39">
        <f>MAX(0,INDEX(Assumptions!$D$101:$F$101,1,2)-K187)</f>
        <v>2119245.8863168852</v>
      </c>
      <c r="L188" s="39">
        <f>MAX(0,INDEX(Assumptions!$D$101:$F$101,1,2)-L187)</f>
        <v>0</v>
      </c>
      <c r="M188" s="39">
        <f>MAX(0,INDEX(Assumptions!$D$101:$F$101,1,2)-M187)</f>
        <v>8057717.5207293332</v>
      </c>
      <c r="N188" s="39">
        <f>MAX(0,INDEX(Assumptions!$D$101:$F$101,1,2)-N187)</f>
        <v>0</v>
      </c>
      <c r="O188" s="39">
        <f>MAX(0,INDEX(Assumptions!$D$101:$F$101,1,2)-O187)</f>
        <v>1992717.5207293332</v>
      </c>
    </row>
    <row r="189" spans="1:15" ht="15" customHeight="1" x14ac:dyDescent="0.3">
      <c r="A189" s="1" t="s">
        <v>1378</v>
      </c>
      <c r="B189" s="6" t="s">
        <v>218</v>
      </c>
      <c r="C189" s="6" t="s">
        <v>211</v>
      </c>
      <c r="D189" s="61">
        <f t="shared" ref="D189:O189" si="50">D187+D188</f>
        <v>1500000</v>
      </c>
      <c r="E189" s="61">
        <f t="shared" si="50"/>
        <v>1500000</v>
      </c>
      <c r="F189" s="61">
        <f t="shared" si="50"/>
        <v>3625524.3598538968</v>
      </c>
      <c r="G189" s="61">
        <f t="shared" si="50"/>
        <v>1500000</v>
      </c>
      <c r="H189" s="61">
        <f t="shared" si="50"/>
        <v>1645229.753829218</v>
      </c>
      <c r="I189" s="61">
        <f t="shared" si="50"/>
        <v>1500000</v>
      </c>
      <c r="J189" s="61">
        <f t="shared" si="50"/>
        <v>3999117.4040468307</v>
      </c>
      <c r="K189" s="61">
        <f t="shared" si="50"/>
        <v>1500000</v>
      </c>
      <c r="L189" s="61">
        <f t="shared" si="50"/>
        <v>1626528.3655875521</v>
      </c>
      <c r="M189" s="61">
        <f t="shared" si="50"/>
        <v>1500000</v>
      </c>
      <c r="N189" s="61">
        <f t="shared" si="50"/>
        <v>7565000</v>
      </c>
      <c r="O189" s="61">
        <f t="shared" si="50"/>
        <v>1500000</v>
      </c>
    </row>
    <row r="190" spans="1:15" ht="15" customHeight="1" x14ac:dyDescent="0.3">
      <c r="A190" s="1" t="s">
        <v>1402</v>
      </c>
      <c r="B190" s="6" t="s">
        <v>218</v>
      </c>
      <c r="C190" s="6" t="s">
        <v>211</v>
      </c>
      <c r="D190" s="40">
        <f>MIN(D189:O189)</f>
        <v>1500000</v>
      </c>
      <c r="E190" s="2"/>
      <c r="F190" s="2"/>
      <c r="G190" s="2"/>
      <c r="H190" s="2"/>
      <c r="I190" s="2"/>
      <c r="J190" s="2"/>
      <c r="K190" s="2"/>
      <c r="L190" s="2"/>
      <c r="M190" s="2"/>
      <c r="N190" s="2"/>
      <c r="O190" s="2"/>
    </row>
    <row r="191" spans="1:15" ht="15" customHeight="1" x14ac:dyDescent="0.3">
      <c r="A191" s="6" t="s">
        <v>1403</v>
      </c>
      <c r="B191" s="6" t="s">
        <v>218</v>
      </c>
      <c r="C191" s="6" t="s">
        <v>211</v>
      </c>
      <c r="D191" s="63">
        <f>SUM(D188:O188)-SUM(E114:G114)</f>
        <v>5247121.9056153558</v>
      </c>
      <c r="E191" s="2"/>
      <c r="F191" s="2"/>
      <c r="G191" s="2"/>
      <c r="H191" s="2"/>
      <c r="I191" s="2"/>
      <c r="J191" s="2"/>
      <c r="K191" s="2"/>
      <c r="L191" s="2"/>
      <c r="M191" s="2"/>
      <c r="N191" s="2"/>
      <c r="O191" s="2"/>
    </row>
  </sheetData>
  <pageMargins left="0.7" right="0.7" top="0.75" bottom="0.75" header="0.511811023622047" footer="0.511811023622047"/>
  <pageSetup paperSize="9"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90"/>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2.75" x14ac:dyDescent="0.2"/>
  <cols>
    <col min="1" max="1" width="60" customWidth="1"/>
    <col min="2" max="2" width="14" customWidth="1"/>
    <col min="3" max="3" width="9" customWidth="1"/>
    <col min="4" max="6" width="16" customWidth="1"/>
    <col min="8" max="8" width="66" customWidth="1"/>
  </cols>
  <sheetData>
    <row r="1" spans="1:8" ht="15" customHeight="1" x14ac:dyDescent="0.3">
      <c r="A1" s="1" t="s">
        <v>1404</v>
      </c>
      <c r="B1" s="2"/>
      <c r="C1" s="2"/>
      <c r="D1" s="2"/>
      <c r="E1" s="2"/>
      <c r="F1" s="2"/>
      <c r="G1" s="2"/>
      <c r="H1" s="2"/>
    </row>
    <row r="2" spans="1:8" ht="15" customHeight="1" x14ac:dyDescent="0.3">
      <c r="A2" s="6" t="s">
        <v>1405</v>
      </c>
      <c r="B2" s="2"/>
      <c r="C2" s="2"/>
      <c r="D2" s="2"/>
      <c r="E2" s="2"/>
      <c r="F2" s="2"/>
      <c r="G2" s="2"/>
      <c r="H2" s="2"/>
    </row>
    <row r="3" spans="1:8" ht="15" customHeight="1" x14ac:dyDescent="0.3">
      <c r="A3" s="2"/>
      <c r="B3" s="2"/>
      <c r="C3" s="2"/>
      <c r="D3" s="2"/>
      <c r="E3" s="2"/>
      <c r="F3" s="2"/>
      <c r="G3" s="2"/>
      <c r="H3" s="2"/>
    </row>
    <row r="4" spans="1:8" ht="15" customHeight="1" x14ac:dyDescent="0.3">
      <c r="A4" s="21" t="s">
        <v>202</v>
      </c>
      <c r="B4" s="21" t="s">
        <v>285</v>
      </c>
      <c r="C4" s="21" t="s">
        <v>286</v>
      </c>
      <c r="D4" s="21" t="s">
        <v>101</v>
      </c>
      <c r="E4" s="21" t="s">
        <v>102</v>
      </c>
      <c r="F4" s="21" t="s">
        <v>103</v>
      </c>
      <c r="G4" s="2"/>
      <c r="H4" s="10"/>
    </row>
    <row r="5" spans="1:8" ht="15" customHeight="1" x14ac:dyDescent="0.3">
      <c r="A5" s="21" t="s">
        <v>1406</v>
      </c>
      <c r="B5" s="10"/>
      <c r="C5" s="10"/>
      <c r="D5" s="10"/>
      <c r="E5" s="10"/>
      <c r="F5" s="10"/>
      <c r="G5" s="10"/>
      <c r="H5" s="10"/>
    </row>
    <row r="6" spans="1:8" ht="15" customHeight="1" x14ac:dyDescent="0.3">
      <c r="A6" s="6" t="s">
        <v>551</v>
      </c>
      <c r="B6" s="6" t="s">
        <v>549</v>
      </c>
      <c r="C6" s="6" t="s">
        <v>245</v>
      </c>
      <c r="D6" s="13">
        <f>INDEX(Assumptions!$D$13:$F$13,1,1)</f>
        <v>7</v>
      </c>
      <c r="E6" s="13">
        <f>INDEX(Assumptions!$D$13:$F$13,1,2)</f>
        <v>7</v>
      </c>
      <c r="F6" s="13">
        <f>INDEX(Assumptions!$D$13:$F$13,1,3)</f>
        <v>7</v>
      </c>
      <c r="G6" s="2"/>
      <c r="H6" s="2"/>
    </row>
    <row r="7" spans="1:8" ht="15" customHeight="1" x14ac:dyDescent="0.3">
      <c r="A7" s="6" t="s">
        <v>1407</v>
      </c>
      <c r="B7" s="6" t="s">
        <v>218</v>
      </c>
      <c r="C7" s="6" t="s">
        <v>211</v>
      </c>
      <c r="D7" s="13">
        <f>INDEX('Operating Case'!E$36:N$36,1,INDEX(Assumptions!$D$13:$F$13,1,1))</f>
        <v>947024.463033607</v>
      </c>
      <c r="E7" s="13">
        <f>INDEX('Operating Case'!E$79:N$79,1,INDEX(Assumptions!$D$13:$F$13,1,2))</f>
        <v>2910357.7800856186</v>
      </c>
      <c r="F7" s="13">
        <f>INDEX('Operating Case'!E$122:N$122,1,INDEX(Assumptions!$D$13:$F$13,1,3))</f>
        <v>4914779.8246251373</v>
      </c>
      <c r="G7" s="2"/>
      <c r="H7" s="2"/>
    </row>
    <row r="8" spans="1:8" ht="15" customHeight="1" x14ac:dyDescent="0.3">
      <c r="A8" s="6" t="s">
        <v>1297</v>
      </c>
      <c r="B8" s="6" t="s">
        <v>218</v>
      </c>
      <c r="C8" s="6" t="s">
        <v>211</v>
      </c>
      <c r="D8" s="13">
        <f>INDEX('Operating Case'!E$37:N$37,1,INDEX(Assumptions!$D$13:$F$13,1,1))</f>
        <v>2651891.2089537289</v>
      </c>
      <c r="E8" s="13">
        <f>INDEX('Operating Case'!E$80:N$80,1,INDEX(Assumptions!$D$13:$F$13,1,2))</f>
        <v>4491345.756452878</v>
      </c>
      <c r="F8" s="13">
        <f>INDEX('Operating Case'!E$123:N$123,1,INDEX(Assumptions!$D$13:$F$13,1,3))</f>
        <v>6024686.4511555238</v>
      </c>
      <c r="G8" s="2"/>
      <c r="H8" s="6" t="s">
        <v>1408</v>
      </c>
    </row>
    <row r="9" spans="1:8" ht="15" customHeight="1" x14ac:dyDescent="0.3">
      <c r="A9" s="1" t="s">
        <v>1409</v>
      </c>
      <c r="B9" s="6" t="s">
        <v>218</v>
      </c>
      <c r="C9" s="6" t="s">
        <v>245</v>
      </c>
      <c r="D9" s="39">
        <f>IF(INDEX(Assumptions!$D$19:$F$19,1,1)=2,D8,D7)</f>
        <v>947024.463033607</v>
      </c>
      <c r="E9" s="39">
        <f>IF(INDEX(Assumptions!$D$19:$F$19,1,2)=2,E8,E7)</f>
        <v>2910357.7800856186</v>
      </c>
      <c r="F9" s="39">
        <f>IF(INDEX(Assumptions!$D$19:$F$19,1,3)=2,F8,F7)</f>
        <v>4914779.8246251373</v>
      </c>
      <c r="G9" s="2"/>
      <c r="H9" s="2"/>
    </row>
    <row r="10" spans="1:8" ht="15" customHeight="1" x14ac:dyDescent="0.3">
      <c r="A10" s="2"/>
      <c r="B10" s="2"/>
      <c r="C10" s="2"/>
      <c r="D10" s="2"/>
      <c r="E10" s="2"/>
      <c r="F10" s="2"/>
      <c r="G10" s="2"/>
      <c r="H10" s="2"/>
    </row>
    <row r="11" spans="1:8" ht="15" customHeight="1" x14ac:dyDescent="0.3">
      <c r="A11" s="21" t="s">
        <v>1410</v>
      </c>
      <c r="B11" s="10"/>
      <c r="C11" s="10"/>
      <c r="D11" s="10"/>
      <c r="E11" s="10"/>
      <c r="F11" s="10"/>
      <c r="G11" s="10"/>
      <c r="H11" s="10"/>
    </row>
    <row r="12" spans="1:8" ht="15" customHeight="1" x14ac:dyDescent="0.3">
      <c r="A12" s="6" t="s">
        <v>1411</v>
      </c>
      <c r="B12" s="6" t="s">
        <v>218</v>
      </c>
      <c r="C12" s="6" t="s">
        <v>211</v>
      </c>
      <c r="D12" s="13">
        <f>INDEX('Revenue &amp; Durability'!E$18:N$18,1,INDEX(Assumptions!$D$13:$F$13,1,1))</f>
        <v>444684.06054729456</v>
      </c>
      <c r="E12" s="13">
        <f>INDEX('Revenue &amp; Durability'!E$81:N$81,1,INDEX(Assumptions!$D$13:$F$13,1,2))</f>
        <v>537326.32146522123</v>
      </c>
      <c r="F12" s="13">
        <f>INDEX('Revenue &amp; Durability'!E$144:N$144,1,INDEX(Assumptions!$D$13:$F$13,1,3))</f>
        <v>639362.36302946019</v>
      </c>
      <c r="G12" s="2"/>
      <c r="H12" s="2"/>
    </row>
    <row r="13" spans="1:8" ht="15" customHeight="1" x14ac:dyDescent="0.3">
      <c r="A13" s="6" t="s">
        <v>1412</v>
      </c>
      <c r="B13" s="6" t="s">
        <v>218</v>
      </c>
      <c r="C13" s="6" t="s">
        <v>211</v>
      </c>
      <c r="D13" s="13">
        <f>INDEX('Revenue &amp; Durability'!E$19:N$19,1,INDEX(Assumptions!$D$13:$F$13,1,1))</f>
        <v>375789.3469413757</v>
      </c>
      <c r="E13" s="13">
        <f>INDEX('Revenue &amp; Durability'!E$82:N$82,1,INDEX(Assumptions!$D$13:$F$13,1,2))</f>
        <v>442365.24818761356</v>
      </c>
      <c r="F13" s="13">
        <f>INDEX('Revenue &amp; Durability'!E$145:N$145,1,INDEX(Assumptions!$D$13:$F$13,1,3))</f>
        <v>513131.91254370793</v>
      </c>
      <c r="G13" s="2"/>
      <c r="H13" s="2"/>
    </row>
    <row r="14" spans="1:8" ht="15" customHeight="1" x14ac:dyDescent="0.3">
      <c r="A14" s="6" t="s">
        <v>1413</v>
      </c>
      <c r="B14" s="6" t="s">
        <v>218</v>
      </c>
      <c r="C14" s="6" t="s">
        <v>211</v>
      </c>
      <c r="D14" s="13">
        <f>INDEX('Revenue &amp; Durability'!E$20:N$20,1,INDEX(Assumptions!$D$13:$F$13,1,1))</f>
        <v>423424.61627197266</v>
      </c>
      <c r="E14" s="13">
        <f>INDEX('Revenue &amp; Durability'!E$83:N$83,1,INDEX(Assumptions!$D$13:$F$13,1,2))</f>
        <v>485582.05069990508</v>
      </c>
      <c r="F14" s="13">
        <f>INDEX('Revenue &amp; Durability'!E$146:N$146,1,INDEX(Assumptions!$D$13:$F$13,1,3))</f>
        <v>549097.81973644509</v>
      </c>
      <c r="G14" s="2"/>
      <c r="H14" s="2"/>
    </row>
    <row r="15" spans="1:8" ht="15" customHeight="1" x14ac:dyDescent="0.3">
      <c r="A15" s="6" t="s">
        <v>1414</v>
      </c>
      <c r="B15" s="6" t="s">
        <v>218</v>
      </c>
      <c r="C15" s="6" t="s">
        <v>211</v>
      </c>
      <c r="D15" s="13">
        <f>INDEX('Revenue &amp; Durability'!E$21:N$21,1,INDEX(Assumptions!$D$13:$F$13,1,1))</f>
        <v>1272261.7578124998</v>
      </c>
      <c r="E15" s="13">
        <f>INDEX('Revenue &amp; Durability'!E$84:N$84,1,INDEX(Assumptions!$D$13:$F$13,1,2))</f>
        <v>1421389.09828</v>
      </c>
      <c r="F15" s="13">
        <f>INDEX('Revenue &amp; Durability'!E$147:N$147,1,INDEX(Assumptions!$D$13:$F$13,1,3))</f>
        <v>1566892.29816</v>
      </c>
      <c r="G15" s="2"/>
      <c r="H15" s="2"/>
    </row>
    <row r="16" spans="1:8" ht="15" customHeight="1" x14ac:dyDescent="0.3">
      <c r="A16" s="6" t="s">
        <v>1415</v>
      </c>
      <c r="B16" s="6" t="s">
        <v>218</v>
      </c>
      <c r="C16" s="6" t="s">
        <v>211</v>
      </c>
      <c r="D16" s="13">
        <f>INDEX('Revenue &amp; Durability'!E$22:N$22,1,INDEX(Assumptions!$D$13:$F$13,1,1))</f>
        <v>537575.390625</v>
      </c>
      <c r="E16" s="13">
        <f>INDEX('Revenue &amp; Durability'!E$85:N$85,1,INDEX(Assumptions!$D$13:$F$13,1,2))</f>
        <v>585094.30500000005</v>
      </c>
      <c r="F16" s="13">
        <f>INDEX('Revenue &amp; Durability'!E$148:N$148,1,INDEX(Assumptions!$D$13:$F$13,1,3))</f>
        <v>628768.98</v>
      </c>
      <c r="G16" s="2"/>
      <c r="H16" s="2"/>
    </row>
    <row r="17" spans="1:8" ht="15" customHeight="1" x14ac:dyDescent="0.3">
      <c r="A17" s="6" t="s">
        <v>1416</v>
      </c>
      <c r="B17" s="6" t="s">
        <v>218</v>
      </c>
      <c r="C17" s="6" t="s">
        <v>211</v>
      </c>
      <c r="D17" s="13">
        <f>INDEX('Revenue &amp; Durability'!E$23:N$23,1,INDEX(Assumptions!$D$13:$F$13,1,1))</f>
        <v>605718.75</v>
      </c>
      <c r="E17" s="13">
        <f>INDEX('Revenue &amp; Durability'!E$86:N$86,1,INDEX(Assumptions!$D$13:$F$13,1,2))</f>
        <v>642255</v>
      </c>
      <c r="F17" s="13">
        <f>INDEX('Revenue &amp; Durability'!E$149:N$149,1,INDEX(Assumptions!$D$13:$F$13,1,3))</f>
        <v>672840</v>
      </c>
      <c r="G17" s="2"/>
      <c r="H17" s="2"/>
    </row>
    <row r="18" spans="1:8" ht="15" customHeight="1" x14ac:dyDescent="0.3">
      <c r="A18" s="6" t="s">
        <v>1417</v>
      </c>
      <c r="B18" s="6" t="s">
        <v>218</v>
      </c>
      <c r="C18" s="6" t="s">
        <v>211</v>
      </c>
      <c r="D18" s="13">
        <f>INDEX('Revenue &amp; Durability'!E$24:N$24,1,INDEX(Assumptions!$D$13:$F$13,1,1))</f>
        <v>682500</v>
      </c>
      <c r="E18" s="13">
        <f>INDEX('Revenue &amp; Durability'!E$87:N$87,1,INDEX(Assumptions!$D$13:$F$13,1,2))</f>
        <v>705000</v>
      </c>
      <c r="F18" s="13">
        <f>INDEX('Revenue &amp; Durability'!E$150:N$150,1,INDEX(Assumptions!$D$13:$F$13,1,3))</f>
        <v>720000</v>
      </c>
      <c r="G18" s="2"/>
      <c r="H18" s="2"/>
    </row>
    <row r="19" spans="1:8" ht="15" customHeight="1" x14ac:dyDescent="0.3">
      <c r="A19" s="6" t="s">
        <v>1418</v>
      </c>
      <c r="B19" s="6" t="s">
        <v>218</v>
      </c>
      <c r="C19" s="6" t="s">
        <v>211</v>
      </c>
      <c r="D19" s="13">
        <f>INDEX('Revenue &amp; Durability'!E$25:N$25,1,INDEX(Assumptions!$D$13:$F$13,1,1))</f>
        <v>341250</v>
      </c>
      <c r="E19" s="13">
        <f>INDEX('Revenue &amp; Durability'!E$88:N$88,1,INDEX(Assumptions!$D$13:$F$13,1,2))</f>
        <v>352500</v>
      </c>
      <c r="F19" s="13">
        <f>INDEX('Revenue &amp; Durability'!E$151:N$151,1,INDEX(Assumptions!$D$13:$F$13,1,3))</f>
        <v>360000</v>
      </c>
      <c r="G19" s="2"/>
      <c r="H19" s="2"/>
    </row>
    <row r="20" spans="1:8" ht="15" customHeight="1" x14ac:dyDescent="0.3">
      <c r="A20" s="6" t="s">
        <v>1419</v>
      </c>
      <c r="B20" s="6" t="s">
        <v>218</v>
      </c>
      <c r="C20" s="6" t="s">
        <v>211</v>
      </c>
      <c r="D20" s="13">
        <f>D12*IF('Acquisition Schedule'!F$20=0,0,SUMIFS('Acquisition Schedule'!$N$6:$N$14,'Acquisition Schedule'!$E$6:$E$14,0)/'Acquisition Schedule'!F$20)</f>
        <v>2668104.3632837674</v>
      </c>
      <c r="E20" s="13">
        <f>E12*IF('Acquisition Schedule'!F$20=0,0,SUMIFS('Acquisition Schedule'!$N$6:$N$14,'Acquisition Schedule'!$E$6:$E$14,0)/'Acquisition Schedule'!F$20)</f>
        <v>3223957.9287913274</v>
      </c>
      <c r="F20" s="13">
        <f>F12*IF('Acquisition Schedule'!F$20=0,0,SUMIFS('Acquisition Schedule'!$N$6:$N$14,'Acquisition Schedule'!$E$6:$E$14,0)/'Acquisition Schedule'!F$20)</f>
        <v>3836174.1781767611</v>
      </c>
      <c r="G20" s="2"/>
      <c r="H20" s="6" t="s">
        <v>1420</v>
      </c>
    </row>
    <row r="21" spans="1:8" ht="15" customHeight="1" x14ac:dyDescent="0.3">
      <c r="A21" s="6" t="s">
        <v>1421</v>
      </c>
      <c r="B21" s="6" t="s">
        <v>218</v>
      </c>
      <c r="C21" s="6" t="s">
        <v>211</v>
      </c>
      <c r="D21" s="13">
        <f>D13*IF('Acquisition Schedule'!G$20=0,0,SUMIFS('Acquisition Schedule'!$N$6:$N$14,'Acquisition Schedule'!$E$6:$E$14,1)/'Acquisition Schedule'!G$20)</f>
        <v>1503157.3877655028</v>
      </c>
      <c r="E21" s="13">
        <f>E13*IF('Acquisition Schedule'!G$20=0,0,SUMIFS('Acquisition Schedule'!$N$6:$N$14,'Acquisition Schedule'!$E$6:$E$14,1)/'Acquisition Schedule'!G$20)</f>
        <v>1769460.9927504542</v>
      </c>
      <c r="F21" s="13">
        <f>F13*IF('Acquisition Schedule'!G$20=0,0,SUMIFS('Acquisition Schedule'!$N$6:$N$14,'Acquisition Schedule'!$E$6:$E$14,1)/'Acquisition Schedule'!G$20)</f>
        <v>2052527.6501748317</v>
      </c>
      <c r="G21" s="2"/>
      <c r="H21" s="2"/>
    </row>
    <row r="22" spans="1:8" ht="15" customHeight="1" x14ac:dyDescent="0.3">
      <c r="A22" s="6" t="s">
        <v>1422</v>
      </c>
      <c r="B22" s="6" t="s">
        <v>218</v>
      </c>
      <c r="C22" s="6" t="s">
        <v>211</v>
      </c>
      <c r="D22" s="13">
        <f>D14*IF('Acquisition Schedule'!H$20=0,0,SUMIFS('Acquisition Schedule'!$N$6:$N$14,'Acquisition Schedule'!$E$6:$E$14,2)/'Acquisition Schedule'!H$20)</f>
        <v>1693698.4650878906</v>
      </c>
      <c r="E22" s="13">
        <f>E14*IF('Acquisition Schedule'!H$20=0,0,SUMIFS('Acquisition Schedule'!$N$6:$N$14,'Acquisition Schedule'!$E$6:$E$14,2)/'Acquisition Schedule'!H$20)</f>
        <v>1942328.2027996203</v>
      </c>
      <c r="F22" s="13">
        <f>F14*IF('Acquisition Schedule'!H$20=0,0,SUMIFS('Acquisition Schedule'!$N$6:$N$14,'Acquisition Schedule'!$E$6:$E$14,2)/'Acquisition Schedule'!H$20)</f>
        <v>2196391.2789457804</v>
      </c>
      <c r="G22" s="2"/>
      <c r="H22" s="2"/>
    </row>
    <row r="23" spans="1:8" ht="15" customHeight="1" x14ac:dyDescent="0.3">
      <c r="A23" s="6" t="s">
        <v>1423</v>
      </c>
      <c r="B23" s="6" t="s">
        <v>218</v>
      </c>
      <c r="C23" s="6" t="s">
        <v>211</v>
      </c>
      <c r="D23" s="13">
        <f>D15*IF('Acquisition Schedule'!I$20=0,0,SUMIFS('Acquisition Schedule'!$N$6:$N$14,'Acquisition Schedule'!$E$6:$E$14,3)/'Acquisition Schedule'!I$20)</f>
        <v>6679374.2285156241</v>
      </c>
      <c r="E23" s="13">
        <f>E15*IF('Acquisition Schedule'!I$20=0,0,SUMIFS('Acquisition Schedule'!$N$6:$N$14,'Acquisition Schedule'!$E$6:$E$14,3)/'Acquisition Schedule'!I$20)</f>
        <v>7462292.7659700001</v>
      </c>
      <c r="F23" s="13">
        <f>F15*IF('Acquisition Schedule'!I$20=0,0,SUMIFS('Acquisition Schedule'!$N$6:$N$14,'Acquisition Schedule'!$E$6:$E$14,3)/'Acquisition Schedule'!I$20)</f>
        <v>8226184.5653400002</v>
      </c>
      <c r="G23" s="2"/>
      <c r="H23" s="2"/>
    </row>
    <row r="24" spans="1:8" ht="15" customHeight="1" x14ac:dyDescent="0.3">
      <c r="A24" s="6" t="s">
        <v>1424</v>
      </c>
      <c r="B24" s="6" t="s">
        <v>218</v>
      </c>
      <c r="C24" s="6" t="s">
        <v>211</v>
      </c>
      <c r="D24" s="13">
        <f>D16*IF('Acquisition Schedule'!J$20=0,0,SUMIFS('Acquisition Schedule'!$N$6:$N$14,'Acquisition Schedule'!$E$6:$E$14,4)/'Acquisition Schedule'!J$20)</f>
        <v>2150301.5625</v>
      </c>
      <c r="E24" s="13">
        <f>E16*IF('Acquisition Schedule'!J$20=0,0,SUMIFS('Acquisition Schedule'!$N$6:$N$14,'Acquisition Schedule'!$E$6:$E$14,4)/'Acquisition Schedule'!J$20)</f>
        <v>2340377.2200000002</v>
      </c>
      <c r="F24" s="13">
        <f>F16*IF('Acquisition Schedule'!J$20=0,0,SUMIFS('Acquisition Schedule'!$N$6:$N$14,'Acquisition Schedule'!$E$6:$E$14,4)/'Acquisition Schedule'!J$20)</f>
        <v>2515075.92</v>
      </c>
      <c r="G24" s="2"/>
      <c r="H24" s="2"/>
    </row>
    <row r="25" spans="1:8" ht="15" customHeight="1" x14ac:dyDescent="0.3">
      <c r="A25" s="6" t="s">
        <v>1425</v>
      </c>
      <c r="B25" s="6" t="s">
        <v>218</v>
      </c>
      <c r="C25" s="6" t="s">
        <v>211</v>
      </c>
      <c r="D25" s="13">
        <f>D17*IF('Acquisition Schedule'!K$20=0,0,SUMIFS('Acquisition Schedule'!$N$6:$N$14,'Acquisition Schedule'!$E$6:$E$14,5)/'Acquisition Schedule'!K$20)</f>
        <v>2422875</v>
      </c>
      <c r="E25" s="13">
        <f>E17*IF('Acquisition Schedule'!K$20=0,0,SUMIFS('Acquisition Schedule'!$N$6:$N$14,'Acquisition Schedule'!$E$6:$E$14,5)/'Acquisition Schedule'!K$20)</f>
        <v>2569020</v>
      </c>
      <c r="F25" s="13">
        <f>F17*IF('Acquisition Schedule'!K$20=0,0,SUMIFS('Acquisition Schedule'!$N$6:$N$14,'Acquisition Schedule'!$E$6:$E$14,5)/'Acquisition Schedule'!K$20)</f>
        <v>2691360</v>
      </c>
      <c r="G25" s="2"/>
      <c r="H25" s="2"/>
    </row>
    <row r="26" spans="1:8" ht="15" customHeight="1" x14ac:dyDescent="0.3">
      <c r="A26" s="6" t="s">
        <v>1426</v>
      </c>
      <c r="B26" s="6" t="s">
        <v>218</v>
      </c>
      <c r="C26" s="6" t="s">
        <v>211</v>
      </c>
      <c r="D26" s="13">
        <f>D18*IF('Acquisition Schedule'!L$20=0,0,SUMIFS('Acquisition Schedule'!$N$6:$N$14,'Acquisition Schedule'!$E$6:$E$14,6)/'Acquisition Schedule'!L$20)</f>
        <v>2730000</v>
      </c>
      <c r="E26" s="13">
        <f>E18*IF('Acquisition Schedule'!L$20=0,0,SUMIFS('Acquisition Schedule'!$N$6:$N$14,'Acquisition Schedule'!$E$6:$E$14,6)/'Acquisition Schedule'!L$20)</f>
        <v>2820000</v>
      </c>
      <c r="F26" s="13">
        <f>F18*IF('Acquisition Schedule'!L$20=0,0,SUMIFS('Acquisition Schedule'!$N$6:$N$14,'Acquisition Schedule'!$E$6:$E$14,6)/'Acquisition Schedule'!L$20)</f>
        <v>2880000</v>
      </c>
      <c r="G26" s="2"/>
      <c r="H26" s="2"/>
    </row>
    <row r="27" spans="1:8" ht="15" customHeight="1" x14ac:dyDescent="0.3">
      <c r="A27" s="6" t="s">
        <v>1427</v>
      </c>
      <c r="B27" s="6" t="s">
        <v>218</v>
      </c>
      <c r="C27" s="6" t="s">
        <v>211</v>
      </c>
      <c r="D27" s="13">
        <f>D19*IF('Acquisition Schedule'!M$20=0,0,SUMIFS('Acquisition Schedule'!$N$6:$N$14,'Acquisition Schedule'!$E$6:$E$14,7)/'Acquisition Schedule'!M$20)</f>
        <v>1365000</v>
      </c>
      <c r="E27" s="13">
        <f>E19*IF('Acquisition Schedule'!M$20=0,0,SUMIFS('Acquisition Schedule'!$N$6:$N$14,'Acquisition Schedule'!$E$6:$E$14,7)/'Acquisition Schedule'!M$20)</f>
        <v>1410000</v>
      </c>
      <c r="F27" s="13">
        <f>F19*IF('Acquisition Schedule'!M$20=0,0,SUMIFS('Acquisition Schedule'!$N$6:$N$14,'Acquisition Schedule'!$E$6:$E$14,7)/'Acquisition Schedule'!M$20)</f>
        <v>1440000</v>
      </c>
      <c r="G27" s="2"/>
      <c r="H27" s="2"/>
    </row>
    <row r="28" spans="1:8" ht="15" customHeight="1" x14ac:dyDescent="0.3">
      <c r="A28" s="1" t="s">
        <v>139</v>
      </c>
      <c r="B28" s="6" t="s">
        <v>218</v>
      </c>
      <c r="C28" s="6" t="s">
        <v>211</v>
      </c>
      <c r="D28" s="40">
        <f>SUM(D20:D27)</f>
        <v>21212511.007152785</v>
      </c>
      <c r="E28" s="40">
        <f>SUM(E20:E27)</f>
        <v>23537437.110311404</v>
      </c>
      <c r="F28" s="40">
        <f>SUM(F20:F27)</f>
        <v>25837713.592637375</v>
      </c>
      <c r="G28" s="2"/>
      <c r="H28" s="2"/>
    </row>
    <row r="29" spans="1:8" ht="15" customHeight="1" x14ac:dyDescent="0.3">
      <c r="A29" s="6" t="s">
        <v>1428</v>
      </c>
      <c r="B29" s="6" t="s">
        <v>218</v>
      </c>
      <c r="C29" s="6" t="s">
        <v>222</v>
      </c>
      <c r="D29" s="13">
        <f>INDEX('Operating Case'!E$32:N$32,1,INDEX(Assumptions!$D$13:$F$13,1,1))</f>
        <v>-474988.90793286846</v>
      </c>
      <c r="E29" s="13">
        <f>INDEX('Operating Case'!E$75:N$75,1,INDEX(Assumptions!$D$13:$F$13,1,2))</f>
        <v>704249.34839954344</v>
      </c>
      <c r="F29" s="13">
        <f>INDEX('Operating Case'!E$118:N$118,1,INDEX(Assumptions!$D$13:$F$13,1,3))</f>
        <v>2009069.140960027</v>
      </c>
      <c r="G29" s="2"/>
      <c r="H29" s="2"/>
    </row>
    <row r="30" spans="1:8" ht="15" customHeight="1" x14ac:dyDescent="0.3">
      <c r="A30" s="6" t="s">
        <v>1429</v>
      </c>
      <c r="B30" s="6" t="s">
        <v>218</v>
      </c>
      <c r="C30" s="6" t="s">
        <v>211</v>
      </c>
      <c r="D30" s="13">
        <f>INDEX('Operating Case'!E$34:N$34,1,INDEX(Assumptions!$D$13:$F$13,1,1))+INDEX('Operating Case'!E$35:N$35,1,INDEX(Assumptions!$D$13:$F$13,1,1))</f>
        <v>-3261190.5512316674</v>
      </c>
      <c r="E30" s="13">
        <f>INDEX('Operating Case'!E$77:N$77,1,INDEX(Assumptions!$D$13:$F$13,1,2))+INDEX('Operating Case'!E$78:N$78,1,INDEX(Assumptions!$D$13:$F$13,1,2))</f>
        <v>-2965403.5919466657</v>
      </c>
      <c r="F30" s="13">
        <f>INDEX('Operating Case'!E$120:N$120,1,INDEX(Assumptions!$D$13:$F$13,1,3))+INDEX('Operating Case'!E$121:N$121,1,INDEX(Assumptions!$D$13:$F$13,1,3))</f>
        <v>-2744382.6898045028</v>
      </c>
      <c r="G30" s="2"/>
      <c r="H30" s="2"/>
    </row>
    <row r="31" spans="1:8" ht="15" customHeight="1" x14ac:dyDescent="0.3">
      <c r="A31" s="6" t="s">
        <v>141</v>
      </c>
      <c r="B31" s="6" t="s">
        <v>218</v>
      </c>
      <c r="C31" s="6" t="s">
        <v>245</v>
      </c>
      <c r="D31" s="13">
        <f>(D29+D30)*INDEX(Assumptions!$D$105:$F$105,1,1)</f>
        <v>-20548987.025404945</v>
      </c>
      <c r="E31" s="13">
        <f>(E29+E30)*INDEX(Assumptions!$D$105:$F$105,1,2)</f>
        <v>-13566925.461282732</v>
      </c>
      <c r="F31" s="13">
        <f>(F29+F30)*INDEX(Assumptions!$D$105:$F$105,1,3)</f>
        <v>-4779538.0674890922</v>
      </c>
      <c r="G31" s="2"/>
      <c r="H31" s="6" t="s">
        <v>1430</v>
      </c>
    </row>
    <row r="32" spans="1:8" ht="15" customHeight="1" x14ac:dyDescent="0.3">
      <c r="A32" s="1" t="s">
        <v>1431</v>
      </c>
      <c r="B32" s="6" t="s">
        <v>218</v>
      </c>
      <c r="C32" s="6" t="s">
        <v>211</v>
      </c>
      <c r="D32" s="40">
        <f>MAX(0,D28+D31)</f>
        <v>663523.9817478396</v>
      </c>
      <c r="E32" s="40">
        <f>MAX(0,E28+E31)</f>
        <v>9970511.6490286719</v>
      </c>
      <c r="F32" s="40">
        <f>MAX(0,F28+F31)</f>
        <v>21058175.525148284</v>
      </c>
      <c r="G32" s="2"/>
      <c r="H32" s="2"/>
    </row>
    <row r="33" spans="1:8" ht="15" customHeight="1" x14ac:dyDescent="0.3">
      <c r="A33" s="2"/>
      <c r="B33" s="2"/>
      <c r="C33" s="2"/>
      <c r="D33" s="2"/>
      <c r="E33" s="2"/>
      <c r="F33" s="2"/>
      <c r="G33" s="2"/>
      <c r="H33" s="2"/>
    </row>
    <row r="34" spans="1:8" ht="15" customHeight="1" x14ac:dyDescent="0.3">
      <c r="A34" s="21" t="s">
        <v>1432</v>
      </c>
      <c r="B34" s="10"/>
      <c r="C34" s="10"/>
      <c r="D34" s="10"/>
      <c r="E34" s="10"/>
      <c r="F34" s="10"/>
      <c r="G34" s="10"/>
      <c r="H34" s="10"/>
    </row>
    <row r="35" spans="1:8" ht="15" customHeight="1" x14ac:dyDescent="0.3">
      <c r="A35" s="6" t="s">
        <v>1433</v>
      </c>
      <c r="B35" s="2"/>
      <c r="C35" s="2"/>
      <c r="D35" s="2"/>
      <c r="E35" s="2"/>
      <c r="F35" s="2"/>
      <c r="G35" s="2"/>
      <c r="H35" s="2"/>
    </row>
    <row r="36" spans="1:8" ht="15" customHeight="1" x14ac:dyDescent="0.3">
      <c r="A36" s="6" t="s">
        <v>1434</v>
      </c>
      <c r="B36" s="6" t="s">
        <v>218</v>
      </c>
      <c r="C36" s="6" t="s">
        <v>211</v>
      </c>
      <c r="D36" s="13">
        <f>INDEX(Assumptions!$D$23:$F$23,1,1)</f>
        <v>10000000</v>
      </c>
      <c r="E36" s="13">
        <f>INDEX(Assumptions!$D$23:$F$23,1,2)</f>
        <v>10000000</v>
      </c>
      <c r="F36" s="13">
        <f>INDEX(Assumptions!$D$23:$F$23,1,3)</f>
        <v>10000000</v>
      </c>
      <c r="G36" s="2"/>
      <c r="H36" s="2"/>
    </row>
    <row r="37" spans="1:8" ht="15" customHeight="1" x14ac:dyDescent="0.3">
      <c r="A37" s="6" t="s">
        <v>1435</v>
      </c>
      <c r="B37" s="6" t="s">
        <v>267</v>
      </c>
      <c r="C37" s="6" t="s">
        <v>211</v>
      </c>
      <c r="D37" s="71">
        <f>IF(D36=0,0,D9/D36)</f>
        <v>9.4702446303360693E-2</v>
      </c>
      <c r="E37" s="71">
        <f>IF(E36=0,0,E9/E36)</f>
        <v>0.29103577800856184</v>
      </c>
      <c r="F37" s="71">
        <f>IF(F36=0,0,F9/F36)</f>
        <v>0.49147798246251373</v>
      </c>
      <c r="G37" s="2"/>
      <c r="H37" s="2"/>
    </row>
    <row r="38" spans="1:8" ht="15" customHeight="1" x14ac:dyDescent="0.3">
      <c r="A38" s="1" t="s">
        <v>1436</v>
      </c>
      <c r="B38" s="6" t="s">
        <v>562</v>
      </c>
      <c r="C38" s="6" t="s">
        <v>211</v>
      </c>
      <c r="D38" s="91" t="str">
        <f>IF(D37&gt;=0.8,"EVIDENCED AT MODELLED SCALE","PREMIUM MULTIPLE NOT EVIDENCED AT MODELLED SCALE")</f>
        <v>PREMIUM MULTIPLE NOT EVIDENCED AT MODELLED SCALE</v>
      </c>
      <c r="E38" s="91" t="str">
        <f>IF(E37&gt;=0.8,"EVIDENCED AT MODELLED SCALE","PREMIUM MULTIPLE NOT EVIDENCED AT MODELLED SCALE")</f>
        <v>PREMIUM MULTIPLE NOT EVIDENCED AT MODELLED SCALE</v>
      </c>
      <c r="F38" s="91" t="str">
        <f>IF(F37&gt;=0.8,"EVIDENCED AT MODELLED SCALE","PREMIUM MULTIPLE NOT EVIDENCED AT MODELLED SCALE")</f>
        <v>PREMIUM MULTIPLE NOT EVIDENCED AT MODELLED SCALE</v>
      </c>
      <c r="G38" s="2"/>
      <c r="H38" s="2"/>
    </row>
    <row r="39" spans="1:8" ht="15" customHeight="1" x14ac:dyDescent="0.3">
      <c r="A39" s="2"/>
      <c r="B39" s="2"/>
      <c r="C39" s="2"/>
      <c r="D39" s="2"/>
      <c r="E39" s="2"/>
      <c r="F39" s="2"/>
      <c r="G39" s="2"/>
      <c r="H39" s="2"/>
    </row>
    <row r="40" spans="1:8" ht="15" customHeight="1" x14ac:dyDescent="0.3">
      <c r="A40" s="21" t="s">
        <v>1437</v>
      </c>
      <c r="B40" s="10"/>
      <c r="C40" s="10"/>
      <c r="D40" s="10"/>
      <c r="E40" s="10"/>
      <c r="F40" s="10"/>
      <c r="G40" s="10"/>
      <c r="H40" s="10"/>
    </row>
    <row r="41" spans="1:8" ht="15" customHeight="1" x14ac:dyDescent="0.3">
      <c r="A41" s="6" t="s">
        <v>675</v>
      </c>
      <c r="B41" s="6" t="s">
        <v>265</v>
      </c>
      <c r="C41" s="6" t="s">
        <v>245</v>
      </c>
      <c r="D41" s="12">
        <f>INDEX(Assumptions!$D$103:$F$103,1,1)</f>
        <v>8.5</v>
      </c>
      <c r="E41" s="12">
        <f>INDEX(Assumptions!$D$103:$F$103,1,2)</f>
        <v>9.5</v>
      </c>
      <c r="F41" s="12">
        <f>INDEX(Assumptions!$D$103:$F$103,1,3)</f>
        <v>10.5</v>
      </c>
      <c r="G41" s="2"/>
      <c r="H41" s="2"/>
    </row>
    <row r="42" spans="1:8" ht="15" customHeight="1" x14ac:dyDescent="0.3">
      <c r="A42" s="1" t="s">
        <v>1438</v>
      </c>
      <c r="B42" s="6" t="s">
        <v>218</v>
      </c>
      <c r="C42" s="6" t="s">
        <v>211</v>
      </c>
      <c r="D42" s="61">
        <f>MAX(0,D9)*D41</f>
        <v>8049707.9357856596</v>
      </c>
      <c r="E42" s="61">
        <f>MAX(0,E9)*E41</f>
        <v>27648398.910813376</v>
      </c>
      <c r="F42" s="61">
        <f>MAX(0,F9)*F41</f>
        <v>51605188.158563942</v>
      </c>
      <c r="G42" s="2"/>
      <c r="H42" s="2"/>
    </row>
    <row r="43" spans="1:8" ht="15" customHeight="1" x14ac:dyDescent="0.3">
      <c r="A43" s="6" t="s">
        <v>1439</v>
      </c>
      <c r="B43" s="6" t="s">
        <v>218</v>
      </c>
      <c r="C43" s="6" t="s">
        <v>245</v>
      </c>
      <c r="D43" s="13">
        <f>MAX(0,D9)*INDEX(Assumptions!$D$104:$F$104,1,1)</f>
        <v>8996732.3988192659</v>
      </c>
      <c r="E43" s="13">
        <f>MAX(0,E9)*INDEX(Assumptions!$D$104:$F$104,1,2)</f>
        <v>27648398.910813376</v>
      </c>
      <c r="F43" s="13">
        <f>MAX(0,F9)*INDEX(Assumptions!$D$104:$F$104,1,3)</f>
        <v>46690408.333938807</v>
      </c>
      <c r="G43" s="2"/>
      <c r="H43" s="6" t="s">
        <v>1440</v>
      </c>
    </row>
    <row r="44" spans="1:8" ht="15" customHeight="1" x14ac:dyDescent="0.3">
      <c r="A44" s="1" t="s">
        <v>144</v>
      </c>
      <c r="B44" s="6" t="s">
        <v>218</v>
      </c>
      <c r="C44" s="6" t="s">
        <v>245</v>
      </c>
      <c r="D44" s="66">
        <f>D42-D32</f>
        <v>7386183.95403782</v>
      </c>
      <c r="E44" s="66">
        <f>E42-E32</f>
        <v>17677887.261784703</v>
      </c>
      <c r="F44" s="66">
        <f>F42-F32</f>
        <v>30547012.633415658</v>
      </c>
      <c r="G44" s="2"/>
      <c r="H44" s="2"/>
    </row>
    <row r="45" spans="1:8" ht="15" customHeight="1" x14ac:dyDescent="0.3">
      <c r="A45" s="6" t="s">
        <v>145</v>
      </c>
      <c r="B45" s="6" t="s">
        <v>267</v>
      </c>
      <c r="C45" s="6" t="s">
        <v>211</v>
      </c>
      <c r="D45" s="71">
        <f>IF(D42=0,0,D44/D42)</f>
        <v>0.91757167004804141</v>
      </c>
      <c r="E45" s="71">
        <f>IF(E42=0,0,E44/E42)</f>
        <v>0.63938195187392299</v>
      </c>
      <c r="F45" s="71">
        <f>IF(F42=0,0,F44/F42)</f>
        <v>0.59193685215439618</v>
      </c>
      <c r="G45" s="2"/>
      <c r="H45" s="2"/>
    </row>
    <row r="46" spans="1:8" ht="15" customHeight="1" x14ac:dyDescent="0.3">
      <c r="A46" s="6" t="s">
        <v>1441</v>
      </c>
      <c r="B46" s="6" t="s">
        <v>265</v>
      </c>
      <c r="C46" s="6" t="s">
        <v>211</v>
      </c>
      <c r="D46" s="80">
        <f>IF(D9=0,0,D32/D9)</f>
        <v>0.70064080459164779</v>
      </c>
      <c r="E46" s="80">
        <f>IF(E9=0,0,E32/E9)</f>
        <v>3.4258714571977311</v>
      </c>
      <c r="F46" s="80">
        <f>IF(F9=0,0,F32/F9)</f>
        <v>4.2846630523788409</v>
      </c>
      <c r="G46" s="2"/>
      <c r="H46" s="2"/>
    </row>
    <row r="47" spans="1:8" ht="15" customHeight="1" x14ac:dyDescent="0.3">
      <c r="A47" s="2"/>
      <c r="B47" s="2"/>
      <c r="C47" s="2"/>
      <c r="D47" s="2"/>
      <c r="E47" s="2"/>
      <c r="F47" s="2"/>
      <c r="G47" s="2"/>
      <c r="H47" s="2"/>
    </row>
    <row r="48" spans="1:8" ht="15" customHeight="1" x14ac:dyDescent="0.3">
      <c r="A48" s="21" t="s">
        <v>1442</v>
      </c>
      <c r="B48" s="10"/>
      <c r="C48" s="10"/>
      <c r="D48" s="10"/>
      <c r="E48" s="10"/>
      <c r="F48" s="10"/>
      <c r="G48" s="10"/>
      <c r="H48" s="10"/>
    </row>
    <row r="49" spans="1:8" ht="15" customHeight="1" x14ac:dyDescent="0.3">
      <c r="A49" s="6" t="s">
        <v>1443</v>
      </c>
      <c r="B49" s="6" t="s">
        <v>218</v>
      </c>
      <c r="C49" s="6" t="s">
        <v>222</v>
      </c>
      <c r="D49" s="13">
        <f>-D42*INDEX(Assumptions!$D$106:$F$106,1,1)</f>
        <v>-160994.15871571319</v>
      </c>
      <c r="E49" s="13">
        <f>-E42*INDEX(Assumptions!$D$106:$F$106,1,2)</f>
        <v>-552967.97821626754</v>
      </c>
      <c r="F49" s="13">
        <f>-F42*INDEX(Assumptions!$D$106:$F$106,1,3)</f>
        <v>-1032103.7631712789</v>
      </c>
      <c r="G49" s="2"/>
      <c r="H49" s="2"/>
    </row>
    <row r="50" spans="1:8" ht="15" customHeight="1" x14ac:dyDescent="0.3">
      <c r="A50" s="6" t="s">
        <v>1444</v>
      </c>
      <c r="B50" s="6" t="s">
        <v>218</v>
      </c>
      <c r="C50" s="6" t="s">
        <v>211</v>
      </c>
      <c r="D50" s="13">
        <f>-INDEX('Transaction &amp; Liquidity'!E$59:N$59,1,INDEX(Assumptions!$D$13:$F$13,1,1))</f>
        <v>-6472066.3574597407</v>
      </c>
      <c r="E50" s="13">
        <f>-INDEX('Transaction &amp; Liquidity'!E$117:N$117,1,INDEX(Assumptions!$D$13:$F$13,1,2))</f>
        <v>-7845441.2979765851</v>
      </c>
      <c r="F50" s="13">
        <f>-INDEX('Transaction &amp; Liquidity'!E$175:N$175,1,INDEX(Assumptions!$D$13:$F$13,1,3))</f>
        <v>-8175000</v>
      </c>
      <c r="G50" s="2"/>
      <c r="H50" s="2"/>
    </row>
    <row r="51" spans="1:8" ht="15" customHeight="1" x14ac:dyDescent="0.3">
      <c r="A51" s="1" t="s">
        <v>46</v>
      </c>
      <c r="B51" s="6" t="s">
        <v>218</v>
      </c>
      <c r="C51" s="6" t="s">
        <v>211</v>
      </c>
      <c r="D51" s="61">
        <f>MAX(0,D42+D49+D50)</f>
        <v>1416647.419610206</v>
      </c>
      <c r="E51" s="61">
        <f>MAX(0,E42+E49+E50)</f>
        <v>19249989.634620525</v>
      </c>
      <c r="F51" s="61">
        <f>MAX(0,F42+F49+F50)</f>
        <v>42398084.395392664</v>
      </c>
      <c r="G51" s="2"/>
      <c r="H51" s="2"/>
    </row>
    <row r="52" spans="1:8" ht="15" customHeight="1" x14ac:dyDescent="0.3">
      <c r="A52" s="6" t="s">
        <v>1445</v>
      </c>
      <c r="B52" s="6" t="s">
        <v>218</v>
      </c>
      <c r="C52" s="6" t="s">
        <v>211</v>
      </c>
      <c r="D52" s="13">
        <f>MAX(0,D32*(1-INDEX(Assumptions!$D$106:$F$106,1,1))+D50)</f>
        <v>0</v>
      </c>
      <c r="E52" s="13">
        <f>MAX(0,E32*(1-INDEX(Assumptions!$D$106:$F$106,1,2))+E50)</f>
        <v>1925660.1180715133</v>
      </c>
      <c r="F52" s="13">
        <f>MAX(0,F32*(1-INDEX(Assumptions!$D$106:$F$106,1,3))+F50)</f>
        <v>12462012.014645319</v>
      </c>
      <c r="G52" s="2"/>
      <c r="H52" s="2"/>
    </row>
    <row r="53" spans="1:8" ht="15" customHeight="1" x14ac:dyDescent="0.3">
      <c r="A53" s="6" t="s">
        <v>1446</v>
      </c>
      <c r="B53" s="6" t="s">
        <v>218</v>
      </c>
      <c r="C53" s="6" t="s">
        <v>211</v>
      </c>
      <c r="D53" s="13">
        <f>MAX(0,D43*(1-INDEX(Assumptions!$D$106:$F$106,1,1))+D50)</f>
        <v>2344731.3933831397</v>
      </c>
      <c r="E53" s="13">
        <f>MAX(0,E43*(1-INDEX(Assumptions!$D$106:$F$106,1,2))+E50)</f>
        <v>19249989.634620525</v>
      </c>
      <c r="F53" s="13">
        <f>MAX(0,F43*(1-INDEX(Assumptions!$D$106:$F$106,1,3))+F50)</f>
        <v>37581600.167260028</v>
      </c>
      <c r="G53" s="2"/>
      <c r="H53" s="2"/>
    </row>
    <row r="54" spans="1:8" ht="15" customHeight="1" x14ac:dyDescent="0.3">
      <c r="A54" s="6" t="s">
        <v>1447</v>
      </c>
      <c r="B54" s="6" t="s">
        <v>218</v>
      </c>
      <c r="C54" s="6" t="s">
        <v>211</v>
      </c>
      <c r="D54" s="13">
        <f>INDEX('Transaction &amp; Liquidity'!E$58:N$58,1,INDEX(Assumptions!$D$13:$F$13,1,1))</f>
        <v>45523631.288906388</v>
      </c>
      <c r="E54" s="13">
        <f>INDEX('Transaction &amp; Liquidity'!E$116:N$116,1,INDEX(Assumptions!$D$13:$F$13,1,2))</f>
        <v>38639176.836959675</v>
      </c>
      <c r="F54" s="13">
        <f>INDEX('Transaction &amp; Liquidity'!E$174:N$174,1,INDEX(Assumptions!$D$13:$F$13,1,3))</f>
        <v>28360910.300600778</v>
      </c>
      <c r="G54" s="2"/>
      <c r="H54" s="2"/>
    </row>
    <row r="55" spans="1:8" ht="15" customHeight="1" x14ac:dyDescent="0.3">
      <c r="A55" s="6" t="s">
        <v>122</v>
      </c>
      <c r="B55" s="6" t="s">
        <v>218</v>
      </c>
      <c r="C55" s="6" t="s">
        <v>211</v>
      </c>
      <c r="D55" s="13">
        <f>MAX('Transaction &amp; Liquidity'!E$56:N$56)</f>
        <v>10580953.94031734</v>
      </c>
      <c r="E55" s="13">
        <f>MAX('Transaction &amp; Liquidity'!E$114:N$114)</f>
        <v>8035870.0829173326</v>
      </c>
      <c r="F55" s="13">
        <f>MAX('Transaction &amp; Liquidity'!E$172:N$172)</f>
        <v>7079358.7545304038</v>
      </c>
      <c r="G55" s="2"/>
      <c r="H55" s="2"/>
    </row>
    <row r="56" spans="1:8" ht="15" customHeight="1" x14ac:dyDescent="0.3">
      <c r="A56" s="1" t="s">
        <v>47</v>
      </c>
      <c r="B56" s="6" t="s">
        <v>265</v>
      </c>
      <c r="C56" s="6" t="s">
        <v>211</v>
      </c>
      <c r="D56" s="92">
        <f>IF(D54=0,0,D51/D54)</f>
        <v>3.1118945907889987E-2</v>
      </c>
      <c r="E56" s="92">
        <f>IF(E54=0,0,E51/E54)</f>
        <v>0.49819875086488025</v>
      </c>
      <c r="F56" s="92">
        <f>IF(F54=0,0,F51/F54)</f>
        <v>1.4949479387653692</v>
      </c>
      <c r="G56" s="2"/>
      <c r="H56" s="2"/>
    </row>
    <row r="57" spans="1:8" ht="15" customHeight="1" x14ac:dyDescent="0.3">
      <c r="A57" s="1" t="s">
        <v>124</v>
      </c>
      <c r="B57" s="6" t="s">
        <v>267</v>
      </c>
      <c r="C57" s="6" t="s">
        <v>211</v>
      </c>
      <c r="D57" s="71" t="str">
        <f>IFERROR(IRR(D88:N88,-0.2),IFERROR(IRR(D88:N88,-0.5),IFERROR(IRR(D88:N88,0.1),IFERROR(IRR(D88:N88,0.5),"N/A"))))</f>
        <v>N/A</v>
      </c>
      <c r="E57" s="71">
        <f>IFERROR(IRR(D89:N89,-0.2),IFERROR(IRR(D89:N89,-0.5),IFERROR(IRR(D89:N89,0.1),IFERROR(IRR(D89:N89,0.5),"N/A"))))</f>
        <v>-0.15920530713648884</v>
      </c>
      <c r="F57" s="71">
        <f>IFERROR(IRR(D90:N90,-0.2),IFERROR(IRR(D90:N90,-0.5),IFERROR(IRR(D90:N90,0.1),IFERROR(IRR(D90:N90,0.5),"N/A"))))</f>
        <v>7.9612858356966854E-2</v>
      </c>
      <c r="G57" s="2"/>
      <c r="H57" s="6" t="s">
        <v>1448</v>
      </c>
    </row>
    <row r="58" spans="1:8" ht="15" customHeight="1" x14ac:dyDescent="0.3">
      <c r="A58" s="1" t="s">
        <v>146</v>
      </c>
      <c r="B58" s="6" t="s">
        <v>265</v>
      </c>
      <c r="C58" s="6" t="s">
        <v>211</v>
      </c>
      <c r="D58" s="93">
        <f>IF(D54=0,0,D52/D54)</f>
        <v>0</v>
      </c>
      <c r="E58" s="93">
        <f>IF(E54=0,0,E52/E54)</f>
        <v>4.9836986077549002E-2</v>
      </c>
      <c r="F58" s="93">
        <f>IF(F54=0,0,F52/F54)</f>
        <v>0.4394080402412659</v>
      </c>
      <c r="G58" s="2"/>
      <c r="H58" s="2"/>
    </row>
    <row r="59" spans="1:8" ht="15" customHeight="1" x14ac:dyDescent="0.3">
      <c r="A59" s="6" t="s">
        <v>1449</v>
      </c>
      <c r="B59" s="6" t="s">
        <v>265</v>
      </c>
      <c r="C59" s="6" t="s">
        <v>211</v>
      </c>
      <c r="D59" s="80">
        <f>IF(D54=0,0,D53/D54)</f>
        <v>5.1505807577229133E-2</v>
      </c>
      <c r="E59" s="80">
        <f>IF(E54=0,0,E53/E54)</f>
        <v>0.49819875086488025</v>
      </c>
      <c r="F59" s="80">
        <f>IF(F54=0,0,F53/F54)</f>
        <v>1.3251196724268728</v>
      </c>
      <c r="G59" s="2"/>
      <c r="H59" s="2"/>
    </row>
    <row r="60" spans="1:8" ht="15" customHeight="1" x14ac:dyDescent="0.3">
      <c r="A60" s="6" t="s">
        <v>1450</v>
      </c>
      <c r="B60" s="6" t="s">
        <v>265</v>
      </c>
      <c r="C60" s="6" t="s">
        <v>211</v>
      </c>
      <c r="D60" s="12">
        <f>IF(INDEX('Transaction &amp; Liquidity'!E$58:N$58,1,INDEX(Assumptions!$D$14:$F$14,1,1))=0,0,MAX(0,INDEX('Operating Case'!E$36:N$36,1,INDEX(Assumptions!$D$14:$F$14,1,1))*INDEX(Assumptions!$D$103:$F$103,1,1)*(1-INDEX(Assumptions!$D$106:$F$106,1,1))-INDEX('Transaction &amp; Liquidity'!E$59:N$59,1,INDEX(Assumptions!$D$14:$F$14,1,1)))/INDEX('Transaction &amp; Liquidity'!E$58:N$58,1,INDEX(Assumptions!$D$14:$F$14,1,1)))</f>
        <v>0</v>
      </c>
      <c r="E60" s="12">
        <f>IF(INDEX('Transaction &amp; Liquidity'!E$116:N$116,1,INDEX(Assumptions!$D$14:$F$14,1,2))=0,0,MAX(0,INDEX('Operating Case'!E$79:N$79,1,INDEX(Assumptions!$D$14:$F$14,1,2))*INDEX(Assumptions!$D$103:$F$103,1,2)*(1-INDEX(Assumptions!$D$106:$F$106,1,2))-INDEX('Transaction &amp; Liquidity'!E$117:N$117,1,INDEX(Assumptions!$D$14:$F$14,1,2)))/INDEX('Transaction &amp; Liquidity'!E$116:N$116,1,INDEX(Assumptions!$D$14:$F$14,1,2)))</f>
        <v>0.29916047102050203</v>
      </c>
      <c r="F60" s="12">
        <f>IF(INDEX('Transaction &amp; Liquidity'!E$174:N$174,1,INDEX(Assumptions!$D$14:$F$14,1,3))=0,0,MAX(0,INDEX('Operating Case'!E$122:N$122,1,INDEX(Assumptions!$D$14:$F$14,1,3))*INDEX(Assumptions!$D$103:$F$103,1,3)*(1-INDEX(Assumptions!$D$106:$F$106,1,3))-INDEX('Transaction &amp; Liquidity'!E$175:N$175,1,INDEX(Assumptions!$D$14:$F$14,1,3)))/INDEX('Transaction &amp; Liquidity'!E$174:N$174,1,INDEX(Assumptions!$D$14:$F$14,1,3)))</f>
        <v>1.5238862762344316</v>
      </c>
      <c r="G60" s="2"/>
      <c r="H60" s="2"/>
    </row>
    <row r="61" spans="1:8" ht="15" customHeight="1" x14ac:dyDescent="0.3">
      <c r="A61" s="6" t="s">
        <v>128</v>
      </c>
      <c r="B61" s="6" t="s">
        <v>265</v>
      </c>
      <c r="C61" s="6" t="s">
        <v>211</v>
      </c>
      <c r="D61" s="12">
        <f>MIN('Transaction &amp; Liquidity'!E$60:N$60)</f>
        <v>-22.65493856349336</v>
      </c>
      <c r="E61" s="12">
        <f>MIN('Transaction &amp; Liquidity'!E$118:N$118)</f>
        <v>0</v>
      </c>
      <c r="F61" s="12">
        <f>MIN('Transaction &amp; Liquidity'!E$176:N$176)</f>
        <v>0</v>
      </c>
      <c r="G61" s="2"/>
      <c r="H61" s="2"/>
    </row>
    <row r="62" spans="1:8" ht="15" customHeight="1" x14ac:dyDescent="0.3">
      <c r="A62" s="6" t="s">
        <v>157</v>
      </c>
      <c r="B62" s="6" t="s">
        <v>265</v>
      </c>
      <c r="C62" s="6" t="s">
        <v>211</v>
      </c>
      <c r="D62" s="12">
        <f>INDEX('Transaction &amp; Liquidity'!E$61:N$61,1,INDEX(Assumptions!$D$13:$F$13,1,1))</f>
        <v>1.092402917121942</v>
      </c>
      <c r="E62" s="12">
        <f>INDEX('Transaction &amp; Liquidity'!E$119:N$119,1,INDEX(Assumptions!$D$13:$F$13,1,2))</f>
        <v>1.0161136438240945</v>
      </c>
      <c r="F62" s="12">
        <f>INDEX('Transaction &amp; Liquidity'!E$177:N$177,1,INDEX(Assumptions!$D$13:$F$13,1,3))</f>
        <v>0.8225442387638312</v>
      </c>
      <c r="G62" s="2"/>
      <c r="H62" s="2"/>
    </row>
    <row r="63" spans="1:8" ht="15" customHeight="1" x14ac:dyDescent="0.3">
      <c r="A63" s="6" t="s">
        <v>155</v>
      </c>
      <c r="B63" s="6" t="s">
        <v>218</v>
      </c>
      <c r="C63" s="6" t="s">
        <v>211</v>
      </c>
      <c r="D63" s="13">
        <f>SUM('Transaction &amp; Liquidity'!E$16:N$16)</f>
        <v>4042644.8262609439</v>
      </c>
      <c r="E63" s="13">
        <f>SUM('Transaction &amp; Liquidity'!E$74:N$74)</f>
        <v>1709117.404046831</v>
      </c>
      <c r="F63" s="13">
        <f>SUM('Transaction &amp; Liquidity'!E$132:N$132)</f>
        <v>1050000</v>
      </c>
      <c r="G63" s="2"/>
      <c r="H63" s="2"/>
    </row>
    <row r="64" spans="1:8" ht="15" customHeight="1" x14ac:dyDescent="0.3">
      <c r="A64" s="2"/>
      <c r="B64" s="2"/>
      <c r="C64" s="2"/>
      <c r="D64" s="2"/>
      <c r="E64" s="2"/>
      <c r="F64" s="2"/>
      <c r="G64" s="2"/>
      <c r="H64" s="2"/>
    </row>
    <row r="65" spans="1:8" ht="15" customHeight="1" x14ac:dyDescent="0.3">
      <c r="A65" s="21" t="s">
        <v>1451</v>
      </c>
      <c r="B65" s="10"/>
      <c r="C65" s="10"/>
      <c r="D65" s="10"/>
      <c r="E65" s="10"/>
      <c r="F65" s="10"/>
      <c r="G65" s="10"/>
      <c r="H65" s="10"/>
    </row>
    <row r="66" spans="1:8" ht="15" customHeight="1" x14ac:dyDescent="0.3">
      <c r="A66" s="6" t="s">
        <v>1452</v>
      </c>
      <c r="B66" s="2"/>
      <c r="C66" s="2"/>
      <c r="D66" s="2"/>
      <c r="E66" s="2"/>
      <c r="F66" s="2"/>
      <c r="G66" s="2"/>
      <c r="H66" s="2"/>
    </row>
    <row r="67" spans="1:8" ht="15" customHeight="1" x14ac:dyDescent="0.3">
      <c r="A67" s="6" t="s">
        <v>1453</v>
      </c>
      <c r="B67" s="6" t="s">
        <v>265</v>
      </c>
      <c r="C67" s="6" t="s">
        <v>222</v>
      </c>
      <c r="D67" s="21" t="s">
        <v>1454</v>
      </c>
      <c r="E67" s="21" t="s">
        <v>102</v>
      </c>
      <c r="F67" s="21" t="s">
        <v>1455</v>
      </c>
      <c r="G67" s="2"/>
      <c r="H67" s="2"/>
    </row>
    <row r="68" spans="1:8" ht="15" customHeight="1" x14ac:dyDescent="0.3">
      <c r="A68" s="6" t="s">
        <v>1456</v>
      </c>
      <c r="B68" s="6" t="s">
        <v>265</v>
      </c>
      <c r="C68" s="6" t="s">
        <v>222</v>
      </c>
      <c r="D68" s="12">
        <f>INDEX(Assumptions!$D$41:$F$41,1,1)</f>
        <v>4.5</v>
      </c>
      <c r="E68" s="12">
        <f>INDEX(Assumptions!$D$41:$F$41,1,2)</f>
        <v>4</v>
      </c>
      <c r="F68" s="12">
        <f>INDEX(Assumptions!$D$41:$F$41,1,3)</f>
        <v>3.5</v>
      </c>
      <c r="G68" s="2"/>
      <c r="H68" s="2"/>
    </row>
    <row r="69" spans="1:8" ht="15" customHeight="1" x14ac:dyDescent="0.3">
      <c r="A69" s="6" t="s">
        <v>1457</v>
      </c>
      <c r="B69" s="6" t="s">
        <v>218</v>
      </c>
      <c r="C69" s="6" t="s">
        <v>211</v>
      </c>
      <c r="D69" s="13">
        <f>SUMIF('Acquisition Schedule'!$F$7:$F$14,"&lt;"&amp;INDEX(Assumptions!$D$38:$F$38,1,2),'Acquisition Schedule'!$F$7:$F$14)*D68</f>
        <v>23625000</v>
      </c>
      <c r="E69" s="13">
        <f>SUMIF('Acquisition Schedule'!$F$7:$F$14,"&lt;"&amp;INDEX(Assumptions!$D$38:$F$38,1,2),'Acquisition Schedule'!$F$7:$F$14)*E68</f>
        <v>21000000</v>
      </c>
      <c r="F69" s="13">
        <f>SUMIF('Acquisition Schedule'!$F$7:$F$14,"&lt;"&amp;INDEX(Assumptions!$D$38:$F$38,1,2),'Acquisition Schedule'!$F$7:$F$14)*F68</f>
        <v>18375000</v>
      </c>
      <c r="G69" s="2"/>
      <c r="H69" s="2"/>
    </row>
    <row r="70" spans="1:8" ht="15" customHeight="1" x14ac:dyDescent="0.3">
      <c r="A70" s="6" t="s">
        <v>1458</v>
      </c>
      <c r="B70" s="6" t="s">
        <v>218</v>
      </c>
      <c r="C70" s="6" t="s">
        <v>211</v>
      </c>
      <c r="D70" s="63">
        <f>D69-E69</f>
        <v>2625000</v>
      </c>
      <c r="E70" s="63">
        <f>E69-E69</f>
        <v>0</v>
      </c>
      <c r="F70" s="63">
        <f>F69-E69</f>
        <v>-2625000</v>
      </c>
      <c r="G70" s="2"/>
      <c r="H70" s="2"/>
    </row>
    <row r="71" spans="1:8" ht="15" customHeight="1" x14ac:dyDescent="0.3">
      <c r="A71" s="6" t="s">
        <v>1459</v>
      </c>
      <c r="B71" s="6" t="s">
        <v>651</v>
      </c>
      <c r="C71" s="6" t="s">
        <v>211</v>
      </c>
      <c r="D71" s="13">
        <f>COUNTIF('Acquisition Schedule'!$F$7:$F$14,"&lt;"&amp;INDEX(Assumptions!$D$38:$F$38,1,2))</f>
        <v>7</v>
      </c>
      <c r="E71" s="2"/>
      <c r="F71" s="2"/>
      <c r="G71" s="2"/>
      <c r="H71" s="2"/>
    </row>
    <row r="72" spans="1:8" ht="15" customHeight="1" x14ac:dyDescent="0.3">
      <c r="A72" s="1" t="s">
        <v>1460</v>
      </c>
      <c r="B72" s="6" t="s">
        <v>265</v>
      </c>
      <c r="C72" s="6" t="s">
        <v>211</v>
      </c>
      <c r="D72" s="92">
        <f>IF($D$71=0,"N/A",IF(($E$54+D70)&lt;=0,0,$E$51/($E$54+D70)))</f>
        <v>0.46650608615506445</v>
      </c>
      <c r="E72" s="92">
        <f>IF($D$71=0,"N/A",IF(($E$54+E70)&lt;=0,0,$E$51/($E$54+E70)))</f>
        <v>0.49819875086488025</v>
      </c>
      <c r="F72" s="92">
        <f>IF($D$71=0,"N/A",IF(($E$54+F70)&lt;=0,0,$E$51/($E$54+F70)))</f>
        <v>0.53451144313994581</v>
      </c>
      <c r="G72" s="2"/>
      <c r="H72" s="2"/>
    </row>
    <row r="73" spans="1:8" ht="15" customHeight="1" x14ac:dyDescent="0.3">
      <c r="A73" s="6" t="s">
        <v>1461</v>
      </c>
      <c r="B73" s="2"/>
      <c r="C73" s="2"/>
      <c r="D73" s="2"/>
      <c r="E73" s="2"/>
      <c r="F73" s="2"/>
      <c r="G73" s="2"/>
      <c r="H73" s="2"/>
    </row>
    <row r="74" spans="1:8" ht="15" customHeight="1" x14ac:dyDescent="0.3">
      <c r="A74" s="6" t="s">
        <v>1462</v>
      </c>
      <c r="B74" s="2"/>
      <c r="C74" s="2"/>
      <c r="D74" s="2"/>
      <c r="E74" s="2"/>
      <c r="F74" s="2"/>
      <c r="G74" s="2"/>
      <c r="H74" s="2"/>
    </row>
    <row r="75" spans="1:8" ht="15" customHeight="1" x14ac:dyDescent="0.3">
      <c r="A75" s="2"/>
      <c r="B75" s="2"/>
      <c r="C75" s="2"/>
      <c r="D75" s="2"/>
      <c r="E75" s="2"/>
      <c r="F75" s="2"/>
      <c r="G75" s="2"/>
      <c r="H75" s="2"/>
    </row>
    <row r="76" spans="1:8" ht="15" customHeight="1" x14ac:dyDescent="0.3">
      <c r="A76" s="21" t="s">
        <v>1463</v>
      </c>
      <c r="B76" s="10"/>
      <c r="C76" s="10"/>
      <c r="D76" s="10"/>
      <c r="E76" s="10"/>
      <c r="F76" s="10"/>
      <c r="G76" s="10"/>
      <c r="H76" s="10"/>
    </row>
    <row r="77" spans="1:8" ht="15" customHeight="1" x14ac:dyDescent="0.3">
      <c r="A77" s="6" t="s">
        <v>1464</v>
      </c>
      <c r="B77" s="2"/>
      <c r="C77" s="2"/>
      <c r="D77" s="2"/>
      <c r="E77" s="2"/>
      <c r="F77" s="2"/>
      <c r="G77" s="2"/>
      <c r="H77" s="2"/>
    </row>
    <row r="78" spans="1:8" ht="15" customHeight="1" x14ac:dyDescent="0.3">
      <c r="A78" s="6" t="s">
        <v>1465</v>
      </c>
      <c r="B78" s="6" t="s">
        <v>267</v>
      </c>
      <c r="C78" s="6" t="s">
        <v>245</v>
      </c>
      <c r="D78" s="19">
        <f>INDEX(Assumptions!$D$15:$F$15,1,1)</f>
        <v>0.25</v>
      </c>
      <c r="E78" s="19">
        <f>INDEX(Assumptions!$D$15:$F$15,1,2)</f>
        <v>0.25</v>
      </c>
      <c r="F78" s="19">
        <f>INDEX(Assumptions!$D$15:$F$15,1,3)</f>
        <v>0.25</v>
      </c>
      <c r="G78" s="2"/>
      <c r="H78" s="2"/>
    </row>
    <row r="79" spans="1:8" ht="15" customHeight="1" x14ac:dyDescent="0.3">
      <c r="A79" s="6" t="s">
        <v>1466</v>
      </c>
      <c r="B79" s="6" t="s">
        <v>218</v>
      </c>
      <c r="C79" s="6" t="s">
        <v>211</v>
      </c>
      <c r="D79" s="13">
        <f>-INDEX('Transaction &amp; Liquidity'!E$56:N$56,1,1)/(1+D78)^1+-INDEX('Transaction &amp; Liquidity'!E$56:N$56,1,2)/(1+D78)^2+-INDEX('Transaction &amp; Liquidity'!E$56:N$56,1,3)/(1+D78)^3+-INDEX('Transaction &amp; Liquidity'!E$56:N$56,1,4)/(1+D78)^4+-INDEX('Transaction &amp; Liquidity'!E$56:N$56,1,5)/(1+D78)^5+-INDEX('Transaction &amp; Liquidity'!E$56:N$56,1,6)/(1+D78)^6+-INDEX('Transaction &amp; Liquidity'!E$56:N$56,1,7)/(1+D78)^7+-INDEX('Transaction &amp; Liquidity'!E$56:N$56,1,8)/(1+D78)^8+-INDEX('Transaction &amp; Liquidity'!E$56:N$56,1,9)/(1+D78)^9+-INDEX('Transaction &amp; Liquidity'!E$56:N$56,1,10)/(1+D78)^10+D51/(1+D78)^INDEX(Assumptions!$D$13:$F$13,1,1)</f>
        <v>-18720798.419087589</v>
      </c>
      <c r="E79" s="13">
        <f>-INDEX('Transaction &amp; Liquidity'!E$114:N$114,1,1)/(1+E78)^1+-INDEX('Transaction &amp; Liquidity'!E$114:N$114,1,2)/(1+E78)^2+-INDEX('Transaction &amp; Liquidity'!E$114:N$114,1,3)/(1+E78)^3+-INDEX('Transaction &amp; Liquidity'!E$114:N$114,1,4)/(1+E78)^4+-INDEX('Transaction &amp; Liquidity'!E$114:N$114,1,5)/(1+E78)^5+-INDEX('Transaction &amp; Liquidity'!E$114:N$114,1,6)/(1+E78)^6+-INDEX('Transaction &amp; Liquidity'!E$114:N$114,1,7)/(1+E78)^7+-INDEX('Transaction &amp; Liquidity'!E$114:N$114,1,8)/(1+E78)^8+-INDEX('Transaction &amp; Liquidity'!E$114:N$114,1,9)/(1+E78)^9+-INDEX('Transaction &amp; Liquidity'!E$114:N$114,1,10)/(1+E78)^10+E51/(1+E78)^INDEX(Assumptions!$D$13:$F$13,1,2)</f>
        <v>-11928142.47499042</v>
      </c>
      <c r="F79" s="13">
        <f>-INDEX('Transaction &amp; Liquidity'!E$172:N$172,1,1)/(1+F78)^1+-INDEX('Transaction &amp; Liquidity'!E$172:N$172,1,2)/(1+F78)^2+-INDEX('Transaction &amp; Liquidity'!E$172:N$172,1,3)/(1+F78)^3+-INDEX('Transaction &amp; Liquidity'!E$172:N$172,1,4)/(1+F78)^4+-INDEX('Transaction &amp; Liquidity'!E$172:N$172,1,5)/(1+F78)^5+-INDEX('Transaction &amp; Liquidity'!E$172:N$172,1,6)/(1+F78)^6+-INDEX('Transaction &amp; Liquidity'!E$172:N$172,1,7)/(1+F78)^7+-INDEX('Transaction &amp; Liquidity'!E$172:N$172,1,8)/(1+F78)^8+-INDEX('Transaction &amp; Liquidity'!E$172:N$172,1,9)/(1+F78)^9+-INDEX('Transaction &amp; Liquidity'!E$172:N$172,1,10)/(1+F78)^10+F51/(1+F78)^INDEX(Assumptions!$D$13:$F$13,1,3)</f>
        <v>-2867749.1583826151</v>
      </c>
      <c r="G79" s="2"/>
      <c r="H79" s="2"/>
    </row>
    <row r="80" spans="1:8" ht="15" customHeight="1" x14ac:dyDescent="0.3">
      <c r="A80" s="6" t="s">
        <v>1467</v>
      </c>
      <c r="B80" s="6" t="s">
        <v>218</v>
      </c>
      <c r="C80" s="6" t="s">
        <v>211</v>
      </c>
      <c r="D80" s="13">
        <f>MAX(0,D79-INDEX('Transaction &amp; Liquidity'!E$58:N$58,1,1)+INDEX('Transaction &amp; Liquidity'!E$56:N$56,1,1))</f>
        <v>0</v>
      </c>
      <c r="E80" s="13">
        <f>MAX(0,E79-INDEX('Transaction &amp; Liquidity'!E$116:N$116,1,1)+INDEX('Transaction &amp; Liquidity'!E$114:N$114,1,1))</f>
        <v>0</v>
      </c>
      <c r="F80" s="13">
        <f>MAX(0,F79-INDEX('Transaction &amp; Liquidity'!E$174:N$174,1,1)+INDEX('Transaction &amp; Liquidity'!E$172:N$172,1,1))</f>
        <v>0</v>
      </c>
      <c r="G80" s="2"/>
      <c r="H80" s="2"/>
    </row>
    <row r="81" spans="1:14" ht="15" customHeight="1" x14ac:dyDescent="0.3">
      <c r="A81" s="6" t="s">
        <v>1468</v>
      </c>
      <c r="B81" s="6" t="s">
        <v>218</v>
      </c>
      <c r="C81" s="6" t="s">
        <v>211</v>
      </c>
      <c r="D81" s="13">
        <f>MAX(0,(D80-INDEX(Assumptions!$D$64:$F$64,1,1)-INDEX(Assumptions!$D$63:$F$63,1,1))/(1+INDEX(Assumptions!$D$65:$F$65,1,1)-INDEX(Assumptions!$D$95:$F$95,1,1)-INDEX(Assumptions!$D$98:$F$98,1,1)))</f>
        <v>0</v>
      </c>
      <c r="E81" s="13">
        <f>MAX(0,(E80-INDEX(Assumptions!$D$64:$F$64,1,2)-INDEX(Assumptions!$D$63:$F$63,1,2))/(1+INDEX(Assumptions!$D$65:$F$65,1,2)-INDEX(Assumptions!$D$95:$F$95,1,2)-INDEX(Assumptions!$D$98:$F$98,1,2)))</f>
        <v>0</v>
      </c>
      <c r="F81" s="13">
        <f>MAX(0,(F80-INDEX(Assumptions!$D$64:$F$64,1,3)-INDEX(Assumptions!$D$63:$F$63,1,3))/(1+INDEX(Assumptions!$D$65:$F$65,1,3)-INDEX(Assumptions!$D$95:$F$95,1,3)-INDEX(Assumptions!$D$98:$F$98,1,3)))</f>
        <v>0</v>
      </c>
      <c r="G81" s="2"/>
      <c r="H81" s="2"/>
    </row>
    <row r="82" spans="1:14" ht="15" customHeight="1" x14ac:dyDescent="0.3">
      <c r="A82" s="1" t="s">
        <v>1469</v>
      </c>
      <c r="B82" s="6" t="s">
        <v>265</v>
      </c>
      <c r="C82" s="6" t="s">
        <v>211</v>
      </c>
      <c r="D82" s="94">
        <f>IF(INDEX(Assumptions!$D$34:$F$34,1,1)=0,0,D81/INDEX(Assumptions!$D$34:$F$34,1,1))</f>
        <v>0</v>
      </c>
      <c r="E82" s="94">
        <f>IF(INDEX(Assumptions!$D$34:$F$34,1,2)=0,0,E81/INDEX(Assumptions!$D$34:$F$34,1,2))</f>
        <v>0</v>
      </c>
      <c r="F82" s="94">
        <f>IF(INDEX(Assumptions!$D$34:$F$34,1,3)=0,0,F81/INDEX(Assumptions!$D$34:$F$34,1,3))</f>
        <v>0</v>
      </c>
      <c r="G82" s="2"/>
      <c r="H82" s="2"/>
    </row>
    <row r="83" spans="1:14" ht="15" customHeight="1" x14ac:dyDescent="0.3">
      <c r="A83" s="6" t="s">
        <v>1470</v>
      </c>
      <c r="B83" s="6" t="s">
        <v>265</v>
      </c>
      <c r="C83" s="6" t="s">
        <v>211</v>
      </c>
      <c r="D83" s="12">
        <f>D82-INDEX(Assumptions!$D$39:$F$39,1,1)</f>
        <v>-6</v>
      </c>
      <c r="E83" s="12">
        <f>E82-INDEX(Assumptions!$D$39:$F$39,1,2)</f>
        <v>-6</v>
      </c>
      <c r="F83" s="12">
        <f>F82-INDEX(Assumptions!$D$39:$F$39,1,3)</f>
        <v>-6</v>
      </c>
      <c r="G83" s="2"/>
      <c r="H83" s="2"/>
    </row>
    <row r="84" spans="1:14" ht="15" customHeight="1" x14ac:dyDescent="0.3">
      <c r="A84" s="6" t="s">
        <v>168</v>
      </c>
      <c r="B84" s="6" t="s">
        <v>562</v>
      </c>
      <c r="C84" s="6" t="s">
        <v>211</v>
      </c>
      <c r="D84" s="6" t="str">
        <f>IF(D82&lt;=0,"NONE IN RANGE",IF(D83&gt;=0,"SUPPORTED","BELOW ASK"))</f>
        <v>NONE IN RANGE</v>
      </c>
      <c r="E84" s="6" t="str">
        <f>IF(E82&lt;=0,"NONE IN RANGE",IF(E83&gt;=0,"SUPPORTED","BELOW ASK"))</f>
        <v>NONE IN RANGE</v>
      </c>
      <c r="F84" s="6" t="str">
        <f>IF(F82&lt;=0,"NONE IN RANGE",IF(F83&gt;=0,"SUPPORTED","BELOW ASK"))</f>
        <v>NONE IN RANGE</v>
      </c>
      <c r="G84" s="2"/>
      <c r="H84" s="2"/>
    </row>
    <row r="87" spans="1:14" ht="15" customHeight="1" x14ac:dyDescent="0.2">
      <c r="A87" s="95" t="s">
        <v>1471</v>
      </c>
      <c r="B87" s="95"/>
      <c r="C87" s="95"/>
      <c r="D87" s="96" t="s">
        <v>203</v>
      </c>
      <c r="E87" s="96" t="s">
        <v>204</v>
      </c>
      <c r="F87" s="96" t="s">
        <v>205</v>
      </c>
      <c r="G87" s="96" t="s">
        <v>9</v>
      </c>
      <c r="H87" s="96" t="s">
        <v>206</v>
      </c>
      <c r="I87" s="96" t="s">
        <v>10</v>
      </c>
      <c r="J87" s="96" t="s">
        <v>207</v>
      </c>
      <c r="K87" s="96" t="s">
        <v>11</v>
      </c>
    </row>
    <row r="88" spans="1:14" ht="15" customHeight="1" x14ac:dyDescent="0.3">
      <c r="A88" s="2" t="s">
        <v>1472</v>
      </c>
      <c r="B88" s="2" t="s">
        <v>218</v>
      </c>
      <c r="C88" s="2" t="s">
        <v>211</v>
      </c>
      <c r="D88" s="9">
        <f>IF(0&gt;INDEX(Assumptions!$D$13:$F$13,1,1),0,-'Transaction &amp; Liquidity'!D$56+IF(0=INDEX(Assumptions!$D$13:$F$13,1,1),$D$51,0))</f>
        <v>-8707864.7799676061</v>
      </c>
      <c r="E88" s="9">
        <f>IF(1&gt;INDEX(Assumptions!$D$13:$F$13,1,1),0,-'Transaction &amp; Liquidity'!E$56+IF(1=INDEX(Assumptions!$D$13:$F$13,1,1),$D$51,0))</f>
        <v>-5166589.9199226592</v>
      </c>
      <c r="F88" s="9">
        <f>IF(2&gt;INDEX(Assumptions!$D$13:$F$13,1,1),0,-'Transaction &amp; Liquidity'!F$56+IF(2=INDEX(Assumptions!$D$13:$F$13,1,1),$D$51,0))</f>
        <v>-5890075.1525595486</v>
      </c>
      <c r="G88" s="9">
        <f>IF(3&gt;INDEX(Assumptions!$D$13:$F$13,1,1),0,-'Transaction &amp; Liquidity'!G$56+IF(3=INDEX(Assumptions!$D$13:$F$13,1,1),$D$51,0))</f>
        <v>-10580953.94031734</v>
      </c>
      <c r="H88" s="9">
        <f>IF(4&gt;INDEX(Assumptions!$D$13:$F$13,1,1),0,-'Transaction &amp; Liquidity'!H$56+IF(4=INDEX(Assumptions!$D$13:$F$13,1,1),$D$51,0))</f>
        <v>-3522240.2789952466</v>
      </c>
      <c r="I88" s="9">
        <f>IF(5&gt;INDEX(Assumptions!$D$13:$F$13,1,1),0,-'Transaction &amp; Liquidity'!I$56+IF(5=INDEX(Assumptions!$D$13:$F$13,1,1),$D$51,0))</f>
        <v>-3804526.0822885199</v>
      </c>
      <c r="J88" s="9">
        <f>IF(6&gt;INDEX(Assumptions!$D$13:$F$13,1,1),0,-'Transaction &amp; Liquidity'!J$56+IF(6=INDEX(Assumptions!$D$13:$F$13,1,1),$D$51,0))</f>
        <v>-3870542.8267812771</v>
      </c>
      <c r="K88" s="9">
        <f>IF(7&gt;INDEX(Assumptions!$D$13:$F$13,1,1),0,-'Transaction &amp; Liquidity'!K$56+IF(7=INDEX(Assumptions!$D$13:$F$13,1,1),$D$51,0))</f>
        <v>-2564190.8884639852</v>
      </c>
      <c r="L88" s="9">
        <f>IF(8&gt;INDEX(Assumptions!$D$13:$F$13,1,1),0,-'Transaction &amp; Liquidity'!L$56+IF(8=INDEX(Assumptions!$D$13:$F$13,1,1),$D$51,0))</f>
        <v>0</v>
      </c>
      <c r="M88" s="9">
        <f>IF(9&gt;INDEX(Assumptions!$D$13:$F$13,1,1),0,-'Transaction &amp; Liquidity'!M$56+IF(9=INDEX(Assumptions!$D$13:$F$13,1,1),$D$51,0))</f>
        <v>0</v>
      </c>
      <c r="N88" s="9">
        <f>IF(10&gt;INDEX(Assumptions!$D$13:$F$13,1,1),0,-'Transaction &amp; Liquidity'!N$56+IF(10=INDEX(Assumptions!$D$13:$F$13,1,1),$D$51,0))</f>
        <v>0</v>
      </c>
    </row>
    <row r="89" spans="1:14" ht="15" customHeight="1" x14ac:dyDescent="0.3">
      <c r="A89" s="2" t="s">
        <v>1473</v>
      </c>
      <c r="B89" s="2" t="s">
        <v>218</v>
      </c>
      <c r="C89" s="2" t="s">
        <v>211</v>
      </c>
      <c r="D89" s="9">
        <f>IF(0&gt;INDEX(Assumptions!$D$13:$F$13,1,2),0,-'Transaction &amp; Liquidity'!D$114+IF(0=INDEX(Assumptions!$D$13:$F$13,1,2),$E$51,0))</f>
        <v>-8437694.8000947256</v>
      </c>
      <c r="E89" s="9">
        <f>IF(1&gt;INDEX(Assumptions!$D$13:$F$13,1,2),0,-'Transaction &amp; Liquidity'!E$114+IF(1=INDEX(Assumptions!$D$13:$F$13,1,2),$E$51,0))</f>
        <v>-5947902.5605844129</v>
      </c>
      <c r="F89" s="9">
        <f>IF(2&gt;INDEX(Assumptions!$D$13:$F$13,1,2),0,-'Transaction &amp; Liquidity'!F$114+IF(2=INDEX(Assumptions!$D$13:$F$13,1,2),$E$51,0))</f>
        <v>-4976100.9493143717</v>
      </c>
      <c r="G89" s="9">
        <f>IF(3&gt;INDEX(Assumptions!$D$13:$F$13,1,2),0,-'Transaction &amp; Liquidity'!G$114+IF(3=INDEX(Assumptions!$D$13:$F$13,1,2),$E$51,0))</f>
        <v>-8035870.0829173326</v>
      </c>
      <c r="H89" s="9">
        <f>IF(4&gt;INDEX(Assumptions!$D$13:$F$13,1,2),0,-'Transaction &amp; Liquidity'!H$114+IF(4=INDEX(Assumptions!$D$13:$F$13,1,2),$E$51,0))</f>
        <v>-3342796.6833698195</v>
      </c>
      <c r="I89" s="9">
        <f>IF(5&gt;INDEX(Assumptions!$D$13:$F$13,1,2),0,-'Transaction &amp; Liquidity'!I$114+IF(5=INDEX(Assumptions!$D$13:$F$13,1,2),$E$51,0))</f>
        <v>-3238266.1126877773</v>
      </c>
      <c r="J89" s="9">
        <f>IF(6&gt;INDEX(Assumptions!$D$13:$F$13,1,2),0,-'Transaction &amp; Liquidity'!J$114+IF(6=INDEX(Assumptions!$D$13:$F$13,1,2),$E$51,0))</f>
        <v>-2521472.8028429928</v>
      </c>
      <c r="K89" s="9">
        <f>IF(7&gt;INDEX(Assumptions!$D$13:$F$13,1,2),0,-'Transaction &amp; Liquidity'!K$114+IF(7=INDEX(Assumptions!$D$13:$F$13,1,2),$E$51,0))</f>
        <v>17110916.789472274</v>
      </c>
      <c r="L89" s="9">
        <f>IF(8&gt;INDEX(Assumptions!$D$13:$F$13,1,2),0,-'Transaction &amp; Liquidity'!L$114+IF(8=INDEX(Assumptions!$D$13:$F$13,1,2),$E$51,0))</f>
        <v>0</v>
      </c>
      <c r="M89" s="9">
        <f>IF(9&gt;INDEX(Assumptions!$D$13:$F$13,1,2),0,-'Transaction &amp; Liquidity'!M$114+IF(9=INDEX(Assumptions!$D$13:$F$13,1,2),$E$51,0))</f>
        <v>0</v>
      </c>
      <c r="N89" s="9">
        <f>IF(10&gt;INDEX(Assumptions!$D$13:$F$13,1,2),0,-'Transaction &amp; Liquidity'!N$114+IF(10=INDEX(Assumptions!$D$13:$F$13,1,2),$E$51,0))</f>
        <v>0</v>
      </c>
    </row>
    <row r="90" spans="1:14" ht="15" customHeight="1" x14ac:dyDescent="0.3">
      <c r="A90" s="2" t="s">
        <v>1474</v>
      </c>
      <c r="B90" s="2" t="s">
        <v>218</v>
      </c>
      <c r="C90" s="2" t="s">
        <v>211</v>
      </c>
      <c r="D90" s="9">
        <f>IF(0&gt;INDEX(Assumptions!$D$13:$F$13,1,3),0,-'Transaction &amp; Liquidity'!D$172+IF(0=INDEX(Assumptions!$D$13:$F$13,1,3),$F$51,0))</f>
        <v>-8218258.5635128049</v>
      </c>
      <c r="E90" s="9">
        <f>IF(1&gt;INDEX(Assumptions!$D$13:$F$13,1,3),0,-'Transaction &amp; Liquidity'!E$172+IF(1=INDEX(Assumptions!$D$13:$F$13,1,3),$F$51,0))</f>
        <v>-5599223.7524069455</v>
      </c>
      <c r="F90" s="9">
        <f>IF(2&gt;INDEX(Assumptions!$D$13:$F$13,1,3),0,-'Transaction &amp; Liquidity'!F$172+IF(2=INDEX(Assumptions!$D$13:$F$13,1,3),$F$51,0))</f>
        <v>-3645610.0476617683</v>
      </c>
      <c r="G90" s="9">
        <f>IF(3&gt;INDEX(Assumptions!$D$13:$F$13,1,3),0,-'Transaction &amp; Liquidity'!G$172+IF(3=INDEX(Assumptions!$D$13:$F$13,1,3),$F$51,0))</f>
        <v>-7079358.7545304038</v>
      </c>
      <c r="H90" s="9">
        <f>IF(4&gt;INDEX(Assumptions!$D$13:$F$13,1,3),0,-'Transaction &amp; Liquidity'!H$172+IF(4=INDEX(Assumptions!$D$13:$F$13,1,3),$F$51,0))</f>
        <v>-1569253.3587085996</v>
      </c>
      <c r="I90" s="9">
        <f>IF(5&gt;INDEX(Assumptions!$D$13:$F$13,1,3),0,-'Transaction &amp; Liquidity'!I$172+IF(5=INDEX(Assumptions!$D$13:$F$13,1,3),$F$51,0))</f>
        <v>-1560610.5320150326</v>
      </c>
      <c r="J90" s="9">
        <f>IF(6&gt;INDEX(Assumptions!$D$13:$F$13,1,3),0,-'Transaction &amp; Liquidity'!J$172+IF(6=INDEX(Assumptions!$D$13:$F$13,1,3),$F$51,0))</f>
        <v>-448510.32335819863</v>
      </c>
      <c r="K90" s="9">
        <f>IF(7&gt;INDEX(Assumptions!$D$13:$F$13,1,3),0,-'Transaction &amp; Liquidity'!K$172+IF(7=INDEX(Assumptions!$D$13:$F$13,1,3),$F$51,0))</f>
        <v>42157999.426985644</v>
      </c>
      <c r="L90" s="9">
        <f>IF(8&gt;INDEX(Assumptions!$D$13:$F$13,1,3),0,-'Transaction &amp; Liquidity'!L$172+IF(8=INDEX(Assumptions!$D$13:$F$13,1,3),$F$51,0))</f>
        <v>0</v>
      </c>
      <c r="M90" s="9">
        <f>IF(9&gt;INDEX(Assumptions!$D$13:$F$13,1,3),0,-'Transaction &amp; Liquidity'!M$172+IF(9=INDEX(Assumptions!$D$13:$F$13,1,3),$F$51,0))</f>
        <v>0</v>
      </c>
      <c r="N90" s="9">
        <f>IF(10&gt;INDEX(Assumptions!$D$13:$F$13,1,3),0,-'Transaction &amp; Liquidity'!N$172+IF(10=INDEX(Assumptions!$D$13:$F$13,1,3),$F$51,0))</f>
        <v>0</v>
      </c>
    </row>
  </sheetData>
  <pageMargins left="0.7" right="0.7" top="0.75" bottom="0.75" header="0.511811023622047" footer="0.511811023622047"/>
  <pageSetup paperSize="9"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77"/>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2.75" x14ac:dyDescent="0.2"/>
  <cols>
    <col min="1" max="1" width="62" customWidth="1"/>
    <col min="2" max="2" width="18" customWidth="1"/>
    <col min="3" max="3" width="10" customWidth="1"/>
    <col min="4" max="4" width="90" customWidth="1"/>
    <col min="5" max="6" width="10" customWidth="1"/>
    <col min="7" max="8" width="14" customWidth="1"/>
  </cols>
  <sheetData>
    <row r="1" spans="1:8" ht="15" customHeight="1" x14ac:dyDescent="0.3">
      <c r="A1" s="1" t="s">
        <v>1475</v>
      </c>
      <c r="B1" s="2"/>
      <c r="C1" s="2"/>
      <c r="D1" s="2"/>
    </row>
    <row r="2" spans="1:8" ht="15" customHeight="1" x14ac:dyDescent="0.3">
      <c r="A2" s="6" t="s">
        <v>1476</v>
      </c>
      <c r="B2" s="2"/>
      <c r="C2" s="2"/>
      <c r="D2" s="2"/>
    </row>
    <row r="3" spans="1:8" ht="15" customHeight="1" x14ac:dyDescent="0.3">
      <c r="A3" s="2"/>
      <c r="B3" s="2"/>
      <c r="C3" s="2"/>
      <c r="D3" s="2"/>
    </row>
    <row r="4" spans="1:8" ht="15" customHeight="1" x14ac:dyDescent="0.25">
      <c r="A4" s="21" t="s">
        <v>1477</v>
      </c>
      <c r="B4" s="21" t="s">
        <v>98</v>
      </c>
      <c r="C4" s="21" t="s">
        <v>1478</v>
      </c>
      <c r="D4" s="21" t="s">
        <v>1131</v>
      </c>
      <c r="E4" s="21" t="s">
        <v>1479</v>
      </c>
      <c r="F4" s="21" t="s">
        <v>1480</v>
      </c>
      <c r="G4" s="21" t="s">
        <v>1481</v>
      </c>
      <c r="H4" s="21" t="s">
        <v>1482</v>
      </c>
    </row>
    <row r="5" spans="1:8" ht="15" customHeight="1" x14ac:dyDescent="0.3">
      <c r="A5" s="6" t="s">
        <v>1483</v>
      </c>
      <c r="B5" s="13">
        <f>'Acquisition Schedule'!$F$41</f>
        <v>0</v>
      </c>
      <c r="C5" s="97" t="str">
        <f>IF(B5&lt;1,"PASS","FAIL")</f>
        <v>PASS</v>
      </c>
      <c r="D5" s="6" t="s">
        <v>1484</v>
      </c>
      <c r="E5" s="6" t="s">
        <v>1015</v>
      </c>
      <c r="F5" s="6" t="s">
        <v>1027</v>
      </c>
      <c r="G5" s="6" t="s">
        <v>1027</v>
      </c>
      <c r="H5" s="6" t="s">
        <v>1027</v>
      </c>
    </row>
    <row r="6" spans="1:8" ht="15" customHeight="1" x14ac:dyDescent="0.3">
      <c r="A6" s="6" t="s">
        <v>1485</v>
      </c>
      <c r="B6" s="13">
        <f>'Acquisition Schedule'!$O$6-'Transaction &amp; Liquidity'!D$73</f>
        <v>2100000</v>
      </c>
      <c r="C6" s="97" t="str">
        <f>IF(ABS(B6)&lt;1,"PASS","REVIEW")</f>
        <v>REVIEW</v>
      </c>
      <c r="D6" s="6" t="s">
        <v>1486</v>
      </c>
      <c r="E6" s="6" t="s">
        <v>1027</v>
      </c>
      <c r="F6" s="6" t="s">
        <v>1015</v>
      </c>
      <c r="G6" s="6" t="s">
        <v>1027</v>
      </c>
      <c r="H6" s="6" t="s">
        <v>1027</v>
      </c>
    </row>
    <row r="7" spans="1:8" ht="15" customHeight="1" x14ac:dyDescent="0.3">
      <c r="A7" s="6" t="s">
        <v>1487</v>
      </c>
      <c r="B7" s="13">
        <f>SUM('Transaction &amp; Liquidity'!D$73:N$73)+SUM('Transaction &amp; Liquidity'!D$87:N$87)-'Transaction &amp; Liquidity'!N$86</f>
        <v>0</v>
      </c>
      <c r="C7" s="97" t="str">
        <f>IF(ABS(B7)&lt;1,"PASS","FAIL")</f>
        <v>PASS</v>
      </c>
      <c r="D7" s="6" t="s">
        <v>1488</v>
      </c>
      <c r="E7" s="6" t="s">
        <v>1015</v>
      </c>
      <c r="F7" s="6" t="s">
        <v>1027</v>
      </c>
      <c r="G7" s="6" t="s">
        <v>1027</v>
      </c>
      <c r="H7" s="6" t="s">
        <v>1027</v>
      </c>
    </row>
    <row r="8" spans="1:8" ht="15" customHeight="1" x14ac:dyDescent="0.3">
      <c r="A8" s="6" t="s">
        <v>1489</v>
      </c>
      <c r="B8" s="13">
        <f>IF(10&gt;=INDEX(Assumptions!$D$100:$F$100,1,2),0,'Acquisition Schedule'!F$28)+IF(9&gt;=INDEX(Assumptions!$D$100:$F$100,1,2),0,'Acquisition Schedule'!G$28)+IF(8&gt;=INDEX(Assumptions!$D$100:$F$100,1,2),0,'Acquisition Schedule'!H$28)+IF(7&gt;=INDEX(Assumptions!$D$100:$F$100,1,2),0,'Acquisition Schedule'!I$28)+IF(6&gt;=INDEX(Assumptions!$D$100:$F$100,1,2),0,'Acquisition Schedule'!J$28)+IF(5&gt;=INDEX(Assumptions!$D$100:$F$100,1,2),0,'Acquisition Schedule'!K$28)+IF(4&gt;=INDEX(Assumptions!$D$100:$F$100,1,2),0,'Acquisition Schedule'!L$28)+IF(3&gt;=INDEX(Assumptions!$D$100:$F$100,1,2),0,'Acquisition Schedule'!M$28)+IF(2&gt;=INDEX(Assumptions!$D$100:$F$100,1,2),0,'Acquisition Schedule'!N$28)+IF(1&gt;=INDEX(Assumptions!$D$100:$F$100,1,2),0,'Acquisition Schedule'!O$28)+IF(0&gt;=INDEX(Assumptions!$D$100:$F$100,1,2),0,'Acquisition Schedule'!P$28)-'Transaction &amp; Liquidity'!N$100</f>
        <v>0</v>
      </c>
      <c r="C8" s="97" t="str">
        <f>IF(ABS(B8)&lt;1,"PASS","FAIL")</f>
        <v>PASS</v>
      </c>
      <c r="D8" s="6" t="s">
        <v>1490</v>
      </c>
      <c r="E8" s="6" t="s">
        <v>1015</v>
      </c>
      <c r="F8" s="6" t="s">
        <v>1027</v>
      </c>
      <c r="G8" s="6" t="s">
        <v>1027</v>
      </c>
      <c r="H8" s="6" t="s">
        <v>1027</v>
      </c>
    </row>
    <row r="9" spans="1:8" ht="15" customHeight="1" x14ac:dyDescent="0.3">
      <c r="A9" s="6" t="s">
        <v>1491</v>
      </c>
      <c r="B9" s="13">
        <f>ABS('Transaction &amp; Liquidity'!D$73-MIN('Transaction &amp; Liquidity'!D$68,MAX(0,'Transaction &amp; Liquidity'!D$69),MAX(0,'Transaction &amp; Liquidity'!D$72)))+ABS('Transaction &amp; Liquidity'!E$73-MIN('Transaction &amp; Liquidity'!E$68,MAX(0,'Transaction &amp; Liquidity'!E$69),MAX(0,'Transaction &amp; Liquidity'!E$72)))+ABS('Transaction &amp; Liquidity'!F$73-MIN('Transaction &amp; Liquidity'!F$68,MAX(0,'Transaction &amp; Liquidity'!F$69),MAX(0,'Transaction &amp; Liquidity'!F$72)))+ABS('Transaction &amp; Liquidity'!G$73-MIN('Transaction &amp; Liquidity'!G$68,MAX(0,'Transaction &amp; Liquidity'!G$69),MAX(0,'Transaction &amp; Liquidity'!G$72)))+ABS('Transaction &amp; Liquidity'!H$73-MIN('Transaction &amp; Liquidity'!H$68,MAX(0,'Transaction &amp; Liquidity'!H$69),MAX(0,'Transaction &amp; Liquidity'!H$72)))</f>
        <v>0</v>
      </c>
      <c r="C9" s="97" t="str">
        <f>IF(B9&lt;1,"PASS","FAIL")</f>
        <v>PASS</v>
      </c>
      <c r="D9" s="6" t="s">
        <v>1492</v>
      </c>
      <c r="E9" s="6" t="s">
        <v>1015</v>
      </c>
      <c r="F9" s="6" t="s">
        <v>1027</v>
      </c>
      <c r="G9" s="6" t="s">
        <v>1027</v>
      </c>
      <c r="H9" s="6" t="s">
        <v>1027</v>
      </c>
    </row>
    <row r="10" spans="1:8" ht="15" customHeight="1" x14ac:dyDescent="0.3">
      <c r="A10" s="6" t="s">
        <v>1493</v>
      </c>
      <c r="B10" s="12">
        <f>MIN(IF('Transaction &amp; Liquidity'!E$73&lt;=0,99,'Transaction &amp; Liquidity'!E$118),IF('Transaction &amp; Liquidity'!F$73&lt;=0,99,'Transaction &amp; Liquidity'!F$118),IF('Transaction &amp; Liquidity'!G$73&lt;=0,99,'Transaction &amp; Liquidity'!G$118),IF('Transaction &amp; Liquidity'!H$73&lt;=0,99,'Transaction &amp; Liquidity'!H$118),IF('Transaction &amp; Liquidity'!I$73&lt;=0,99,'Transaction &amp; Liquidity'!I$118),IF('Transaction &amp; Liquidity'!J$73&lt;=0,99,'Transaction &amp; Liquidity'!J$118),IF('Transaction &amp; Liquidity'!K$73&lt;=0,99,'Transaction &amp; Liquidity'!K$118))-INDEX(Assumptions!$D$94:$F$94,1,2)</f>
        <v>1.4432827539863897</v>
      </c>
      <c r="C10" s="97" t="str">
        <f>IF(B10&gt;=-0.01,"PASS","FAIL")</f>
        <v>PASS</v>
      </c>
      <c r="D10" s="6" t="s">
        <v>1494</v>
      </c>
      <c r="E10" s="6" t="s">
        <v>1015</v>
      </c>
      <c r="F10" s="6" t="s">
        <v>1027</v>
      </c>
      <c r="G10" s="6" t="s">
        <v>1027</v>
      </c>
      <c r="H10" s="6" t="s">
        <v>1027</v>
      </c>
    </row>
    <row r="11" spans="1:8" ht="15" customHeight="1" x14ac:dyDescent="0.3">
      <c r="A11" s="6" t="s">
        <v>1495</v>
      </c>
      <c r="B11" s="13">
        <f>Returns!$E$20+Returns!$E$21+Returns!$E$22+Returns!$E$23+Returns!$E$24+Returns!$E$25+Returns!$E$26+Returns!$E$27-Returns!$E$28</f>
        <v>0</v>
      </c>
      <c r="C11" s="97" t="str">
        <f>IF(ABS(B11)&lt;1,"PASS","FAIL")</f>
        <v>PASS</v>
      </c>
      <c r="D11" s="6" t="s">
        <v>1496</v>
      </c>
      <c r="E11" s="6" t="s">
        <v>1015</v>
      </c>
      <c r="F11" s="6" t="s">
        <v>1027</v>
      </c>
      <c r="G11" s="6" t="s">
        <v>1027</v>
      </c>
      <c r="H11" s="6" t="s">
        <v>1027</v>
      </c>
    </row>
    <row r="12" spans="1:8" ht="15" customHeight="1" x14ac:dyDescent="0.3">
      <c r="A12" s="6" t="s">
        <v>1497</v>
      </c>
      <c r="B12" s="13">
        <f>'Org &amp; Capacity'!$I$53-('Org &amp; Capacity'!$H$53+MIN('Org &amp; Capacity'!$H$53,'Org &amp; Capacity'!$D$30)*'Org &amp; Capacity'!$D$29+'Org &amp; Capacity'!$H$53*'Org &amp; Capacity'!$D$31+'Org &amp; Capacity'!$D$32+'Org &amp; Capacity'!$D$33+'Org &amp; Capacity'!$D$42+MIN('Org &amp; Capacity'!$F$53,'Org &amp; Capacity'!$D$39)*'Org &amp; Capacity'!$D$38+'Org &amp; Capacity'!$D$40+'Org &amp; Capacity'!$D$41)</f>
        <v>0</v>
      </c>
      <c r="C12" s="97" t="str">
        <f>IF(ABS(B12)&lt;1,"PASS","FAIL")</f>
        <v>PASS</v>
      </c>
      <c r="D12" s="6" t="s">
        <v>1498</v>
      </c>
      <c r="E12" s="6" t="s">
        <v>1015</v>
      </c>
      <c r="F12" s="6" t="s">
        <v>1027</v>
      </c>
      <c r="G12" s="6" t="s">
        <v>1027</v>
      </c>
      <c r="H12" s="6" t="s">
        <v>1027</v>
      </c>
    </row>
    <row r="13" spans="1:8" ht="15" customHeight="1" x14ac:dyDescent="0.3">
      <c r="A13" s="6" t="s">
        <v>1499</v>
      </c>
      <c r="B13" s="12">
        <f>'Org &amp; Capacity'!$I$61</f>
        <v>1.2062329576774666</v>
      </c>
      <c r="C13" s="97" t="str">
        <f>IF(AND(B13&gt;1.05,B13&lt;1.45),"PASS","REVIEW")</f>
        <v>PASS</v>
      </c>
      <c r="D13" s="6" t="s">
        <v>1500</v>
      </c>
      <c r="E13" s="6" t="s">
        <v>1015</v>
      </c>
      <c r="F13" s="6" t="s">
        <v>1027</v>
      </c>
      <c r="G13" s="6" t="s">
        <v>1027</v>
      </c>
      <c r="H13" s="6" t="s">
        <v>1027</v>
      </c>
    </row>
    <row r="14" spans="1:8" ht="15" customHeight="1" x14ac:dyDescent="0.3">
      <c r="A14" s="6" t="s">
        <v>1501</v>
      </c>
      <c r="B14" s="13">
        <f>'Org &amp; Capacity'!K$186-SUMPRODUCT(--('Operating Case'!K$50&gt;='Org &amp; Capacity'!$C$66:$C$74),'Org &amp; Capacity'!$I$66:$I$74,'Org &amp; Capacity'!$K$66:$K$74)*(1+INDEX(Assumptions!$D$88:$F$88,1,2))^6</f>
        <v>0</v>
      </c>
      <c r="C14" s="97" t="str">
        <f>IF(ABS(B14)&lt;1,"PASS","FAIL")</f>
        <v>PASS</v>
      </c>
      <c r="D14" s="6" t="s">
        <v>1502</v>
      </c>
      <c r="E14" s="6" t="s">
        <v>1015</v>
      </c>
      <c r="F14" s="6" t="s">
        <v>1027</v>
      </c>
      <c r="G14" s="6" t="s">
        <v>1027</v>
      </c>
      <c r="H14" s="6" t="s">
        <v>1027</v>
      </c>
    </row>
    <row r="15" spans="1:8" ht="15" customHeight="1" x14ac:dyDescent="0.3">
      <c r="A15" s="6" t="s">
        <v>1503</v>
      </c>
      <c r="B15" s="13">
        <f>'Org &amp; Capacity'!$P$116</f>
        <v>0</v>
      </c>
      <c r="C15" s="97" t="str">
        <f>IF(B15&lt;1,"PASS","FAIL")</f>
        <v>PASS</v>
      </c>
      <c r="D15" s="6" t="s">
        <v>1504</v>
      </c>
      <c r="E15" s="6" t="s">
        <v>1015</v>
      </c>
      <c r="F15" s="6" t="s">
        <v>1027</v>
      </c>
      <c r="G15" s="6" t="s">
        <v>1027</v>
      </c>
      <c r="H15" s="6" t="s">
        <v>1027</v>
      </c>
    </row>
    <row r="16" spans="1:8" ht="15" customHeight="1" x14ac:dyDescent="0.3">
      <c r="A16" s="6" t="s">
        <v>1505</v>
      </c>
      <c r="B16" s="19">
        <f>'Org &amp; Capacity'!$S$116</f>
        <v>0.78750249231514724</v>
      </c>
      <c r="C16" s="97" t="str">
        <f>IF(B16&lt;0.7,"FAIL",IF(B16&lt;0.85,"REVIEW",IF(B16&lt;=1.15,"PASS",IF(B16&lt;=1.3,"REVIEW","FAIL"))))</f>
        <v>REVIEW</v>
      </c>
      <c r="D16" s="6" t="s">
        <v>1506</v>
      </c>
      <c r="E16" s="6" t="s">
        <v>1015</v>
      </c>
      <c r="F16" s="6" t="s">
        <v>1027</v>
      </c>
      <c r="G16" s="6" t="s">
        <v>1015</v>
      </c>
      <c r="H16" s="6" t="s">
        <v>1015</v>
      </c>
    </row>
    <row r="17" spans="1:8" ht="15" customHeight="1" x14ac:dyDescent="0.3">
      <c r="A17" s="6" t="s">
        <v>1507</v>
      </c>
      <c r="B17" s="13">
        <f>'Org &amp; Capacity'!$I$116</f>
        <v>97</v>
      </c>
      <c r="C17" s="97" t="str">
        <f>IF(B17&gt;0,"PASS","FAIL")</f>
        <v>PASS</v>
      </c>
      <c r="D17" s="6" t="s">
        <v>1508</v>
      </c>
      <c r="E17" s="6" t="s">
        <v>1015</v>
      </c>
      <c r="F17" s="6" t="s">
        <v>1027</v>
      </c>
      <c r="G17" s="6" t="s">
        <v>1027</v>
      </c>
      <c r="H17" s="6" t="s">
        <v>1027</v>
      </c>
    </row>
    <row r="18" spans="1:8" ht="15" customHeight="1" x14ac:dyDescent="0.3">
      <c r="A18" s="6" t="s">
        <v>1509</v>
      </c>
      <c r="B18" s="13">
        <f>SUMPRODUCT(--('Org &amp; Capacity'!$F$107:$F$115&lt;&gt;1))</f>
        <v>6</v>
      </c>
      <c r="C18" s="97" t="str">
        <f>IF(B18&gt;0,"PASS","REVIEW")</f>
        <v>PASS</v>
      </c>
      <c r="D18" s="6" t="s">
        <v>1510</v>
      </c>
      <c r="E18" s="6" t="s">
        <v>1015</v>
      </c>
      <c r="F18" s="6" t="s">
        <v>1027</v>
      </c>
      <c r="G18" s="6" t="s">
        <v>1027</v>
      </c>
      <c r="H18" s="6" t="s">
        <v>1027</v>
      </c>
    </row>
    <row r="19" spans="1:8" ht="15" customHeight="1" x14ac:dyDescent="0.3">
      <c r="A19" s="6" t="s">
        <v>1511</v>
      </c>
      <c r="B19" s="13">
        <f>'Org &amp; Capacity'!K$180+'Org &amp; Capacity'!K$195</f>
        <v>8528944.5970154479</v>
      </c>
      <c r="C19" s="45" t="str">
        <f>IF(Assumptions!$D$8=0,"N/A",IF(B19&lt;1,"PASS","FAIL"))</f>
        <v>N/A</v>
      </c>
      <c r="D19" s="6" t="s">
        <v>1512</v>
      </c>
      <c r="E19" s="6" t="s">
        <v>1015</v>
      </c>
      <c r="F19" s="6" t="s">
        <v>1027</v>
      </c>
      <c r="G19" s="6" t="s">
        <v>1027</v>
      </c>
      <c r="H19" s="6" t="s">
        <v>1027</v>
      </c>
    </row>
    <row r="20" spans="1:8" ht="15" customHeight="1" x14ac:dyDescent="0.3">
      <c r="A20" s="6" t="s">
        <v>1513</v>
      </c>
      <c r="B20" s="13">
        <f>SUMPRODUCT('Org &amp; Capacity'!$O$94:$O$99)</f>
        <v>3</v>
      </c>
      <c r="C20" s="97" t="str">
        <f>IF(AND(B20&gt;=1,B20&lt;=5),"PASS","REVIEW")</f>
        <v>PASS</v>
      </c>
      <c r="D20" s="6" t="s">
        <v>1514</v>
      </c>
      <c r="E20" s="6" t="s">
        <v>1015</v>
      </c>
      <c r="F20" s="6" t="s">
        <v>1027</v>
      </c>
      <c r="G20" s="6" t="s">
        <v>1027</v>
      </c>
      <c r="H20" s="6" t="s">
        <v>1027</v>
      </c>
    </row>
    <row r="21" spans="1:8" ht="15" customHeight="1" x14ac:dyDescent="0.3">
      <c r="A21" s="6" t="s">
        <v>1515</v>
      </c>
      <c r="B21" s="13">
        <f>'Operating Case'!F$147</f>
        <v>0</v>
      </c>
      <c r="C21" s="97" t="str">
        <f>IF(B21&gt;=0,"PASS","FAIL")</f>
        <v>PASS</v>
      </c>
      <c r="D21" s="6" t="s">
        <v>1516</v>
      </c>
      <c r="E21" s="6" t="s">
        <v>1015</v>
      </c>
      <c r="F21" s="6" t="s">
        <v>1027</v>
      </c>
      <c r="G21" s="6" t="s">
        <v>1027</v>
      </c>
      <c r="H21" s="6" t="s">
        <v>1027</v>
      </c>
    </row>
    <row r="22" spans="1:8" ht="15" customHeight="1" x14ac:dyDescent="0.3">
      <c r="A22" s="6" t="s">
        <v>1517</v>
      </c>
      <c r="B22" s="13">
        <f>'Acquisition Schedule'!$F$6-1000000</f>
        <v>0</v>
      </c>
      <c r="C22" s="97" t="str">
        <f>IF(B22&gt;=0,"PASS","FAIL")</f>
        <v>PASS</v>
      </c>
      <c r="D22" s="6" t="s">
        <v>1518</v>
      </c>
      <c r="E22" s="6" t="s">
        <v>1015</v>
      </c>
      <c r="F22" s="6" t="s">
        <v>1027</v>
      </c>
      <c r="G22" s="6" t="s">
        <v>1027</v>
      </c>
      <c r="H22" s="6" t="s">
        <v>1027</v>
      </c>
    </row>
    <row r="23" spans="1:8" ht="15" customHeight="1" x14ac:dyDescent="0.3">
      <c r="A23" s="6" t="s">
        <v>1519</v>
      </c>
      <c r="B23" s="19">
        <f>'Org &amp; Capacity'!$N$116*(1-INDEX(Assumptions!$D$31:$F$31,1,2))/'Org &amp; Capacity'!$D$116</f>
        <v>131.37073605065294</v>
      </c>
      <c r="C23" s="97" t="str">
        <f>IF(OR(B23&lt;60,B23&gt;450),"FAIL",IF(OR(B23&lt;100,B23&gt;300),"REVIEW","PASS"))</f>
        <v>PASS</v>
      </c>
      <c r="D23" s="6" t="s">
        <v>1520</v>
      </c>
      <c r="E23" s="6" t="s">
        <v>1015</v>
      </c>
      <c r="F23" s="6" t="s">
        <v>1027</v>
      </c>
      <c r="G23" s="6" t="s">
        <v>1015</v>
      </c>
      <c r="H23" s="6" t="s">
        <v>1027</v>
      </c>
    </row>
    <row r="24" spans="1:8" ht="15" customHeight="1" x14ac:dyDescent="0.3">
      <c r="A24" s="6" t="s">
        <v>1521</v>
      </c>
      <c r="B24" s="13">
        <f>('Operating Case'!K$58+'Operating Case'!K$59+'Operating Case'!K$60)-('Org &amp; Capacity'!$D$120*'Org &amp; Capacity'!K$168+'Org &amp; Capacity'!$E$120*'Org &amp; Capacity'!K$169+'Org &amp; Capacity'!$F$120*'Org &amp; Capacity'!K$170+'Org &amp; Capacity'!$G$120*'Org &amp; Capacity'!K$171+'Org &amp; Capacity'!$H$120*'Org &amp; Capacity'!K$172+'Org &amp; Capacity'!$I$120*'Org &amp; Capacity'!K$173+'Org &amp; Capacity'!$J$120*'Org &amp; Capacity'!K$174+'Org &amp; Capacity'!$K$120*'Org &amp; Capacity'!K$175)*(1+INDEX(Assumptions!$D$88:$F$88,1,2))^6*(1-Assumptions!$D$8)</f>
        <v>-7511037.3495615199</v>
      </c>
      <c r="C24" s="97" t="str">
        <f>IF(B24&lt;=0,"PASS","FAIL")</f>
        <v>PASS</v>
      </c>
      <c r="D24" s="6" t="s">
        <v>1522</v>
      </c>
      <c r="E24" s="6" t="s">
        <v>1015</v>
      </c>
      <c r="F24" s="6" t="s">
        <v>1027</v>
      </c>
      <c r="G24" s="6" t="s">
        <v>1027</v>
      </c>
      <c r="H24" s="6" t="s">
        <v>1027</v>
      </c>
    </row>
    <row r="25" spans="1:8" ht="15" customHeight="1" x14ac:dyDescent="0.3">
      <c r="A25" s="6" t="s">
        <v>1523</v>
      </c>
      <c r="B25" s="13">
        <f>SUM('Acquisition Schedule'!F$33:P$33)-SUM('Acquisition Schedule'!F$31:P$31)</f>
        <v>-9</v>
      </c>
      <c r="C25" s="97" t="str">
        <f>IF(B25&lt;=0,"PASS","FAIL")</f>
        <v>PASS</v>
      </c>
      <c r="D25" s="6" t="s">
        <v>1524</v>
      </c>
      <c r="E25" s="6" t="s">
        <v>1015</v>
      </c>
      <c r="F25" s="6" t="s">
        <v>1027</v>
      </c>
      <c r="G25" s="6" t="s">
        <v>1027</v>
      </c>
      <c r="H25" s="6" t="s">
        <v>1027</v>
      </c>
    </row>
    <row r="26" spans="1:8" ht="15" customHeight="1" x14ac:dyDescent="0.3">
      <c r="A26" s="6" t="s">
        <v>1525</v>
      </c>
      <c r="B26" s="13">
        <f>MAX('Org &amp; Capacity'!D$193-'Org &amp; Capacity'!D$180,'Org &amp; Capacity'!E$193-'Org &amp; Capacity'!E$180,'Org &amp; Capacity'!H$193-'Org &amp; Capacity'!H$180,'Org &amp; Capacity'!K$193-'Org &amp; Capacity'!K$180,-MIN('Org &amp; Capacity'!D$193,'Org &amp; Capacity'!E$193,'Org &amp; Capacity'!F$193,'Org &amp; Capacity'!G$193,'Org &amp; Capacity'!H$193,'Org &amp; Capacity'!I$193,'Org &amp; Capacity'!J$193,'Org &amp; Capacity'!K$193,'Org &amp; Capacity'!L$193,'Org &amp; Capacity'!M$193,'Org &amp; Capacity'!N$193))</f>
        <v>0</v>
      </c>
      <c r="C26" s="97" t="str">
        <f>IF(B26&lt;=0,"PASS","FAIL")</f>
        <v>PASS</v>
      </c>
      <c r="D26" s="6" t="s">
        <v>1526</v>
      </c>
      <c r="E26" s="6" t="s">
        <v>1015</v>
      </c>
      <c r="F26" s="6" t="s">
        <v>1027</v>
      </c>
      <c r="G26" s="6" t="s">
        <v>1027</v>
      </c>
      <c r="H26" s="6" t="s">
        <v>1027</v>
      </c>
    </row>
    <row r="27" spans="1:8" ht="15" customHeight="1" x14ac:dyDescent="0.3">
      <c r="A27" s="6" t="s">
        <v>1527</v>
      </c>
      <c r="B27" s="13">
        <f>SUMPRODUCT(--('Org &amp; Capacity'!$J$47:$J$60="NO CREDIT"))</f>
        <v>2</v>
      </c>
      <c r="C27" s="97" t="str">
        <f>IF(B27&gt;=2,"PASS","REVIEW")</f>
        <v>PASS</v>
      </c>
      <c r="D27" s="6" t="s">
        <v>1528</v>
      </c>
      <c r="E27" s="6" t="s">
        <v>1015</v>
      </c>
      <c r="F27" s="6" t="s">
        <v>1027</v>
      </c>
      <c r="G27" s="6" t="s">
        <v>1027</v>
      </c>
      <c r="H27" s="6" t="s">
        <v>1027</v>
      </c>
    </row>
    <row r="28" spans="1:8" ht="15" customHeight="1" x14ac:dyDescent="0.3">
      <c r="A28" s="6" t="s">
        <v>1529</v>
      </c>
      <c r="B28" s="13">
        <f>'Operating Case'!K$79-('Operating Case'!K$76+'Operating Case'!K$77+'Operating Case'!K$78)</f>
        <v>0</v>
      </c>
      <c r="C28" s="97" t="str">
        <f>IF(ABS(B28)&lt;1,"PASS","FAIL")</f>
        <v>PASS</v>
      </c>
      <c r="D28" s="6" t="s">
        <v>1530</v>
      </c>
      <c r="E28" s="6" t="s">
        <v>1015</v>
      </c>
      <c r="F28" s="6" t="s">
        <v>1027</v>
      </c>
      <c r="G28" s="6" t="s">
        <v>1027</v>
      </c>
      <c r="H28" s="6" t="s">
        <v>1027</v>
      </c>
    </row>
    <row r="29" spans="1:8" ht="15" customHeight="1" x14ac:dyDescent="0.3">
      <c r="A29" s="6" t="s">
        <v>1531</v>
      </c>
      <c r="B29" s="13">
        <f>ABS('Acquisition Schedule'!$F$6-INDEX(Assumptions!$D$34:$F$34,1,2))+ABS('Acquisition Schedule'!$I$6-INDEX(Assumptions!$D$34:$F$34,1,2)/INDEX(Assumptions!$D$32:$F$32,1,2))+ABS('Acquisition Schedule'!$N$6-INDEX(Assumptions!$D$34:$F$34,1,2)*INDEX(Assumptions!$D$39:$F$39,1,2))+ABS('Acquisition Schedule'!$F$15-(INDEX(Assumptions!$D$34:$F$34,1,2)+7*INDEX(Assumptions!$D$35:$F$35,1,2)+INDEX(Assumptions!$D$37:$F$37,1,2)))</f>
        <v>0</v>
      </c>
      <c r="C29" s="97" t="str">
        <f>IF(B29&lt;1,"PASS","FAIL")</f>
        <v>PASS</v>
      </c>
      <c r="D29" s="6" t="s">
        <v>1532</v>
      </c>
      <c r="E29" s="6" t="s">
        <v>1015</v>
      </c>
      <c r="F29" s="6" t="s">
        <v>1027</v>
      </c>
      <c r="G29" s="6" t="s">
        <v>1027</v>
      </c>
      <c r="H29" s="6" t="s">
        <v>1027</v>
      </c>
    </row>
    <row r="30" spans="1:8" ht="15" customHeight="1" x14ac:dyDescent="0.3">
      <c r="A30" s="6" t="s">
        <v>1533</v>
      </c>
      <c r="B30" s="13">
        <f>'Operating Case'!K$50-INDEX(Assumptions!$D$16:$F$16,1,2)</f>
        <v>0</v>
      </c>
      <c r="C30" s="97" t="str">
        <f>IF(B30&lt;=0,"PASS","FAIL")</f>
        <v>PASS</v>
      </c>
      <c r="D30" s="6" t="s">
        <v>1534</v>
      </c>
      <c r="E30" s="6" t="s">
        <v>1015</v>
      </c>
      <c r="F30" s="6" t="s">
        <v>1027</v>
      </c>
      <c r="G30" s="6" t="s">
        <v>1027</v>
      </c>
      <c r="H30" s="6" t="s">
        <v>1027</v>
      </c>
    </row>
    <row r="31" spans="1:8" ht="15" customHeight="1" x14ac:dyDescent="0.3">
      <c r="A31" s="6" t="s">
        <v>1535</v>
      </c>
      <c r="B31" s="54">
        <f>'Operating Case'!K$51-'Operating Case'!K$50/INDEX(Assumptions!$D$17:$F$17,1,2)</f>
        <v>0</v>
      </c>
      <c r="C31" s="97" t="str">
        <f>IF(ABS(B31)&lt;0.01,"PASS","FAIL")</f>
        <v>PASS</v>
      </c>
      <c r="D31" s="98"/>
      <c r="E31" s="6" t="s">
        <v>1015</v>
      </c>
      <c r="F31" s="6" t="s">
        <v>1027</v>
      </c>
      <c r="G31" s="6" t="s">
        <v>1027</v>
      </c>
      <c r="H31" s="6" t="s">
        <v>1027</v>
      </c>
    </row>
    <row r="32" spans="1:8" ht="15" customHeight="1" x14ac:dyDescent="0.3">
      <c r="A32" s="6" t="s">
        <v>1536</v>
      </c>
      <c r="B32" s="13">
        <f>ABS('Acquisition Schedule'!$I$15-'Acquisition Schedule'!$F$15/INDEX(Assumptions!$D$32:$F$32,1,2))+ABS('Acquisition Schedule'!$J$15-'Acquisition Schedule'!$I$15/INDEX(Assumptions!$D$17:$F$17,1,2))+ABS('Acquisition Schedule'!$K$15-(INDEX(Assumptions!$D$43:$F$43,1,2)+8*INDEX(Assumptions!$D$44:$F$44,1,2)))</f>
        <v>7.1054273576010019E-15</v>
      </c>
      <c r="C32" s="97" t="str">
        <f>IF(B32&lt;0.01,"PASS","FAIL")</f>
        <v>PASS</v>
      </c>
      <c r="D32" s="6" t="s">
        <v>1537</v>
      </c>
      <c r="E32" s="6" t="s">
        <v>1015</v>
      </c>
      <c r="F32" s="6" t="s">
        <v>1027</v>
      </c>
      <c r="G32" s="6" t="s">
        <v>1027</v>
      </c>
      <c r="H32" s="6" t="s">
        <v>1027</v>
      </c>
    </row>
    <row r="33" spans="1:8" ht="15" customHeight="1" x14ac:dyDescent="0.3">
      <c r="A33" s="6" t="s">
        <v>1538</v>
      </c>
      <c r="B33" s="19">
        <f>'Operating Case'!K$52/INDEX(Assumptions!$D$24:$F$24,1,2)-1</f>
        <v>-5.5644444444444607E-2</v>
      </c>
      <c r="C33" s="97" t="str">
        <f>IF(ABS(B33)&lt;=0.1,"PASS","REVIEW")</f>
        <v>PASS</v>
      </c>
      <c r="D33" s="6" t="s">
        <v>1539</v>
      </c>
      <c r="E33" s="6" t="s">
        <v>1015</v>
      </c>
      <c r="F33" s="6" t="s">
        <v>1027</v>
      </c>
      <c r="G33" s="6" t="s">
        <v>1027</v>
      </c>
      <c r="H33" s="6" t="s">
        <v>1027</v>
      </c>
    </row>
    <row r="34" spans="1:8" ht="15" customHeight="1" x14ac:dyDescent="0.3">
      <c r="A34" s="6" t="s">
        <v>1540</v>
      </c>
      <c r="B34" s="13">
        <f>SUMPRODUCT('Org &amp; Capacity'!$P$47:$P$60)</f>
        <v>6</v>
      </c>
      <c r="C34" s="97" t="str">
        <f>IF(AND(B34&gt;=5,B34&lt;=9),"PASS","REVIEW")</f>
        <v>PASS</v>
      </c>
      <c r="D34" s="6" t="s">
        <v>1541</v>
      </c>
      <c r="E34" s="6" t="s">
        <v>1015</v>
      </c>
      <c r="F34" s="6" t="s">
        <v>1027</v>
      </c>
      <c r="G34" s="6" t="s">
        <v>1027</v>
      </c>
      <c r="H34" s="6" t="s">
        <v>1027</v>
      </c>
    </row>
    <row r="35" spans="1:8" ht="15" customHeight="1" x14ac:dyDescent="0.3">
      <c r="A35" s="6" t="s">
        <v>1542</v>
      </c>
      <c r="B35" s="19">
        <f>(INDEX(Assumptions!$D$72:$F$72,1,2)*(1-Assumptions!$D$8))</f>
        <v>0.4</v>
      </c>
      <c r="C35" s="97" t="str">
        <f>IF(B35&gt;0,"PASS","REVIEW")</f>
        <v>PASS</v>
      </c>
      <c r="D35" s="6" t="s">
        <v>1543</v>
      </c>
      <c r="E35" s="6" t="s">
        <v>1015</v>
      </c>
      <c r="F35" s="6" t="s">
        <v>1027</v>
      </c>
      <c r="G35" s="6" t="s">
        <v>1027</v>
      </c>
      <c r="H35" s="6" t="s">
        <v>1027</v>
      </c>
    </row>
    <row r="36" spans="1:8" ht="15" customHeight="1" x14ac:dyDescent="0.3">
      <c r="A36" s="6" t="s">
        <v>1544</v>
      </c>
      <c r="B36" s="13">
        <f>SUMPRODUCT(--('Acquisition Schedule'!$I$6:$I$14&lt;&gt;'Acquisition Schedule'!$F$6:$F$14/INDEX(Assumptions!$D$32:$F$32,1,2)))</f>
        <v>0</v>
      </c>
      <c r="C36" s="97" t="str">
        <f>IF(B36=0,"PASS","FAIL")</f>
        <v>PASS</v>
      </c>
      <c r="D36" s="6" t="s">
        <v>1545</v>
      </c>
      <c r="E36" s="6" t="s">
        <v>1015</v>
      </c>
      <c r="F36" s="6" t="s">
        <v>1027</v>
      </c>
      <c r="G36" s="6" t="s">
        <v>1027</v>
      </c>
      <c r="H36" s="6" t="s">
        <v>1027</v>
      </c>
    </row>
    <row r="37" spans="1:8" ht="15" customHeight="1" x14ac:dyDescent="0.3">
      <c r="A37" s="6" t="s">
        <v>1546</v>
      </c>
      <c r="B37" s="13">
        <f>'Operating Case'!K$55-'Operating Case'!K$54*'Revenue &amp; Durability'!K$130</f>
        <v>0</v>
      </c>
      <c r="C37" s="97" t="str">
        <f>IF(ABS(B37)&lt;1,"PASS","FAIL")</f>
        <v>PASS</v>
      </c>
      <c r="D37" s="6" t="s">
        <v>1547</v>
      </c>
      <c r="E37" s="6" t="s">
        <v>1015</v>
      </c>
      <c r="F37" s="6" t="s">
        <v>1027</v>
      </c>
      <c r="G37" s="6" t="s">
        <v>1027</v>
      </c>
      <c r="H37" s="6" t="s">
        <v>1027</v>
      </c>
    </row>
    <row r="38" spans="1:8" ht="15" customHeight="1" x14ac:dyDescent="0.3">
      <c r="A38" s="6" t="s">
        <v>1548</v>
      </c>
      <c r="B38" s="13">
        <f>'Operating Case'!F$149</f>
        <v>0</v>
      </c>
      <c r="C38" s="97" t="str">
        <f>IF(B38&gt;=0,"PASS","FAIL")</f>
        <v>PASS</v>
      </c>
      <c r="D38" s="6" t="s">
        <v>1549</v>
      </c>
      <c r="E38" s="6" t="s">
        <v>1015</v>
      </c>
      <c r="F38" s="6" t="s">
        <v>1027</v>
      </c>
      <c r="G38" s="6" t="s">
        <v>1027</v>
      </c>
      <c r="H38" s="6" t="s">
        <v>1027</v>
      </c>
    </row>
    <row r="39" spans="1:8" ht="15" customHeight="1" x14ac:dyDescent="0.3">
      <c r="A39" s="6" t="s">
        <v>1550</v>
      </c>
      <c r="B39" s="13">
        <f>MAX('Revenue &amp; Durability'!K$37,'Revenue &amp; Durability'!K$100,'Revenue &amp; Durability'!K$163)-INDEX(Assumptions!$D$16:$F$16,1,2)</f>
        <v>-5858.6455197686446</v>
      </c>
      <c r="C39" s="97" t="str">
        <f>IF(B39&lt;=0,"PASS","FAIL")</f>
        <v>PASS</v>
      </c>
      <c r="D39" s="6" t="s">
        <v>1551</v>
      </c>
      <c r="E39" s="6" t="s">
        <v>1015</v>
      </c>
      <c r="F39" s="6" t="s">
        <v>1027</v>
      </c>
      <c r="G39" s="6" t="s">
        <v>1027</v>
      </c>
      <c r="H39" s="6" t="s">
        <v>1027</v>
      </c>
    </row>
    <row r="40" spans="1:8" ht="15" customHeight="1" x14ac:dyDescent="0.3">
      <c r="A40" s="6" t="s">
        <v>1552</v>
      </c>
      <c r="B40" s="13">
        <f>MAX(ABS('Revenue &amp; Durability'!I$49-'Revenue &amp; Durability'!I$58*INDEX(Assumptions!$D$17:$F$17,1,2)),ABS('Revenue &amp; Durability'!N$49-'Revenue &amp; Durability'!N$58*INDEX(Assumptions!$D$17:$F$17,1,2)),ABS('Revenue &amp; Durability'!I$112-'Revenue &amp; Durability'!I$121*INDEX(Assumptions!$D$17:$F$17,1,2)),ABS('Revenue &amp; Durability'!N$112-'Revenue &amp; Durability'!N$121*INDEX(Assumptions!$D$17:$F$17,1,2)),ABS('Revenue &amp; Durability'!I$175-'Revenue &amp; Durability'!I$184*INDEX(Assumptions!$D$17:$F$17,1,2)),ABS('Revenue &amp; Durability'!N$175-'Revenue &amp; Durability'!N$184*INDEX(Assumptions!$D$17:$F$17,1,2)))</f>
        <v>0</v>
      </c>
      <c r="C40" s="97" t="str">
        <f>IF(B40&lt;1,"PASS","FAIL")</f>
        <v>PASS</v>
      </c>
      <c r="D40" s="6" t="s">
        <v>1553</v>
      </c>
      <c r="E40" s="6" t="s">
        <v>1015</v>
      </c>
      <c r="F40" s="6" t="s">
        <v>1027</v>
      </c>
      <c r="G40" s="6" t="s">
        <v>1027</v>
      </c>
      <c r="H40" s="6" t="s">
        <v>1027</v>
      </c>
    </row>
    <row r="41" spans="1:8" ht="15" customHeight="1" x14ac:dyDescent="0.3">
      <c r="A41" s="6" t="s">
        <v>1554</v>
      </c>
      <c r="B41" s="13">
        <f>'Operating Case'!K$56-'Revenue &amp; Durability'!K$109</f>
        <v>0</v>
      </c>
      <c r="C41" s="97" t="str">
        <f>IF(ABS(B41)&lt;1,"PASS","FAIL")</f>
        <v>PASS</v>
      </c>
      <c r="D41" s="6" t="s">
        <v>1555</v>
      </c>
      <c r="E41" s="6" t="s">
        <v>1015</v>
      </c>
      <c r="F41" s="6" t="s">
        <v>1027</v>
      </c>
      <c r="G41" s="6" t="s">
        <v>1027</v>
      </c>
      <c r="H41" s="6" t="s">
        <v>1027</v>
      </c>
    </row>
    <row r="42" spans="1:8" ht="15" customHeight="1" x14ac:dyDescent="0.3">
      <c r="A42" s="6" t="s">
        <v>1556</v>
      </c>
      <c r="B42" s="13">
        <f>MAX('Revenue &amp; Durability'!K$49,'Revenue &amp; Durability'!K$112,'Revenue &amp; Durability'!K$175)-INDEX(Assumptions!$D$16:$F$16,1,2)</f>
        <v>0</v>
      </c>
      <c r="C42" s="97" t="str">
        <f>IF(B42&lt;=1,"PASS","FAIL")</f>
        <v>PASS</v>
      </c>
      <c r="D42" s="6" t="s">
        <v>1557</v>
      </c>
      <c r="E42" s="6" t="s">
        <v>1015</v>
      </c>
      <c r="F42" s="6" t="s">
        <v>1027</v>
      </c>
      <c r="G42" s="6" t="s">
        <v>1027</v>
      </c>
      <c r="H42" s="6" t="s">
        <v>1027</v>
      </c>
    </row>
    <row r="43" spans="1:8" ht="15" customHeight="1" x14ac:dyDescent="0.3">
      <c r="A43" s="6" t="s">
        <v>1558</v>
      </c>
      <c r="B43" s="13">
        <f>'Revenue &amp; Durability'!K$44+'Revenue &amp; Durability'!K$107+'Revenue &amp; Durability'!K$170</f>
        <v>31215.533930672249</v>
      </c>
      <c r="C43" s="97" t="str">
        <f>IF(B43&gt;=0,"PASS","FAIL")</f>
        <v>PASS</v>
      </c>
      <c r="D43" s="6" t="s">
        <v>1559</v>
      </c>
      <c r="E43" s="6" t="s">
        <v>1015</v>
      </c>
      <c r="F43" s="6" t="s">
        <v>1027</v>
      </c>
      <c r="G43" s="6" t="s">
        <v>1027</v>
      </c>
      <c r="H43" s="6" t="s">
        <v>1027</v>
      </c>
    </row>
    <row r="44" spans="1:8" ht="15" customHeight="1" x14ac:dyDescent="0.3">
      <c r="A44" s="6" t="s">
        <v>1560</v>
      </c>
      <c r="B44" s="88">
        <f>MIN('Revenue &amp; Durability'!$D$14,'Revenue &amp; Durability'!$D$77,'Revenue &amp; Durability'!$D$140)</f>
        <v>1.7750000000000044E-2</v>
      </c>
      <c r="C44" s="97" t="str">
        <f>IF(B44&gt;=0,"PASS","FAIL")</f>
        <v>PASS</v>
      </c>
      <c r="D44" s="6" t="s">
        <v>1561</v>
      </c>
      <c r="E44" s="6" t="s">
        <v>1015</v>
      </c>
      <c r="F44" s="6" t="s">
        <v>1027</v>
      </c>
      <c r="G44" s="6" t="s">
        <v>1027</v>
      </c>
      <c r="H44" s="6" t="s">
        <v>1027</v>
      </c>
    </row>
    <row r="45" spans="1:8" ht="15" customHeight="1" x14ac:dyDescent="0.3">
      <c r="A45" s="6" t="s">
        <v>1562</v>
      </c>
      <c r="B45" s="19">
        <f>'Revenue &amp; Durability'!$D$73+'Revenue &amp; Durability'!$D$74-'Revenue &amp; Durability'!$D$72</f>
        <v>5.1000000000000045E-2</v>
      </c>
      <c r="C45" s="97" t="str">
        <f>IF(B45&gt;0,"PASS","REVIEW")</f>
        <v>PASS</v>
      </c>
      <c r="D45" s="6" t="s">
        <v>1563</v>
      </c>
      <c r="E45" s="6" t="s">
        <v>1015</v>
      </c>
      <c r="F45" s="6" t="s">
        <v>1027</v>
      </c>
      <c r="G45" s="6" t="s">
        <v>1027</v>
      </c>
      <c r="H45" s="6" t="s">
        <v>1027</v>
      </c>
    </row>
    <row r="46" spans="1:8" ht="15" customHeight="1" x14ac:dyDescent="0.3">
      <c r="A46" s="6" t="s">
        <v>1564</v>
      </c>
      <c r="B46" s="19">
        <f>'Anchor QoE'!F$11</f>
        <v>1</v>
      </c>
      <c r="C46" s="97" t="str">
        <f>IF(ABS(B46-1)&lt;0.000001,"PASS","FAIL")</f>
        <v>PASS</v>
      </c>
      <c r="D46" s="98"/>
      <c r="E46" s="6" t="s">
        <v>1015</v>
      </c>
      <c r="F46" s="6" t="s">
        <v>1027</v>
      </c>
      <c r="G46" s="6" t="s">
        <v>1027</v>
      </c>
      <c r="H46" s="6" t="s">
        <v>1027</v>
      </c>
    </row>
    <row r="47" spans="1:8" ht="15" customHeight="1" x14ac:dyDescent="0.3">
      <c r="A47" s="6"/>
      <c r="B47" s="13"/>
      <c r="C47" s="97"/>
      <c r="D47" s="98"/>
    </row>
    <row r="48" spans="1:8" ht="15" customHeight="1" x14ac:dyDescent="0.3">
      <c r="A48" s="6"/>
      <c r="B48" s="13"/>
      <c r="C48" s="97"/>
      <c r="D48" s="98"/>
    </row>
    <row r="49" spans="1:8" ht="15" customHeight="1" x14ac:dyDescent="0.3">
      <c r="A49" s="6" t="s">
        <v>1565</v>
      </c>
      <c r="B49" s="13">
        <f>SUMPRODUCT(ABS('Revenue &amp; Durability'!$D$112:$N$112-('Revenue &amp; Durability'!$D$100:$N$100+'Revenue &amp; Durability'!$D$106:$N$106)))+SUMPRODUCT(ABS('Revenue &amp; Durability'!$D$49:$N$49-('Revenue &amp; Durability'!$D$37:$N$37+'Revenue &amp; Durability'!$D$43:$N$43)))+SUMPRODUCT(ABS('Revenue &amp; Durability'!$D$175:$N$175-('Revenue &amp; Durability'!$D$163:$N$163+'Revenue &amp; Durability'!$D$169:$N$169)))</f>
        <v>0</v>
      </c>
      <c r="C49" s="97" t="str">
        <f>IF(B49&lt;3,"PASS","FAIL")</f>
        <v>PASS</v>
      </c>
      <c r="D49" s="6" t="s">
        <v>1566</v>
      </c>
      <c r="E49" s="6" t="s">
        <v>1015</v>
      </c>
      <c r="F49" s="6" t="s">
        <v>1027</v>
      </c>
      <c r="G49" s="6" t="s">
        <v>1027</v>
      </c>
      <c r="H49" s="6" t="s">
        <v>1027</v>
      </c>
    </row>
    <row r="50" spans="1:8" ht="15" customHeight="1" x14ac:dyDescent="0.3">
      <c r="A50" s="6"/>
      <c r="B50" s="13"/>
      <c r="C50" s="97"/>
      <c r="D50" s="98"/>
    </row>
    <row r="51" spans="1:8" ht="15" customHeight="1" x14ac:dyDescent="0.3">
      <c r="A51" s="6" t="s">
        <v>1567</v>
      </c>
      <c r="B51" s="13">
        <f>'Transaction &amp; Liquidity'!$D$191</f>
        <v>5247121.9056153558</v>
      </c>
      <c r="C51" s="97" t="str">
        <f>IF(ABS(B51)&lt;1000,"PASS","REVIEW")</f>
        <v>REVIEW</v>
      </c>
      <c r="D51" s="6" t="s">
        <v>1568</v>
      </c>
      <c r="E51" s="6" t="s">
        <v>1027</v>
      </c>
      <c r="F51" s="6" t="s">
        <v>1015</v>
      </c>
      <c r="G51" s="6" t="s">
        <v>1027</v>
      </c>
      <c r="H51" s="6" t="s">
        <v>1027</v>
      </c>
    </row>
    <row r="52" spans="1:8" ht="15" customHeight="1" x14ac:dyDescent="0.3">
      <c r="A52" s="6" t="s">
        <v>1569</v>
      </c>
      <c r="B52" s="13">
        <f>INDEX(Assumptions!$D$13:$F$13,1,2)-INDEX(Assumptions!$D$12:$F$12,1,2)</f>
        <v>0</v>
      </c>
      <c r="C52" s="97" t="str">
        <f>IF(B52&lt;0,"FAIL",IF(B52=0,"REVIEW","PASS"))</f>
        <v>REVIEW</v>
      </c>
      <c r="D52" s="6" t="s">
        <v>1570</v>
      </c>
      <c r="E52" s="6" t="s">
        <v>1027</v>
      </c>
      <c r="F52" s="6" t="s">
        <v>1015</v>
      </c>
      <c r="G52" s="6" t="s">
        <v>1027</v>
      </c>
      <c r="H52" s="6" t="s">
        <v>1027</v>
      </c>
    </row>
    <row r="53" spans="1:8" ht="15" customHeight="1" x14ac:dyDescent="0.3">
      <c r="A53" s="6" t="s">
        <v>1571</v>
      </c>
      <c r="B53" s="19">
        <f>Returns!$E$37</f>
        <v>0.29103577800856184</v>
      </c>
      <c r="C53" s="97" t="str">
        <f>IF(B53&gt;=0.8,"PASS","REVIEW")</f>
        <v>REVIEW</v>
      </c>
      <c r="D53" s="6" t="s">
        <v>1572</v>
      </c>
      <c r="E53" s="6" t="s">
        <v>1027</v>
      </c>
      <c r="F53" s="6" t="s">
        <v>1015</v>
      </c>
      <c r="G53" s="6" t="s">
        <v>1027</v>
      </c>
      <c r="H53" s="6" t="s">
        <v>1027</v>
      </c>
    </row>
    <row r="54" spans="1:8" ht="15" customHeight="1" x14ac:dyDescent="0.3">
      <c r="A54" s="6" t="s">
        <v>1573</v>
      </c>
      <c r="B54" s="19">
        <f>Returns!$E$45</f>
        <v>0.63938195187392299</v>
      </c>
      <c r="C54" s="97" t="str">
        <f>IF(B54&lt;0.5,"PASS","REVIEW")</f>
        <v>REVIEW</v>
      </c>
      <c r="D54" s="6" t="s">
        <v>1574</v>
      </c>
      <c r="E54" s="6" t="s">
        <v>1027</v>
      </c>
      <c r="F54" s="6" t="s">
        <v>1015</v>
      </c>
      <c r="G54" s="6" t="s">
        <v>1027</v>
      </c>
      <c r="H54" s="6" t="s">
        <v>1027</v>
      </c>
    </row>
    <row r="55" spans="1:8" ht="15" customHeight="1" x14ac:dyDescent="0.3">
      <c r="A55" s="6" t="s">
        <v>1575</v>
      </c>
      <c r="B55" s="19">
        <f>(--(ABS('Org &amp; Capacity'!$E$49-'Org &amp; Capacity'!$D$12)&gt;0))+(--(ABS('Org &amp; Capacity'!$E$51-'Org &amp; Capacity'!$D$14)&gt;0))+(--(ABS('Org &amp; Capacity'!$E$55-'Org &amp; Capacity'!$D$14)&gt;0))+(--(ABS('Org &amp; Capacity'!$E$56-'Org &amp; Capacity'!$D$24)&gt;0))+(--(ABS('Org &amp; Capacity'!$E$58-'Org &amp; Capacity'!$D$24)&gt;0))+(--(ABS('Org &amp; Capacity'!$E$59-'Org &amp; Capacity'!$D$14)&gt;0))+(--('Org &amp; Capacity'!$E$60&gt;0))</f>
        <v>0</v>
      </c>
      <c r="C55" s="97" t="str">
        <f>IF(B55=0,"PASS","REVIEW")</f>
        <v>PASS</v>
      </c>
      <c r="D55" s="6" t="s">
        <v>1576</v>
      </c>
      <c r="E55" s="6" t="s">
        <v>1015</v>
      </c>
      <c r="F55" s="6" t="s">
        <v>1027</v>
      </c>
      <c r="G55" s="6" t="s">
        <v>1015</v>
      </c>
      <c r="H55" s="6" t="s">
        <v>1015</v>
      </c>
    </row>
    <row r="56" spans="1:8" ht="15" customHeight="1" x14ac:dyDescent="0.3">
      <c r="A56" s="6" t="s">
        <v>1577</v>
      </c>
      <c r="B56" s="19">
        <f>SUMPRODUCT(--('Org &amp; Capacity'!$X$47:$X$60&lt;=0))+SUMPRODUCT(--('Org &amp; Capacity'!$X$47:$X$54&lt;&gt;1))+SUMPRODUCT(--('Org &amp; Capacity'!$X$56:$X$60&lt;&gt;1))+SUMPRODUCT(--('Org &amp; Capacity'!$G$107:$G$115&lt;0))+SUMPRODUCT(--('Org &amp; Capacity'!$I$107:$I$115&lt;0))+SUMPRODUCT(--('Org &amp; Capacity'!$K$107:$K$115&lt;0))+SUMPRODUCT(--('Org &amp; Capacity'!$D$183:$N$183&lt;0))+SUMPRODUCT(--('Org &amp; Capacity'!$D$259:$N$259&lt;0))</f>
        <v>0</v>
      </c>
      <c r="C56" s="97" t="str">
        <f>IF(B56=0,"PASS","FAIL")</f>
        <v>PASS</v>
      </c>
      <c r="D56" s="6" t="s">
        <v>1578</v>
      </c>
      <c r="E56" s="6" t="s">
        <v>1015</v>
      </c>
      <c r="F56" s="6" t="s">
        <v>1027</v>
      </c>
      <c r="G56" s="6" t="s">
        <v>1027</v>
      </c>
      <c r="H56" s="6" t="s">
        <v>1027</v>
      </c>
    </row>
    <row r="57" spans="1:8" ht="15" customHeight="1" x14ac:dyDescent="0.3">
      <c r="A57" s="6" t="s">
        <v>1579</v>
      </c>
      <c r="B57" s="19">
        <f>ABS('Org &amp; Capacity'!$D$257)+SUMPRODUCT('Org &amp; Capacity'!$D$274:$N$274)+ABS('Org &amp; Capacity'!$Q$116*'Org &amp; Capacity'!$S$116-'Org &amp; Capacity'!$R$116)</f>
        <v>4.6566128730773926E-10</v>
      </c>
      <c r="C57" s="97" t="str">
        <f>IF(B57&lt;1,"PASS","FAIL")</f>
        <v>PASS</v>
      </c>
      <c r="D57" s="6" t="s">
        <v>1580</v>
      </c>
      <c r="E57" s="6" t="s">
        <v>1015</v>
      </c>
      <c r="F57" s="6" t="s">
        <v>1027</v>
      </c>
      <c r="G57" s="6" t="s">
        <v>1027</v>
      </c>
      <c r="H57" s="6" t="s">
        <v>1027</v>
      </c>
    </row>
    <row r="58" spans="1:8" ht="15" customHeight="1" x14ac:dyDescent="0.3">
      <c r="A58" s="6" t="s">
        <v>1581</v>
      </c>
      <c r="B58" s="19">
        <f>MIN('Org &amp; Capacity'!$S$107:$S$115)</f>
        <v>0.75292474549562749</v>
      </c>
      <c r="C58" s="97" t="str">
        <f>IF(B58&lt;0.7,"FAIL",IF(B58&lt;0.85,"REVIEW",IF(B58&lt;=1.15,"PASS",IF(B58&lt;=1.3,"REVIEW","FAIL"))))</f>
        <v>REVIEW</v>
      </c>
      <c r="D58" s="6" t="s">
        <v>1582</v>
      </c>
      <c r="E58" s="6" t="s">
        <v>1015</v>
      </c>
      <c r="F58" s="6" t="s">
        <v>1027</v>
      </c>
      <c r="G58" s="6" t="s">
        <v>1015</v>
      </c>
      <c r="H58" s="6" t="s">
        <v>1015</v>
      </c>
    </row>
    <row r="59" spans="1:8" ht="15" customHeight="1" x14ac:dyDescent="0.3">
      <c r="A59" s="6" t="s">
        <v>1583</v>
      </c>
      <c r="B59" s="19">
        <f>MAX('Org &amp; Capacity'!$S$107:$S$115)-MIN('Org &amp; Capacity'!$S$107:$S$115)</f>
        <v>0.13515230454401594</v>
      </c>
      <c r="C59" s="97" t="str">
        <f>IF(B59&gt;0.25,"FAIL",IF(B59&gt;0.1,"REVIEW","PASS"))</f>
        <v>REVIEW</v>
      </c>
      <c r="D59" s="6" t="s">
        <v>1584</v>
      </c>
      <c r="E59" s="6" t="s">
        <v>1015</v>
      </c>
      <c r="F59" s="6" t="s">
        <v>1027</v>
      </c>
      <c r="G59" s="6" t="s">
        <v>1015</v>
      </c>
      <c r="H59" s="6" t="s">
        <v>1015</v>
      </c>
    </row>
    <row r="60" spans="1:8" ht="15" customHeight="1" x14ac:dyDescent="0.3">
      <c r="A60" s="6" t="s">
        <v>1585</v>
      </c>
      <c r="B60" s="19">
        <f>B23-INDEX(Assumptions!$D$29:$F$29,1,2)</f>
        <v>76.935278986941029</v>
      </c>
      <c r="C60" s="97" t="str">
        <f>IF(OR(B60&lt;40,B60&gt;250),"FAIL",IF(OR(B60&lt;70,B60&gt;200),"REVIEW","PASS"))</f>
        <v>PASS</v>
      </c>
      <c r="D60" s="6" t="s">
        <v>1586</v>
      </c>
      <c r="E60" s="6" t="s">
        <v>1015</v>
      </c>
      <c r="F60" s="6" t="s">
        <v>1027</v>
      </c>
      <c r="G60" s="6" t="s">
        <v>1027</v>
      </c>
      <c r="H60" s="6" t="s">
        <v>1027</v>
      </c>
    </row>
    <row r="61" spans="1:8" ht="15" customHeight="1" x14ac:dyDescent="0.3">
      <c r="A61" s="6" t="s">
        <v>1587</v>
      </c>
      <c r="B61" s="19">
        <f>ABS('Org &amp; Capacity'!K$149)+ABS('Org &amp; Capacity'!K$187)+ABS('Org &amp; Capacity'!K$225)</f>
        <v>0</v>
      </c>
      <c r="C61" s="97" t="str">
        <f>IF(B61&lt;1,"PASS","FAIL")</f>
        <v>PASS</v>
      </c>
      <c r="D61" s="6" t="s">
        <v>1588</v>
      </c>
      <c r="E61" s="6" t="s">
        <v>1015</v>
      </c>
      <c r="F61" s="6" t="s">
        <v>1027</v>
      </c>
      <c r="G61" s="6" t="s">
        <v>1027</v>
      </c>
      <c r="H61" s="6" t="s">
        <v>1027</v>
      </c>
    </row>
    <row r="62" spans="1:8" ht="15" customHeight="1" x14ac:dyDescent="0.3">
      <c r="A62" s="6" t="s">
        <v>1589</v>
      </c>
      <c r="B62" s="13">
        <f>ABS('Revenue &amp; Durability'!K$128/'Revenue &amp; Durability'!K$112-(INDEX(Assumptions!$D$27:$F$27,1,2)+INDEX(Assumptions!$D$28:$F$28,1,2)+INDEX(Assumptions!$D$29:$F$29,1,2)+INDEX(Assumptions!$D$79:$F$79,1,2)))</f>
        <v>0</v>
      </c>
      <c r="C62" s="97" t="str">
        <f>IF(B62&lt;0.01,"PASS","FAIL")</f>
        <v>PASS</v>
      </c>
      <c r="D62" s="6" t="s">
        <v>1590</v>
      </c>
      <c r="E62" s="6" t="s">
        <v>1015</v>
      </c>
      <c r="F62" s="6" t="s">
        <v>1027</v>
      </c>
      <c r="G62" s="6" t="s">
        <v>1027</v>
      </c>
      <c r="H62" s="6" t="s">
        <v>1027</v>
      </c>
    </row>
    <row r="63" spans="1:8" ht="15" customHeight="1" x14ac:dyDescent="0.3">
      <c r="A63" s="6" t="s">
        <v>1591</v>
      </c>
      <c r="B63" s="19">
        <f>SUMPRODUCT(--('Revenue &amp; Durability'!K$112&gt;='Org &amp; Capacity'!$C$67),--('Revenue &amp; Durability'!K$112&gt;='Org &amp; Capacity'!$C$74))</f>
        <v>0</v>
      </c>
      <c r="C63" s="97" t="str">
        <f>IF(B63=0,"PASS","FAIL")</f>
        <v>PASS</v>
      </c>
      <c r="D63" s="6" t="s">
        <v>1592</v>
      </c>
      <c r="E63" s="6" t="s">
        <v>1015</v>
      </c>
      <c r="F63" s="6" t="s">
        <v>1027</v>
      </c>
      <c r="G63" s="6" t="s">
        <v>1027</v>
      </c>
      <c r="H63" s="6" t="s">
        <v>1027</v>
      </c>
    </row>
    <row r="64" spans="1:8" ht="15" customHeight="1" x14ac:dyDescent="0.3">
      <c r="A64" s="6" t="s">
        <v>1593</v>
      </c>
      <c r="B64" s="19">
        <f>SUMPRODUCT(--('Org &amp; Capacity'!$Y$47:$Y$60&lt;0))+SUMPRODUCT(--('Org &amp; Capacity'!$Y$47:$Y$60&gt;1))+SUMPRODUCT(--('Org &amp; Capacity'!$Z$47:$Z$60&lt;0))+SUMPRODUCT(--('Org &amp; Capacity'!$Z$47:$Z$60&gt;1))+14-SUMPRODUCT(--ISNUMBER('Org &amp; Capacity'!$Y$47:$Y$60))-SUMPRODUCT(--ISNUMBER('Org &amp; Capacity'!$Z$47:$Z$60))+14</f>
        <v>0</v>
      </c>
      <c r="C64" s="97" t="str">
        <f>IF(B64=0,"PASS","FAIL")</f>
        <v>PASS</v>
      </c>
      <c r="D64" s="6" t="s">
        <v>1594</v>
      </c>
      <c r="E64" s="6" t="s">
        <v>1015</v>
      </c>
      <c r="F64" s="6" t="s">
        <v>1027</v>
      </c>
      <c r="G64" s="6" t="s">
        <v>1027</v>
      </c>
      <c r="H64" s="6" t="s">
        <v>1027</v>
      </c>
    </row>
    <row r="65" spans="1:8" ht="15" customHeight="1" x14ac:dyDescent="0.3">
      <c r="A65" s="6" t="s">
        <v>1595</v>
      </c>
      <c r="B65" s="13">
        <f>ABS(IF('Operating Case'!K$88=0,0,'Operating Case'!K$79/'Operating Case'!K$88)-('Operating Case'!K$54+'Operating Case'!K$50*INDEX(Assumptions!$D$30:$F$30,1,2)+'Operating Case'!K$67+'Operating Case'!K$69+'Operating Case'!K$71))</f>
        <v>0</v>
      </c>
      <c r="C65" s="97" t="str">
        <f>IF(B65&lt;1,"PASS","FAIL")</f>
        <v>PASS</v>
      </c>
      <c r="D65" s="6" t="s">
        <v>1596</v>
      </c>
      <c r="E65" s="6" t="s">
        <v>1015</v>
      </c>
      <c r="F65" s="6" t="s">
        <v>1027</v>
      </c>
      <c r="G65" s="6" t="s">
        <v>1027</v>
      </c>
      <c r="H65" s="6" t="s">
        <v>1027</v>
      </c>
    </row>
    <row r="66" spans="1:8" ht="15" customHeight="1" x14ac:dyDescent="0.3">
      <c r="A66" s="6" t="s">
        <v>1597</v>
      </c>
      <c r="B66" s="19">
        <f>ABS('Org &amp; Capacity'!$D$259-SUMPRODUCT(('Revenue &amp; Durability'!K$112&gt;='Org &amp; Capacity'!$E$47:$E$60)*('Org &amp; Capacity'!$R$47:$R$60)*('Org &amp; Capacity'!$T$47:$T$60+('Org &amp; Capacity'!$W$47:$W$60&gt;0)*-INT(-(('Revenue &amp; Durability'!K$112-'Org &amp; Capacity'!$U$47:$U$60)*('Revenue &amp; Durability'!K$112&gt;'Org &amp; Capacity'!$U$47:$U$60)/(('Org &amp; Capacity'!$W$47:$W$60)+('Org &amp; Capacity'!$W$47:$W$60=0)))*'Org &amp; Capacity'!$X$47:$X$60)/'Org &amp; Capacity'!$X$47:$X$60),'Org &amp; Capacity'!$I$47:$I$60*('Org &amp; Capacity'!$Y$47:$Y$60-('Org &amp; Capacity'!$Y$47:$Y$60&gt;'Org &amp; Capacity'!$Z$47:$Z$60)*('Org &amp; Capacity'!$Y$47:$Y$60-'Org &amp; Capacity'!$Z$47:$Z$60))*(1-'Org &amp; Capacity'!$D$25))*(1+INDEX(Assumptions!$D$88:$F$88,1,2))^6)</f>
        <v>1.1641532182693481E-9</v>
      </c>
      <c r="C66" s="97" t="str">
        <f>IF(B66&lt;1,"PASS","FAIL")</f>
        <v>PASS</v>
      </c>
      <c r="D66" s="6" t="s">
        <v>1598</v>
      </c>
      <c r="E66" s="6" t="s">
        <v>1015</v>
      </c>
      <c r="F66" s="6" t="s">
        <v>1027</v>
      </c>
      <c r="G66" s="6" t="s">
        <v>1027</v>
      </c>
      <c r="H66" s="6" t="s">
        <v>1027</v>
      </c>
    </row>
    <row r="67" spans="1:8" ht="15" customHeight="1" x14ac:dyDescent="0.3">
      <c r="A67" s="6" t="s">
        <v>1599</v>
      </c>
      <c r="B67" s="19">
        <f>SUMPRODUCT(--('Org &amp; Capacity'!$Y$47:$Y$60&gt;0))-SUMPRODUCT(--(('Org &amp; Capacity'!$Y$47:$Y$60-('Org &amp; Capacity'!$Y$47:$Y$60&gt;'Org &amp; Capacity'!$Z$47:$Z$60)*('Org &amp; Capacity'!$Y$47:$Y$60-'Org &amp; Capacity'!$Z$47:$Z$60))&gt;0))</f>
        <v>0</v>
      </c>
      <c r="C67" s="97" t="str">
        <f>IF(B67=0,"PASS","REVIEW")</f>
        <v>PASS</v>
      </c>
      <c r="D67" s="6" t="s">
        <v>1600</v>
      </c>
      <c r="E67" s="6" t="s">
        <v>1015</v>
      </c>
      <c r="F67" s="6" t="s">
        <v>1027</v>
      </c>
      <c r="G67" s="6" t="s">
        <v>1027</v>
      </c>
      <c r="H67" s="6" t="s">
        <v>1027</v>
      </c>
    </row>
    <row r="68" spans="1:8" ht="15" customHeight="1" x14ac:dyDescent="0.3">
      <c r="A68" s="6" t="s">
        <v>1601</v>
      </c>
      <c r="B68" s="13">
        <f>(--('Operating Case'!K$36&gt;'Operating Case'!K$79))+(--('Operating Case'!K$79&gt;'Operating Case'!K$122))+(--('Operating Case'!K$11&gt;'Operating Case'!K$54))+(--('Operating Case'!K$54&gt;'Operating Case'!K$97))+(--('Operating Case'!K$7&gt;'Operating Case'!K$50))+(--('Operating Case'!K$50&gt;'Operating Case'!K$93))</f>
        <v>0</v>
      </c>
      <c r="C68" s="97" t="str">
        <f>IF(B68=0,"PASS","FAIL")</f>
        <v>PASS</v>
      </c>
      <c r="D68" s="6" t="s">
        <v>1602</v>
      </c>
      <c r="E68" s="6" t="s">
        <v>1015</v>
      </c>
      <c r="F68" s="6" t="s">
        <v>1027</v>
      </c>
      <c r="G68" s="6" t="s">
        <v>1027</v>
      </c>
      <c r="H68" s="6" t="s">
        <v>1027</v>
      </c>
    </row>
    <row r="69" spans="1:8" ht="15" customHeight="1" x14ac:dyDescent="0.3">
      <c r="A69" s="6"/>
      <c r="B69" s="19"/>
      <c r="C69" s="97"/>
      <c r="D69" s="98"/>
    </row>
    <row r="70" spans="1:8" ht="15" customHeight="1" x14ac:dyDescent="0.3">
      <c r="A70" s="6" t="s">
        <v>1603</v>
      </c>
      <c r="B70" s="13">
        <f>ABS('Evidence &amp; Market'!$C$24)+ABS(Assumptions!$E$32-128)+ABS(Assumptions!$E$58-0.04)+ABS(Assumptions!$E$68-40)+ABS(Assumptions!$E$69-60)+ABS(Assumptions!$E$70-10)+ABS(Assumptions!$E$76-0.4)</f>
        <v>0</v>
      </c>
      <c r="C70" s="97" t="str">
        <f>IF(B70&lt;0.001,"PASS","FAIL")</f>
        <v>PASS</v>
      </c>
      <c r="D70" s="6" t="s">
        <v>1604</v>
      </c>
      <c r="E70" s="6" t="s">
        <v>1015</v>
      </c>
      <c r="F70" s="6" t="s">
        <v>1027</v>
      </c>
      <c r="G70" s="6" t="s">
        <v>1027</v>
      </c>
      <c r="H70" s="6" t="s">
        <v>1027</v>
      </c>
    </row>
    <row r="71" spans="1:8" ht="15" customHeight="1" x14ac:dyDescent="0.3">
      <c r="A71" s="6" t="s">
        <v>1605</v>
      </c>
      <c r="B71" s="13">
        <f>ABS(SUM(Returns!$D$89:$N$89)+SUMPRODUCT(('Transaction &amp; Liquidity'!$D$114:$N$114)*(COLUMN('Transaction &amp; Liquidity'!$D$114:$N$114)-4&lt;=INDEX(Assumptions!$D$13:$F$13,1,2)))-Returns!$E$51)</f>
        <v>0</v>
      </c>
      <c r="C71" s="97" t="str">
        <f>IF(B71&lt;1,"PASS","FAIL")</f>
        <v>PASS</v>
      </c>
      <c r="D71" s="6" t="s">
        <v>1606</v>
      </c>
      <c r="E71" s="6" t="s">
        <v>1015</v>
      </c>
      <c r="F71" s="6" t="s">
        <v>1027</v>
      </c>
      <c r="G71" s="6" t="s">
        <v>1027</v>
      </c>
      <c r="H71" s="6" t="s">
        <v>1027</v>
      </c>
    </row>
    <row r="72" spans="1:8" ht="15" customHeight="1" x14ac:dyDescent="0.3">
      <c r="A72" s="6" t="s">
        <v>1607</v>
      </c>
      <c r="B72" s="13">
        <f>SUMPRODUCT(--('Revenue &amp; Durability'!$D$112:$N$112&lt;'Revenue &amp; Durability'!$D$100:$N$100-1))</f>
        <v>0</v>
      </c>
      <c r="C72" s="97" t="str">
        <f>IF(B72=0,"PASS","FAIL")</f>
        <v>PASS</v>
      </c>
      <c r="D72" s="6" t="s">
        <v>1608</v>
      </c>
      <c r="E72" s="6" t="s">
        <v>1015</v>
      </c>
      <c r="F72" s="6" t="s">
        <v>1027</v>
      </c>
      <c r="G72" s="6" t="s">
        <v>1027</v>
      </c>
      <c r="H72" s="6" t="s">
        <v>1027</v>
      </c>
    </row>
    <row r="73" spans="1:8" ht="15" customHeight="1" x14ac:dyDescent="0.3">
      <c r="A73" s="6" t="s">
        <v>1609</v>
      </c>
      <c r="B73" s="13">
        <f>SUMPRODUCT(--('Transaction &amp; Liquidity'!$D$86:$N$86&lt;-1))+SUMPRODUCT(--('Operating Case'!$D$76:$N$76&gt;0),--('Transaction &amp; Liquidity'!$D$86:$N$86&gt;'Operating Case'!$D$76:$N$76*INDEX(Assumptions!$D$93:$F$93,1,2)+1))</f>
        <v>0</v>
      </c>
      <c r="C73" s="97" t="str">
        <f>IF(B73=0,"PASS","FAIL")</f>
        <v>PASS</v>
      </c>
      <c r="D73" s="6" t="s">
        <v>1610</v>
      </c>
      <c r="E73" s="6" t="s">
        <v>1015</v>
      </c>
      <c r="F73" s="6" t="s">
        <v>1027</v>
      </c>
      <c r="G73" s="6" t="s">
        <v>1027</v>
      </c>
      <c r="H73" s="6" t="s">
        <v>1027</v>
      </c>
    </row>
    <row r="74" spans="1:8" ht="15" customHeight="1" x14ac:dyDescent="0.3">
      <c r="A74" s="6" t="s">
        <v>1611</v>
      </c>
      <c r="B74" s="13">
        <f>IF('Operating Case'!K$81=0,0,('Operating Case'!K$79+'Operating Case'!K$81)/(-('Transaction &amp; Liquidity'!K$88+'Transaction &amp; Liquidity'!K$87+'Transaction &amp; Liquidity'!K$103+'Transaction &amp; Liquidity'!K$102)))</f>
        <v>0.84736747435875437</v>
      </c>
      <c r="C74" s="97" t="str">
        <f>IF(B74&gt;=1.25,"PASS","REVIEW")</f>
        <v>REVIEW</v>
      </c>
      <c r="D74" s="6" t="s">
        <v>1612</v>
      </c>
      <c r="E74" s="6" t="s">
        <v>1015</v>
      </c>
      <c r="F74" s="6" t="s">
        <v>1027</v>
      </c>
      <c r="G74" s="6" t="s">
        <v>1027</v>
      </c>
      <c r="H74" s="6" t="s">
        <v>1027</v>
      </c>
    </row>
    <row r="75" spans="1:8" ht="15" customHeight="1" x14ac:dyDescent="0.3">
      <c r="A75" s="6" t="s">
        <v>1613</v>
      </c>
      <c r="B75" s="13">
        <f>ABS(SUMPRODUCT(--(Returns!$D$89:$N$89&lt;&gt;0))-(INDEX(Assumptions!$D$13:$F$13,1,2)+1))</f>
        <v>0</v>
      </c>
      <c r="C75" s="97" t="str">
        <f>IF(B75&lt;1,"PASS","REVIEW")</f>
        <v>PASS</v>
      </c>
      <c r="D75" s="6" t="s">
        <v>1614</v>
      </c>
      <c r="E75" s="6" t="s">
        <v>1015</v>
      </c>
      <c r="F75" s="6" t="s">
        <v>1027</v>
      </c>
      <c r="G75" s="6" t="s">
        <v>1027</v>
      </c>
      <c r="H75" s="6" t="s">
        <v>1027</v>
      </c>
    </row>
    <row r="76" spans="1:8" ht="15" customHeight="1" x14ac:dyDescent="0.3">
      <c r="A76" s="6" t="s">
        <v>1615</v>
      </c>
      <c r="B76" s="13">
        <f>SUMPRODUCT(ABS('Transaction &amp; Liquidity'!$D$86:$N$86-('Transaction &amp; Liquidity'!$D$75:$N$75+'Transaction &amp; Liquidity'!$D$76:$N$76+'Transaction &amp; Liquidity'!$D$77:$N$77+'Transaction &amp; Liquidity'!$D$78:$N$78+'Transaction &amp; Liquidity'!$D$79:$N$79+'Transaction &amp; Liquidity'!$D$80:$N$80+'Transaction &amp; Liquidity'!$D$81:$N$81+'Transaction &amp; Liquidity'!$D$82:$N$82+'Transaction &amp; Liquidity'!$D$83:$N$83+'Transaction &amp; Liquidity'!$D$84:$N$84+'Transaction &amp; Liquidity'!$D$85:$N$85)))+SUMPRODUCT(ABS('Transaction &amp; Liquidity'!$E$86:$N$86-'Transaction &amp; Liquidity'!$D$86:$M$86-'Transaction &amp; Liquidity'!$E$73:$N$73-'Transaction &amp; Liquidity'!$E$87:$N$87))</f>
        <v>9.3132257461547852E-10</v>
      </c>
      <c r="C76" s="97" t="str">
        <f>IF(B76&lt;3,"PASS","FAIL")</f>
        <v>PASS</v>
      </c>
      <c r="D76" s="6" t="s">
        <v>1616</v>
      </c>
      <c r="E76" s="6" t="s">
        <v>1015</v>
      </c>
      <c r="F76" s="6" t="s">
        <v>1027</v>
      </c>
      <c r="G76" s="6" t="s">
        <v>1027</v>
      </c>
      <c r="H76" s="6" t="s">
        <v>1027</v>
      </c>
    </row>
    <row r="77" spans="1:8" ht="15" customHeight="1" x14ac:dyDescent="0.3">
      <c r="A77" s="6" t="s">
        <v>1617</v>
      </c>
      <c r="B77" s="63" t="str">
        <f>COUNTIF(C5:C75,"PASS")&amp;" of "&amp;(COUNTA(C5:C75)-COUNTIF(C5:C75,"N/A"))</f>
        <v>57 of 66</v>
      </c>
      <c r="C77" s="97" t="str">
        <f>IF(COUNTIF(C5:C75,"FAIL")&gt;0,"FAIL",IF(COUNTIF(C5:C75,"REVIEW")&gt;0,"REVIEW","PASS"))</f>
        <v>REVIEW</v>
      </c>
      <c r="D77" s="6" t="s">
        <v>1618</v>
      </c>
    </row>
  </sheetData>
  <pageMargins left="0.7" right="0.7" top="0.75" bottom="0.75" header="0.511811023622047" footer="0.511811023622047"/>
  <pageSetup paperSize="9"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C34"/>
  <sheetViews>
    <sheetView showGridLines="0"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2.75" x14ac:dyDescent="0.2"/>
  <cols>
    <col min="1" max="1" width="26" customWidth="1"/>
    <col min="2" max="2" width="46" customWidth="1"/>
    <col min="3" max="3" width="108" customWidth="1"/>
  </cols>
  <sheetData>
    <row r="1" spans="1:3" ht="15" customHeight="1" x14ac:dyDescent="0.3">
      <c r="A1" s="1" t="s">
        <v>1619</v>
      </c>
      <c r="B1" s="2"/>
      <c r="C1" s="2"/>
    </row>
    <row r="2" spans="1:3" ht="15" customHeight="1" x14ac:dyDescent="0.3">
      <c r="A2" s="2"/>
      <c r="B2" s="2"/>
      <c r="C2" s="2"/>
    </row>
    <row r="3" spans="1:3" ht="15" customHeight="1" x14ac:dyDescent="0.25">
      <c r="A3" s="21" t="s">
        <v>1620</v>
      </c>
      <c r="B3" s="21" t="s">
        <v>1621</v>
      </c>
      <c r="C3" s="21" t="s">
        <v>1622</v>
      </c>
    </row>
    <row r="4" spans="1:3" ht="15" customHeight="1" x14ac:dyDescent="0.3">
      <c r="A4" s="6" t="s">
        <v>1623</v>
      </c>
      <c r="B4" s="6" t="s">
        <v>1624</v>
      </c>
      <c r="C4" s="6" t="s">
        <v>1625</v>
      </c>
    </row>
    <row r="5" spans="1:3" ht="15" customHeight="1" x14ac:dyDescent="0.3">
      <c r="A5" s="6" t="s">
        <v>1626</v>
      </c>
      <c r="B5" s="6" t="s">
        <v>1627</v>
      </c>
      <c r="C5" s="6" t="s">
        <v>1628</v>
      </c>
    </row>
    <row r="6" spans="1:3" ht="15" customHeight="1" x14ac:dyDescent="0.3">
      <c r="A6" s="6" t="s">
        <v>1629</v>
      </c>
      <c r="B6" s="6" t="s">
        <v>1630</v>
      </c>
      <c r="C6" s="6" t="s">
        <v>1631</v>
      </c>
    </row>
    <row r="7" spans="1:3" ht="15" customHeight="1" x14ac:dyDescent="0.3">
      <c r="A7" s="6" t="s">
        <v>1632</v>
      </c>
      <c r="B7" s="6" t="s">
        <v>1633</v>
      </c>
      <c r="C7" s="6" t="s">
        <v>1634</v>
      </c>
    </row>
    <row r="8" spans="1:3" ht="15" customHeight="1" x14ac:dyDescent="0.3">
      <c r="A8" s="6" t="s">
        <v>1635</v>
      </c>
      <c r="B8" s="6" t="s">
        <v>1636</v>
      </c>
      <c r="C8" s="6" t="s">
        <v>1637</v>
      </c>
    </row>
    <row r="9" spans="1:3" ht="15" customHeight="1" x14ac:dyDescent="0.3">
      <c r="A9" s="6" t="s">
        <v>1638</v>
      </c>
      <c r="B9" s="6" t="s">
        <v>1639</v>
      </c>
      <c r="C9" s="6" t="s">
        <v>1640</v>
      </c>
    </row>
    <row r="10" spans="1:3" ht="15" customHeight="1" x14ac:dyDescent="0.3">
      <c r="A10" s="6" t="s">
        <v>63</v>
      </c>
      <c r="B10" s="6" t="s">
        <v>1641</v>
      </c>
      <c r="C10" s="6" t="s">
        <v>1642</v>
      </c>
    </row>
    <row r="11" spans="1:3" ht="15" customHeight="1" x14ac:dyDescent="0.3">
      <c r="A11" s="6" t="s">
        <v>1643</v>
      </c>
      <c r="B11" s="6" t="s">
        <v>1644</v>
      </c>
      <c r="C11" s="6" t="s">
        <v>1645</v>
      </c>
    </row>
    <row r="12" spans="1:3" ht="15" customHeight="1" x14ac:dyDescent="0.3">
      <c r="A12" s="6" t="s">
        <v>1646</v>
      </c>
      <c r="B12" s="6" t="s">
        <v>1647</v>
      </c>
      <c r="C12" s="6" t="s">
        <v>1648</v>
      </c>
    </row>
    <row r="13" spans="1:3" ht="15" customHeight="1" x14ac:dyDescent="0.3">
      <c r="A13" s="6" t="s">
        <v>1649</v>
      </c>
      <c r="B13" s="6" t="s">
        <v>1650</v>
      </c>
      <c r="C13" s="6" t="s">
        <v>1651</v>
      </c>
    </row>
    <row r="14" spans="1:3" ht="15" customHeight="1" x14ac:dyDescent="0.3">
      <c r="A14" s="6" t="s">
        <v>1652</v>
      </c>
      <c r="B14" s="6" t="s">
        <v>1653</v>
      </c>
      <c r="C14" s="6" t="s">
        <v>1654</v>
      </c>
    </row>
    <row r="15" spans="1:3" ht="15" customHeight="1" x14ac:dyDescent="0.3">
      <c r="A15" s="6" t="s">
        <v>1655</v>
      </c>
      <c r="B15" s="6" t="s">
        <v>1656</v>
      </c>
      <c r="C15" s="6" t="s">
        <v>1657</v>
      </c>
    </row>
    <row r="16" spans="1:3" ht="15" customHeight="1" x14ac:dyDescent="0.3">
      <c r="A16" s="6" t="s">
        <v>1658</v>
      </c>
      <c r="B16" s="6" t="s">
        <v>1659</v>
      </c>
      <c r="C16" s="6" t="s">
        <v>1660</v>
      </c>
    </row>
    <row r="17" spans="1:3" ht="15" customHeight="1" x14ac:dyDescent="0.3">
      <c r="A17" s="6" t="s">
        <v>1661</v>
      </c>
      <c r="B17" s="6" t="s">
        <v>1662</v>
      </c>
      <c r="C17" s="6" t="s">
        <v>1663</v>
      </c>
    </row>
    <row r="18" spans="1:3" ht="15" customHeight="1" x14ac:dyDescent="0.3">
      <c r="A18" s="6" t="s">
        <v>1664</v>
      </c>
      <c r="B18" s="6" t="s">
        <v>1665</v>
      </c>
      <c r="C18" s="6" t="s">
        <v>1666</v>
      </c>
    </row>
    <row r="19" spans="1:3" ht="15" customHeight="1" x14ac:dyDescent="0.3">
      <c r="A19" s="2" t="s">
        <v>1667</v>
      </c>
      <c r="B19" s="2" t="s">
        <v>1668</v>
      </c>
      <c r="C19" s="2" t="s">
        <v>1669</v>
      </c>
    </row>
    <row r="20" spans="1:3" ht="15" customHeight="1" x14ac:dyDescent="0.3">
      <c r="A20" s="2" t="s">
        <v>1670</v>
      </c>
      <c r="B20" s="2" t="s">
        <v>1671</v>
      </c>
      <c r="C20" s="2" t="s">
        <v>1672</v>
      </c>
    </row>
    <row r="21" spans="1:3" ht="15" customHeight="1" x14ac:dyDescent="0.3">
      <c r="A21" s="2" t="s">
        <v>1673</v>
      </c>
      <c r="B21" s="2" t="s">
        <v>1674</v>
      </c>
      <c r="C21" s="2" t="s">
        <v>1675</v>
      </c>
    </row>
    <row r="22" spans="1:3" ht="15" customHeight="1" x14ac:dyDescent="0.3">
      <c r="A22" s="2" t="s">
        <v>1676</v>
      </c>
      <c r="B22" s="2" t="s">
        <v>1677</v>
      </c>
      <c r="C22" s="2" t="s">
        <v>1678</v>
      </c>
    </row>
    <row r="23" spans="1:3" ht="15" customHeight="1" x14ac:dyDescent="0.3">
      <c r="A23" s="2" t="s">
        <v>1679</v>
      </c>
      <c r="B23" s="2" t="s">
        <v>1680</v>
      </c>
      <c r="C23" s="2" t="s">
        <v>1681</v>
      </c>
    </row>
    <row r="24" spans="1:3" ht="15" customHeight="1" x14ac:dyDescent="0.3">
      <c r="A24" s="2" t="s">
        <v>1682</v>
      </c>
      <c r="B24" s="2" t="s">
        <v>1683</v>
      </c>
      <c r="C24" s="2" t="s">
        <v>1684</v>
      </c>
    </row>
    <row r="25" spans="1:3" ht="15" customHeight="1" x14ac:dyDescent="0.3">
      <c r="A25" s="2" t="s">
        <v>1685</v>
      </c>
      <c r="B25" s="2" t="s">
        <v>1686</v>
      </c>
      <c r="C25" s="2" t="s">
        <v>1687</v>
      </c>
    </row>
    <row r="26" spans="1:3" ht="15" customHeight="1" x14ac:dyDescent="0.3">
      <c r="A26" s="2" t="s">
        <v>1688</v>
      </c>
      <c r="B26" s="2" t="s">
        <v>1689</v>
      </c>
      <c r="C26" s="2" t="s">
        <v>1690</v>
      </c>
    </row>
    <row r="28" spans="1:3" ht="15" customHeight="1" x14ac:dyDescent="0.3">
      <c r="A28" s="49" t="s">
        <v>1691</v>
      </c>
      <c r="B28" s="49" t="s">
        <v>1692</v>
      </c>
      <c r="C28" s="2" t="s">
        <v>1693</v>
      </c>
    </row>
    <row r="30" spans="1:3" ht="15" customHeight="1" x14ac:dyDescent="0.3">
      <c r="A30" s="49" t="s">
        <v>1694</v>
      </c>
      <c r="B30" s="49" t="s">
        <v>1695</v>
      </c>
      <c r="C30" s="2" t="s">
        <v>1696</v>
      </c>
    </row>
    <row r="32" spans="1:3" ht="15" customHeight="1" x14ac:dyDescent="0.3">
      <c r="A32" s="49" t="s">
        <v>1697</v>
      </c>
      <c r="B32" s="49" t="s">
        <v>1698</v>
      </c>
      <c r="C32" s="2" t="s">
        <v>1699</v>
      </c>
    </row>
    <row r="34" spans="1:3" ht="14.25" x14ac:dyDescent="0.3">
      <c r="A34" s="49" t="s">
        <v>1700</v>
      </c>
      <c r="B34" s="49" t="s">
        <v>1701</v>
      </c>
      <c r="C34" s="2" t="s">
        <v>1702</v>
      </c>
    </row>
  </sheetData>
  <pageMargins left="0.7" right="0.7" top="0.75" bottom="0.75" header="0.511811023622047" footer="0.511811023622047"/>
  <pageSetup paperSize="9"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5</vt:i4>
      </vt:variant>
    </vt:vector>
  </HeadingPairs>
  <TitlesOfParts>
    <vt:vector size="18" baseType="lpstr">
      <vt:lpstr>IC Summary</vt:lpstr>
      <vt:lpstr>Base Case Bridge</vt:lpstr>
      <vt:lpstr>Evidence &amp; Market</vt:lpstr>
      <vt:lpstr>Assumptions</vt:lpstr>
      <vt:lpstr>Acquisition Schedule</vt:lpstr>
      <vt:lpstr>Anchor QoE</vt:lpstr>
      <vt:lpstr>Revenue &amp; Durability</vt:lpstr>
      <vt:lpstr>Org &amp; Capacity</vt:lpstr>
      <vt:lpstr>Operating Case</vt:lpstr>
      <vt:lpstr>Transaction &amp; Liquidity</vt:lpstr>
      <vt:lpstr>Returns</vt:lpstr>
      <vt:lpstr>Controls</vt:lpstr>
      <vt:lpstr>Version Bridge</vt:lpstr>
      <vt:lpstr>Assumptions!Print_Area</vt:lpstr>
      <vt:lpstr>'Base Case Bridge'!Print_Area</vt:lpstr>
      <vt:lpstr>Controls!Print_Area</vt:lpstr>
      <vt:lpstr>'IC Summary'!Print_Area</vt:lpstr>
      <vt:lpstr>Returns!Print_Area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Jack Eljarrat</cp:lastModifiedBy>
  <cp:revision>17</cp:revision>
  <dcterms:created xsi:type="dcterms:W3CDTF">2026-09-04T23:46:28Z</dcterms:created>
  <dcterms:modified xsi:type="dcterms:W3CDTF">2026-09-08T16:23:22Z</dcterms:modified>
  <dc:language>en-US</dc:language>
</cp:coreProperties>
</file>